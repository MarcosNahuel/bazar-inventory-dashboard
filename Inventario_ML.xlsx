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" sheetId="1" r:id="rId4"/>
    <sheet state="visible" name="Valorización" sheetId="2" r:id="rId5"/>
    <sheet state="visible" name="Costos_Proveedores" sheetId="3" r:id="rId6"/>
  </sheets>
  <definedNames/>
  <calcPr/>
</workbook>
</file>

<file path=xl/sharedStrings.xml><?xml version="1.0" encoding="utf-8"?>
<sst xmlns="http://schemas.openxmlformats.org/spreadsheetml/2006/main" count="9935" uniqueCount="3832">
  <si>
    <t>Proveedor</t>
  </si>
  <si>
    <t>Codigo_ML</t>
  </si>
  <si>
    <t>SKU</t>
  </si>
  <si>
    <t>Titulo</t>
  </si>
  <si>
    <t>Status</t>
  </si>
  <si>
    <t>Stock_FULL</t>
  </si>
  <si>
    <t>Stock_FLEX</t>
  </si>
  <si>
    <t>Stock_Total</t>
  </si>
  <si>
    <t>Supermarket</t>
  </si>
  <si>
    <t>Costo</t>
  </si>
  <si>
    <t>Valorización</t>
  </si>
  <si>
    <t>V30D</t>
  </si>
  <si>
    <t>V30FULL</t>
  </si>
  <si>
    <t>V30FLEX</t>
  </si>
  <si>
    <t>V30CENTRO</t>
  </si>
  <si>
    <t>RepFULL</t>
  </si>
  <si>
    <t>RepFLEX</t>
  </si>
  <si>
    <t>RepTotal</t>
  </si>
  <si>
    <t>Permalink</t>
  </si>
  <si>
    <t>MLC2853724594</t>
  </si>
  <si>
    <t>Espejo Para Maquillaje Espejo Doble De Mesa Con Aumento 36cm</t>
  </si>
  <si>
    <t>closed</t>
  </si>
  <si>
    <t>No</t>
  </si>
  <si>
    <t>https://articulo.mercadolibre.cl/MLC-2853724594-espejo-para-maquillaje-espejo-doble-de-mesa-con-aumento-36cm-_JM</t>
  </si>
  <si>
    <t>MLC1604270301</t>
  </si>
  <si>
    <t>ML272</t>
  </si>
  <si>
    <t>Organizador Y Separador De Cubiertos</t>
  </si>
  <si>
    <t>https://articulo.mercadolibre.cl/MLC-1604270301-organizador-y-separador-de-cubiertos-_JM</t>
  </si>
  <si>
    <t>MLC1582676309</t>
  </si>
  <si>
    <t>ML247</t>
  </si>
  <si>
    <t>Tabla Planchar Tabla De Planchar Metal Y Tela 110 Cm Mangas Al Azar Multicolor</t>
  </si>
  <si>
    <t>paused</t>
  </si>
  <si>
    <t>https://articulo.mercadolibre.cl/MLC-1582676309-tabla-planchar-tabla-de-planchar-metal-y-tela-110-cm-mangas-al-azar-multicolor-_JM</t>
  </si>
  <si>
    <t>MLC1582663459</t>
  </si>
  <si>
    <t>ML256</t>
  </si>
  <si>
    <t>Organizador Verdulero Frutero 3 Niveles Metálico Inoxidable Plateado</t>
  </si>
  <si>
    <t>https://articulo.mercadolibre.cl/MLC-1582663459-organizador-verdulero-frutero-3-niveles-metalico-inoxidable-plateado-_JM</t>
  </si>
  <si>
    <t>MLC1582589593</t>
  </si>
  <si>
    <t>WF33322</t>
  </si>
  <si>
    <t>Fuente Pileta Cascada De Agua Jesus Grande 39 Cm Con Luz Gris</t>
  </si>
  <si>
    <t>https://articulo.mercadolibre.cl/MLC-1582589593-fuente-pileta-cascada-de-agua-jesus-grande-39-cm-con-luz-gris-_JM</t>
  </si>
  <si>
    <t>MLC1582563757</t>
  </si>
  <si>
    <t>WF33313</t>
  </si>
  <si>
    <t>Fuente Pileta Cascada De Agua Querubín Con Luz Grande 28cm Gris</t>
  </si>
  <si>
    <t>https://articulo.mercadolibre.cl/MLC-1582563757-fuente-pileta-cascada-de-agua-querubin-con-luz-grande-28cm-gris-_JM</t>
  </si>
  <si>
    <t>MLC1582563657</t>
  </si>
  <si>
    <t>Pack 4 Vasos Con Bombilla Y Tapa 600 Ml Vidrio Shopero 600ml Multicolor</t>
  </si>
  <si>
    <t>active</t>
  </si>
  <si>
    <t>https://articulo.mercadolibre.cl/MLC-1582563657-pack-4-vasos-con-bombilla-y-tapa-600-ml-vidrio-shopero-600ml-multicolor-_JM</t>
  </si>
  <si>
    <t>MLC1582511883</t>
  </si>
  <si>
    <t>Pack 6 Platos Hondos Floreado Opal Templado 22cm Blanco</t>
  </si>
  <si>
    <t>https://articulo.mercadolibre.cl/MLC-1582511883-pack-6-platos-hondos-floreado-opal-templado-22cm-blanco-_JM</t>
  </si>
  <si>
    <t>MLC3092101060</t>
  </si>
  <si>
    <t>Pack 6 Piso Deportivo Modular Goma Eva 60x60x1 Cm Fitness Blanco Blanco Industrial</t>
  </si>
  <si>
    <t>https://articulo.mercadolibre.cl/MLC-3092101060-pack-6-piso-deportivo-modular-goma-eva-60x60x1-cm-fitness-blanco-blanco-industrial-_JM</t>
  </si>
  <si>
    <t>MLC3092101058</t>
  </si>
  <si>
    <t>Pack 6 Piso Deportivo Modular Goma Eva 60x60x1 Cm Fitness Negro Negro Industrial</t>
  </si>
  <si>
    <t>https://articulo.mercadolibre.cl/MLC-3092101058-pack-6-piso-deportivo-modular-goma-eva-60x60x1-cm-fitness-negro-negro-industrial-_JM</t>
  </si>
  <si>
    <t>MLC2933761314</t>
  </si>
  <si>
    <t>106551G</t>
  </si>
  <si>
    <t>Basurero Metálico Con Pedal 8 Litros Pedal Acabado Madera Gris</t>
  </si>
  <si>
    <t>https://articulo.mercadolibre.cl/MLC-2933761314-basurero-metalico-con-pedal-8-litros-pedal-acabado-madera-gris-_JM</t>
  </si>
  <si>
    <t>MLC2933761312</t>
  </si>
  <si>
    <t>106551C</t>
  </si>
  <si>
    <t>Basurero Metálico Con Pedal 8 Litros Pedal Acabado Madera Marrón</t>
  </si>
  <si>
    <t>https://articulo.mercadolibre.cl/MLC-2933761312-basurero-metalico-con-pedal-8-litros-pedal-acabado-madera-marron-_JM</t>
  </si>
  <si>
    <t>MLC2863704914</t>
  </si>
  <si>
    <t>Pack 4 Goma Eva Piso Alfombra Antigolpes 60x60x1cm Madera Marrón Piso Flotante</t>
  </si>
  <si>
    <t>https://articulo.mercadolibre.cl/MLC-2863704914-pack-4-goma-eva-piso-alfombra-antigolpes-60x60x1cm-madera-marron-piso-flotante-_JM</t>
  </si>
  <si>
    <t>MLC2863704912</t>
  </si>
  <si>
    <t>Pack 4 Goma Eva Piso Alfombra Antigolpes 60x60x1cm Madera Beige Lisa</t>
  </si>
  <si>
    <t>https://articulo.mercadolibre.cl/MLC-2863704912-pack-4-goma-eva-piso-alfombra-antigolpes-60x60x1cm-madera-beige-lisa-_JM</t>
  </si>
  <si>
    <t>MLC2853425396</t>
  </si>
  <si>
    <t>Basurero Metálico Con Pedal 12 Litros Plateado Acero Canasta Gris</t>
  </si>
  <si>
    <t>https://articulo.mercadolibre.cl/MLC-2853425396-basurero-metalico-con-pedal-12-litros-plateado-acero-canasta-gris-_JM</t>
  </si>
  <si>
    <t>MLC2853290088</t>
  </si>
  <si>
    <t>Pack 24 Burbujas Juguete Sorpresa Cumpleaños Regalo Paseo Multicolor</t>
  </si>
  <si>
    <t>https://articulo.mercadolibre.cl/MLC-2853290088-pack-24-burbujas-juguete-sorpresa-cumpleanos-regalo-paseo-multicolor-_JM</t>
  </si>
  <si>
    <t>MLC2853171858</t>
  </si>
  <si>
    <t>Set 10 30x30 Alfombra Infantil Goma Eva Cuadros Bebes Niños</t>
  </si>
  <si>
    <t>https://articulo.mercadolibre.cl/MLC-2853171858-set-10-30x30-alfombra-infantil-goma-eva-cuadros-bebes-ninos-_JM</t>
  </si>
  <si>
    <t>MLC1583375395</t>
  </si>
  <si>
    <t>Basurero Metálico Con Pedal 3 Litros Plateado Acero Canasta Gris</t>
  </si>
  <si>
    <t>https://articulo.mercadolibre.cl/MLC-1583375395-basurero-metalico-con-pedal-3-litros-plateado-acero-canasta-gris-_JM</t>
  </si>
  <si>
    <t>MLC1583337113</t>
  </si>
  <si>
    <t>Basurero Metálico Con Pedal 8 Litros Plateado Acero Canasta</t>
  </si>
  <si>
    <t>https://articulo.mercadolibre.cl/MLC-1583337113-basurero-metalico-con-pedal-8-litros-plateado-acero-canasta-_JM</t>
  </si>
  <si>
    <t>MLC1583327473</t>
  </si>
  <si>
    <t>Basurero Metálico Con Pedal 20 Litros Plateado Acero Canasta Acero Inox Brillante</t>
  </si>
  <si>
    <t>https://articulo.mercadolibre.cl/MLC-1583327473-basurero-metalico-con-pedal-20-litros-plateado-acero-canasta-acero-inox-brillante-_JM</t>
  </si>
  <si>
    <t>MLC3086615012</t>
  </si>
  <si>
    <t>107583B</t>
  </si>
  <si>
    <t>Espejo Para Maquillaje Espejo Doble De Mesa Con Aumento 36cm Blanco</t>
  </si>
  <si>
    <t>https://articulo.mercadolibre.cl/MLC-3086615012-espejo-para-maquillaje-espejo-doble-de-mesa-con-aumento-36cm-blanco-_JM</t>
  </si>
  <si>
    <t>MLC3086615010</t>
  </si>
  <si>
    <t>107583R</t>
  </si>
  <si>
    <t>Espejo Para Maquillaje Espejo Doble De Mesa Con Aumento 36cm Rosado</t>
  </si>
  <si>
    <t>https://articulo.mercadolibre.cl/MLC-3086615010-espejo-para-maquillaje-espejo-doble-de-mesa-con-aumento-36cm-rosado-_JM</t>
  </si>
  <si>
    <t>MLC2853699866</t>
  </si>
  <si>
    <t>NE6511</t>
  </si>
  <si>
    <t>Reloj De Cocina Análogo Grande Dorado Reloj De Pared 60cm Dorado Blanco</t>
  </si>
  <si>
    <t>https://articulo.mercadolibre.cl/MLC-2853699866-reloj-de-cocina-analogo-grande-dorado-reloj-de-pared-60cm-dorado-blanco-_JM</t>
  </si>
  <si>
    <t>MLC1583743561</t>
  </si>
  <si>
    <t>WF33356</t>
  </si>
  <si>
    <t>Pileta Y Cascada De Agua Buda Meditación Feng Shui Con Luz Gris</t>
  </si>
  <si>
    <t>https://articulo.mercadolibre.cl/MLC-1583743561-pileta-y-cascada-de-agua-buda-meditacion-feng-shui-con-luz-gris-_JM</t>
  </si>
  <si>
    <t>MLC2855683304</t>
  </si>
  <si>
    <t>LB404002</t>
  </si>
  <si>
    <t>Set 4 Libros Para Colorear Antiestrés 64 Paginas Extraibles</t>
  </si>
  <si>
    <t>https://articulo.mercadolibre.cl/MLC-2855683304-set-4-libros-para-colorear-antiestres-64-paginas-extraibles-_JM</t>
  </si>
  <si>
    <t>MLC2855681612</t>
  </si>
  <si>
    <t>Set Jarra Y 6 Vasos Conjunto Jarra 2 Litros Y 6 Vasos Vidrio Transparente</t>
  </si>
  <si>
    <t>https://articulo.mercadolibre.cl/MLC-2855681612-set-jarra-y-6-vasos-conjunto-jarra-2-litros-y-6-vasos-vidrio-transparente-_JM</t>
  </si>
  <si>
    <t>MLC2855651866</t>
  </si>
  <si>
    <t>28cm Portacupcake Porta Torta Porta Cupcakes Campana Vidrio Transparente</t>
  </si>
  <si>
    <t>https://articulo.mercadolibre.cl/MLC-2855651866-28cm-portacupcake-porta-torta-porta-cupcakes-campana-vidrio-transparente-_JM</t>
  </si>
  <si>
    <t>MLC2855615494</t>
  </si>
  <si>
    <t>WF33333</t>
  </si>
  <si>
    <t>Fuente De Agua Pileta De Agua Buda Feng Shui 18 Cm Con Luz Gris</t>
  </si>
  <si>
    <t>https://articulo.mercadolibre.cl/MLC-2855615494-fuente-de-agua-pileta-de-agua-buda-feng-shui-18-cm-con-luz-gris-_JM</t>
  </si>
  <si>
    <t>MLC2855521002</t>
  </si>
  <si>
    <t>Basurero Metálico Con Pedal 8 Litros Pedal Acabado Madera Color Gris</t>
  </si>
  <si>
    <t>https://articulo.mercadolibre.cl/MLC-2855521002-basurero-metalico-con-pedal-8-litros-pedal-acabado-madera-color-gris-_JM</t>
  </si>
  <si>
    <t>MLC1585279801</t>
  </si>
  <si>
    <t>WF33311</t>
  </si>
  <si>
    <t>Estatua Buda Pileta De Agua Fuente De Agua Buda 28cm Con Luz Gris</t>
  </si>
  <si>
    <t>https://articulo.mercadolibre.cl/MLC-1585279801-estatua-buda-pileta-de-agua-fuente-de-agua-buda-28cm-con-luz-gris-_JM</t>
  </si>
  <si>
    <t>MLC1585279683</t>
  </si>
  <si>
    <t>Colgante De Viento Campana De Viento Llamador De Angel 68cm Plateado</t>
  </si>
  <si>
    <t>https://articulo.mercadolibre.cl/MLC-1585279683-colgante-de-viento-campana-de-viento-llamador-de-angel-68cm-plateado-_JM</t>
  </si>
  <si>
    <t>MLC1585189105</t>
  </si>
  <si>
    <t>Colgante De Viento Campana De Viento Llamador De Angel Turco Plateado</t>
  </si>
  <si>
    <t>https://articulo.mercadolibre.cl/MLC-1585189105-colgante-de-viento-campana-de-viento-llamador-de-angel-turco-plateado-_JM</t>
  </si>
  <si>
    <t>MLC1585173079</t>
  </si>
  <si>
    <t>BM22104</t>
  </si>
  <si>
    <t>Figura Estatua Adorno Caballo Blanco Grande 29 Cm Elegante Blanco</t>
  </si>
  <si>
    <t>https://articulo.mercadolibre.cl/MLC-1585173079-figura-estatua-adorno-caballo-blanco-grande-29-cm-elegante-blanco-_JM</t>
  </si>
  <si>
    <t>MLC1585111423</t>
  </si>
  <si>
    <t>Caja 48 Tazones Para Sublimacion Blanco Grado A 11oz Ceramic Blanco</t>
  </si>
  <si>
    <t>https://articulo.mercadolibre.cl/MLC-1585111423-caja-48-tazones-para-sublimacion-blanco-grado-a-11oz-ceramic-blanco-_JM</t>
  </si>
  <si>
    <t>MLC1585098747</t>
  </si>
  <si>
    <t>WF33374</t>
  </si>
  <si>
    <t>Estatua Decorativa Pileta De Agua Fuente De Agua Grande 40cm Gris</t>
  </si>
  <si>
    <t>https://articulo.mercadolibre.cl/MLC-1585098747-estatua-decorativa-pileta-de-agua-fuente-de-agua-grande-40cm-gris-_JM</t>
  </si>
  <si>
    <t>MLC1585094821</t>
  </si>
  <si>
    <t>Set Jarra Y 6 Vasos Conjunto Jarra 2 Litros 6 Vasos Vidrio Transparente</t>
  </si>
  <si>
    <t>https://articulo.mercadolibre.cl/MLC-1585094821-set-jarra-y-6-vasos-conjunto-jarra-2-litros-6-vasos-vidrio-transparente-_JM</t>
  </si>
  <si>
    <t>MLC1585093281</t>
  </si>
  <si>
    <t>Separador De Servicios Organizador De Servicios O Cubiertos Blanco</t>
  </si>
  <si>
    <t>https://articulo.mercadolibre.cl/MLC-1585093281-separador-de-servicios-organizador-de-servicios-o-cubiertos-blanco-_JM</t>
  </si>
  <si>
    <t>MLC2856205088</t>
  </si>
  <si>
    <t>BM22183</t>
  </si>
  <si>
    <t>Estatua Figura Gato Adorno Interior Gata Regalo 30 Cm Blanco</t>
  </si>
  <si>
    <t>https://articulo.mercadolibre.cl/MLC-2856205088-estatua-figura-gato-adorno-interior-gata-regalo-30-cm-blanco-_JM</t>
  </si>
  <si>
    <t>MLC2855996872</t>
  </si>
  <si>
    <t>RS66888</t>
  </si>
  <si>
    <t>Estatua Dama De La Justicia Adorno Dama De La Justicia Plateado</t>
  </si>
  <si>
    <t>https://articulo.mercadolibre.cl/MLC-2855996872-estatua-dama-de-la-justicia-adorno-dama-de-la-justicia-plateado-_JM</t>
  </si>
  <si>
    <t>MLC2856788222</t>
  </si>
  <si>
    <t>WF33377</t>
  </si>
  <si>
    <t>Fuente De Agua Pileta De Agua 3 Vasijas Grande 37 Cm Con Luz Gris</t>
  </si>
  <si>
    <t>https://articulo.mercadolibre.cl/MLC-2856788222-fuente-de-agua-pileta-de-agua-3-vasijas-grande-37-cm-con-luz-gris-_JM</t>
  </si>
  <si>
    <t>MLC1586344127</t>
  </si>
  <si>
    <t>WF33328</t>
  </si>
  <si>
    <t>Fuente De Agua Pileta De Agua Ganesha Con Luz 18 Cm Dorado</t>
  </si>
  <si>
    <t>https://articulo.mercadolibre.cl/MLC-1586344127-fuente-de-agua-pileta-de-agua-ganesha-con-luz-18-cm-dorado-_JM</t>
  </si>
  <si>
    <t>MLC1586318489</t>
  </si>
  <si>
    <t>WF33338</t>
  </si>
  <si>
    <t>Fuente De Agua Pileta De Agua Jesus Sagrado Con Luz 18 Cm Gris</t>
  </si>
  <si>
    <t>https://articulo.mercadolibre.cl/MLC-1586318489-fuente-de-agua-pileta-de-agua-jesus-sagrado-con-luz-18-cm-gris-_JM</t>
  </si>
  <si>
    <t>MLC1586264401</t>
  </si>
  <si>
    <t>WF33353</t>
  </si>
  <si>
    <t>Fuente De Agua Pileta De Agua Elefantes 28 Cm Con Luz Gris</t>
  </si>
  <si>
    <t>https://articulo.mercadolibre.cl/MLC-1586264401-fuente-de-agua-pileta-de-agua-elefantes-28-cm-con-luz-gris-_JM</t>
  </si>
  <si>
    <t>MLC1586204807</t>
  </si>
  <si>
    <t>YQ102251</t>
  </si>
  <si>
    <t>Fuente De Agua Pileta De Agua Querubín 18cm Con Luz Gris</t>
  </si>
  <si>
    <t>https://articulo.mercadolibre.cl/MLC-1586204807-fuente-de-agua-pileta-de-agua-querubin-18cm-con-luz-gris-_JM</t>
  </si>
  <si>
    <t>MLC1586176079</t>
  </si>
  <si>
    <t>WF33336</t>
  </si>
  <si>
    <t>Fuente De Agua Pileta De Agua Elefante Con Luz 18 Cm Gris</t>
  </si>
  <si>
    <t>https://articulo.mercadolibre.cl/MLC-1586176079-fuente-de-agua-pileta-de-agua-elefante-con-luz-18-cm-gris-_JM</t>
  </si>
  <si>
    <t>MLC1585891979</t>
  </si>
  <si>
    <t>FH49021</t>
  </si>
  <si>
    <t>Estatua Figura Religiosa Angel Virgen Maria Familia Sagrada Roble</t>
  </si>
  <si>
    <t>https://articulo.mercadolibre.cl/MLC-1585891979-estatua-figura-religiosa-angel-virgen-maria-familia-sagrada-roble-_JM</t>
  </si>
  <si>
    <t>MLC2857327110</t>
  </si>
  <si>
    <t>WF33327</t>
  </si>
  <si>
    <t>Fuente De Agua Pileta De Agua Ganesha Interior 18cm Con Luz Dorado</t>
  </si>
  <si>
    <t>https://articulo.mercadolibre.cl/MLC-2857327110-fuente-de-agua-pileta-de-agua-ganesha-interior-18cm-con-luz-dorado-_JM</t>
  </si>
  <si>
    <t>MLC2857300512</t>
  </si>
  <si>
    <t>WF33375</t>
  </si>
  <si>
    <t>Fuente De Agua Pileta De Agua Elefantes Grande 37 Cm Con Luz Gris</t>
  </si>
  <si>
    <t>https://articulo.mercadolibre.cl/MLC-2857300512-fuente-de-agua-pileta-de-agua-elefantes-grande-37-cm-con-luz-gris-_JM</t>
  </si>
  <si>
    <t>MLC1589044173</t>
  </si>
  <si>
    <t>Pack 4 Goma Eva Piso Alfombra Antigolpes 50x50x1cm Multicolor Liso</t>
  </si>
  <si>
    <t>https://articulo.mercadolibre.cl/MLC-1589044173-pack-4-goma-eva-piso-alfombra-antigolpes-50x50x1cm-multicolor-liso-_JM</t>
  </si>
  <si>
    <t>MLC1589018163</t>
  </si>
  <si>
    <t>Naipe Ingles Cartas Inglesa Baraja Ingles Plastificado Poker Multicolor Inglés</t>
  </si>
  <si>
    <t>https://articulo.mercadolibre.cl/MLC-1589018163-naipe-ingles-cartas-inglesa-baraja-ingles-plastificado-poker-multicolor-ingles-_JM</t>
  </si>
  <si>
    <t>MLC1590158569</t>
  </si>
  <si>
    <t>WF33337</t>
  </si>
  <si>
    <t>Fuente De Agua Pileta De Agua Virgen Maria Con Luz 18 Cm Gris</t>
  </si>
  <si>
    <t>https://articulo.mercadolibre.cl/MLC-1590158569-fuente-de-agua-pileta-de-agua-virgen-maria-con-luz-18-cm-gris-_JM</t>
  </si>
  <si>
    <t>MLC1590145681</t>
  </si>
  <si>
    <t>Basurero Metálico Con Pedal 5 Litros Plateado Acero Canasta</t>
  </si>
  <si>
    <t>https://articulo.mercadolibre.cl/MLC-1590145681-basurero-metalico-con-pedal-5-litros-plateado-acero-canasta-_JM</t>
  </si>
  <si>
    <t>MLC1589095741</t>
  </si>
  <si>
    <t>Set 3 Maletas De Viaje 23, 15, 10 Kg Maleta De Cabina Tela Marrón Marron Elegante</t>
  </si>
  <si>
    <t>https://articulo.mercadolibre.cl/MLC-1589095741-set-3-maletas-de-viaje-23-15-10-kg-maleta-de-cabina-tela-marron-marron-elegante-_JM</t>
  </si>
  <si>
    <t>MLC2863379684</t>
  </si>
  <si>
    <t>ML235</t>
  </si>
  <si>
    <t>Set 10 30x30 Alfombra Infantil Goma Eva Cuadros Bebes Niños Color Multicolor Números</t>
  </si>
  <si>
    <t>https://articulo.mercadolibre.cl/MLC-2863379684-set-10-30x30-alfombra-infantil-goma-eva-cuadros-bebes-ninos-color-multicolor-numeros-_JM</t>
  </si>
  <si>
    <t>MLC1593130463</t>
  </si>
  <si>
    <t>ML331</t>
  </si>
  <si>
    <t>Set 10 30x30 Alfombra Infantil Goma Eva Cuadros Bebes Niños Color Multicolor Liso</t>
  </si>
  <si>
    <t>https://articulo.mercadolibre.cl/MLC-1593130463-set-10-30x30-alfombra-infantil-goma-eva-cuadros-bebes-ninos-color-multicolor-liso-_JM</t>
  </si>
  <si>
    <t>MLC2867073664</t>
  </si>
  <si>
    <t>ML236</t>
  </si>
  <si>
    <t>Set 10 30x30 Alfombra Infantil Goma Eva Cuadros Bebes Niños Color Multicolor Letras</t>
  </si>
  <si>
    <t>https://articulo.mercadolibre.cl/MLC-2867073664-set-10-30x30-alfombra-infantil-goma-eva-cuadros-bebes-ninos-color-multicolor-letras-_JM</t>
  </si>
  <si>
    <t>MLC2869353570</t>
  </si>
  <si>
    <t>La Última Cena Jesus Figura Decorativa Religiosa Adorno Marrón</t>
  </si>
  <si>
    <t>https://articulo.mercadolibre.cl/MLC-2869353570-la-ultima-cena-jesus-figura-decorativa-religiosa-adorno-marron-_JM</t>
  </si>
  <si>
    <t>MLC1596422757</t>
  </si>
  <si>
    <t>https://articulo.mercadolibre.cl/MLC-1596422757-naipe-ingles-cartas-inglesa-baraja-ingles-plastificado-poker-multicolor-ingles-_JM</t>
  </si>
  <si>
    <t>MLC2870456220</t>
  </si>
  <si>
    <t>L-treonato De Magnesio 500mg 90 Cápsulas 100% Natural Extrem Sin Sabor</t>
  </si>
  <si>
    <t>https://articulo.mercadolibre.cl/MLC-2870456220-l-treonato-de-magnesio-500mg-90-capsulas-100-natural-extrem-sin-sabor-_JM</t>
  </si>
  <si>
    <t>MLC2870456002</t>
  </si>
  <si>
    <t>Zma Zinc + Magnesio + Vit B6 90 Capsulas 500mg Sabor Sin Sabor</t>
  </si>
  <si>
    <t>Sí</t>
  </si>
  <si>
    <t>https://articulo.mercadolibre.cl/MLC-2870456002-zma-zinc-magnesio-vit-b6-90-capsulas-500mg-sabor-sin-sabor-_JM</t>
  </si>
  <si>
    <t>MLC2870455538</t>
  </si>
  <si>
    <t>Biotina + Colágeno Hidrolizado</t>
  </si>
  <si>
    <t>https://articulo.mercadolibre.cl/MLC-2870455538-biotina-colageno-hidrolizado-_JM</t>
  </si>
  <si>
    <t>MLC2870432286</t>
  </si>
  <si>
    <t>Pack2Bisglicinato</t>
  </si>
  <si>
    <t>2 Bisglicinato De Magnesio 500mg X 60 Caps Vegetal Sabor Neutro</t>
  </si>
  <si>
    <t>https://articulo.mercadolibre.cl/MLC-2870432286-2-bisglicinato-de-magnesio-500mg-x-60-caps-vegetal-sabor-neutro-_JM</t>
  </si>
  <si>
    <t>MLC2870432226</t>
  </si>
  <si>
    <t>Pack3MagMalatoEX</t>
  </si>
  <si>
    <t>Pack De 3 Magnesio Malato 500mg 180 Cápsulas Vegetales Sabor Natural</t>
  </si>
  <si>
    <t>https://articulo.mercadolibre.cl/MLC-2870432226-pack-de-3-magnesio-malato-500mg-180-capsulas-vegetales-sabor-natural-_JM</t>
  </si>
  <si>
    <t>MLC2870367928</t>
  </si>
  <si>
    <t>Citrato De Magnesio Cápsulas Extremo Sur Sin Sabor Libre De Gluten Vegano 45g</t>
  </si>
  <si>
    <t>https://articulo.mercadolibre.cl/MLC-2870367928-citrato-de-magnesio-capsulas-extremo-sur-sin-sabor-libre-de-gluten-vegano-45g-_JM</t>
  </si>
  <si>
    <t>MLC2870367566</t>
  </si>
  <si>
    <t>7804651160211-1</t>
  </si>
  <si>
    <t>Biotina + Colágeno Hidrolizado Con Vitamina C Extremo Sur Sin Sabor</t>
  </si>
  <si>
    <t>https://articulo.mercadolibre.cl/MLC-2870367566-biotina-colageno-hidrolizado-con-vitamina-c-extremo-sur-sin-sabor-_JM</t>
  </si>
  <si>
    <t>MLC2870329548</t>
  </si>
  <si>
    <t>7896108058967-1</t>
  </si>
  <si>
    <t>Zma Zinc + Magnesio + Vit B6 90 Capsulas 500mg Sabor Sin Sab Sin Sabor</t>
  </si>
  <si>
    <t>https://articulo.mercadolibre.cl/MLC-2870329548-zma-zinc-magnesio-vit-b6-90-capsulas-500mg-sabor-sin-sab-sin-sabor-_JM</t>
  </si>
  <si>
    <t>MLC2870329358</t>
  </si>
  <si>
    <t>Pack2Mag-Cit</t>
  </si>
  <si>
    <t>Pack 2 Magnesio Citrato 180 Cap Y 2 Potasio Citrato 180 Cap Extremo Sur</t>
  </si>
  <si>
    <t>https://articulo.mercadolibre.cl/MLC-2870329358-pack-2-magnesio-citrato-180-cap-y-2-potasio-citrato-180-cap-extremo-sur-_JM</t>
  </si>
  <si>
    <t>MLC2870277888</t>
  </si>
  <si>
    <t>Pack3MagMalato</t>
  </si>
  <si>
    <t>https://articulo.mercadolibre.cl/MLC-2870277888-pack-de-3-magnesio-malato-500mg-180-capsulas-vegetales-sabor-natural-_JM</t>
  </si>
  <si>
    <t>MLC2870265058</t>
  </si>
  <si>
    <t>L-treonato De Magnesio 500mg 90 Cápsulas 100% Natural Extremo Sur</t>
  </si>
  <si>
    <t>https://articulo.mercadolibre.cl/MLC-2870265058-l-treonato-de-magnesio-500mg-90-capsulas-100-natural-extremo-sur-_JM</t>
  </si>
  <si>
    <t>MLC2870228100</t>
  </si>
  <si>
    <t>Pack2Mag-Citrato</t>
  </si>
  <si>
    <t>Pack 2 Magnesio Citrato 180 Cap Y 2 Potasio Citrato 180 Cap Sin Sabor</t>
  </si>
  <si>
    <t>https://articulo.mercadolibre.cl/MLC-2870228100-pack-2-magnesio-citrato-180-cap-y-2-potasio-citrato-180-cap-sin-sabor-_JM</t>
  </si>
  <si>
    <t>MLC1596962971</t>
  </si>
  <si>
    <t>Pack2BisgliEX</t>
  </si>
  <si>
    <t>2 Bisglicinato De Magnesio 500mg X 60 Caps Vegetal Sabor Neu Neutro</t>
  </si>
  <si>
    <t>https://articulo.mercadolibre.cl/MLC-1596962971-2-bisglicinato-de-magnesio-500mg-x-60-caps-vegetal-sabor-neu-neutro-_JM</t>
  </si>
  <si>
    <t>MLC1596924193</t>
  </si>
  <si>
    <t>7804651160310-1</t>
  </si>
  <si>
    <t>Suplemento En Cápsula Extremo Sur Citrato De Magnesio X 45g Sin Sabor</t>
  </si>
  <si>
    <t>https://articulo.mercadolibre.cl/MLC-1596924193-suplemento-en-capsula-extremo-sur-citrato-de-magnesio-x-45g-sin-sabor-_JM</t>
  </si>
  <si>
    <t>MLC2872135864</t>
  </si>
  <si>
    <t>TH21557</t>
  </si>
  <si>
    <t>Bombonera Con Tapa Bombonera Para Bombones Ceramica Frutilla Rojo</t>
  </si>
  <si>
    <t>https://articulo.mercadolibre.cl/MLC-2872135864-bombonera-con-tapa-bombonera-para-bombones-ceramica-frutilla-rojo-_JM</t>
  </si>
  <si>
    <t>MLC2872122784</t>
  </si>
  <si>
    <t>SP201075</t>
  </si>
  <si>
    <t>Salero Y Pimentero Para Mesa De Ceramica Calabaza Multicolor</t>
  </si>
  <si>
    <t>https://articulo.mercadolibre.cl/MLC-2872122784-salero-y-pimentero-para-mesa-de-ceramica-calabaza-multicolor-_JM</t>
  </si>
  <si>
    <t>MLC2872120342</t>
  </si>
  <si>
    <t>SP201074</t>
  </si>
  <si>
    <t>Servilletero Ceramica Porta Servilletas De Calabaza 11 Cm Multicolor</t>
  </si>
  <si>
    <t>https://articulo.mercadolibre.cl/MLC-2872120342-servilletero-ceramica-porta-servilletas-de-calabaza-11-cm-multicolor-_JM</t>
  </si>
  <si>
    <t>MLC2872031222</t>
  </si>
  <si>
    <t>SP201067</t>
  </si>
  <si>
    <t>Tetera De Cerámica 850 Ml Calabaza Calabaza</t>
  </si>
  <si>
    <t>https://articulo.mercadolibre.cl/MLC-2872031222-tetera-de-ceramica-850-ml-calabaza-calabaza-_JM</t>
  </si>
  <si>
    <t>MLC1598213735</t>
  </si>
  <si>
    <t>TH21563</t>
  </si>
  <si>
    <t>Salero Y Pimentero Para Mesa De Ceramica Frutilla Rojo</t>
  </si>
  <si>
    <t>https://articulo.mercadolibre.cl/MLC-1598213735-salero-y-pimentero-para-mesa-de-ceramica-frutilla-rojo-_JM</t>
  </si>
  <si>
    <t>MLC1598182719</t>
  </si>
  <si>
    <t>SP201078</t>
  </si>
  <si>
    <t>Bombonera Con Tapa Bombonera Para Bombones Ceramica Calabaza Multicolor</t>
  </si>
  <si>
    <t>https://articulo.mercadolibre.cl/MLC-1598182719-bombonera-con-tapa-bombonera-para-bombones-ceramica-calabaza-multicolor-_JM</t>
  </si>
  <si>
    <t>MLC1598163137</t>
  </si>
  <si>
    <t>TH21550</t>
  </si>
  <si>
    <t>Servilletero Ceramica Porta Servilletas De Frutilla 20 Cm Rojo</t>
  </si>
  <si>
    <t>https://articulo.mercadolibre.cl/MLC-1598163137-servilletero-ceramica-porta-servilletas-de-frutilla-20-cm-rojo-_JM</t>
  </si>
  <si>
    <t>MLC1598150129</t>
  </si>
  <si>
    <t>TH21543</t>
  </si>
  <si>
    <t>Fuente Para Comida De Ceramica Frutilla 21cm Rojo</t>
  </si>
  <si>
    <t>https://articulo.mercadolibre.cl/MLC-1598150129-fuente-para-comida-de-ceramica-frutilla-21cm-rojo-_JM</t>
  </si>
  <si>
    <t>MLC2884354532</t>
  </si>
  <si>
    <t>Citrato De Magnesio + L Triptófano 90 Capsulas Zeo Sport</t>
  </si>
  <si>
    <t>https://articulo.mercadolibre.cl/MLC-2884354532-citrato-de-magnesio-l-triptofano-90-capsulas-zeo-sport-_JM</t>
  </si>
  <si>
    <t>MLC2884237924</t>
  </si>
  <si>
    <t>Suplemento Zeo Sport Premium Citrato De Magnesio De 50g X 90 Unidades</t>
  </si>
  <si>
    <t>https://articulo.mercadolibre.cl/MLC-2884237924-suplemento-zeo-sport-premium-citrato-de-magnesio-de-50g-x-90-unidades-_JM</t>
  </si>
  <si>
    <t>MLC2884186274</t>
  </si>
  <si>
    <t>Citrato De Magnesio Zeo Sport 1 Kilo En Polvo Línea Premium</t>
  </si>
  <si>
    <t>https://articulo.mercadolibre.cl/MLC-2884186274-citrato-de-magnesio-zeo-sport-1-kilo-en-polvo-linea-premium-_JM</t>
  </si>
  <si>
    <t>MLC2884173342</t>
  </si>
  <si>
    <t>Bisglicinato De Magnesio Zeo Sport 1000mg 90 Cápsulas Veganas Sin Sabor Sin Sabor (90 Capsulas)</t>
  </si>
  <si>
    <t>https://articulo.mercadolibre.cl/MLC-2884173342-bisglicinato-de-magnesio-zeo-sport-1000mg-90-capsulas-veganas-sin-sabor-sin-sabor-90-capsulas-_JM</t>
  </si>
  <si>
    <t>MLC2884550352</t>
  </si>
  <si>
    <t>TH21549</t>
  </si>
  <si>
    <t>Mantequillera Con Tapa Mantequillera De Ceramica Frutilla Rojo</t>
  </si>
  <si>
    <t>https://articulo.mercadolibre.cl/MLC-2884550352-mantequillera-con-tapa-mantequillera-de-ceramica-frutilla-rojo-_JM</t>
  </si>
  <si>
    <t>MLC2886979324</t>
  </si>
  <si>
    <t>SOBRES 710763</t>
  </si>
  <si>
    <t>Super Zings Serie 3 Pack 10 Sobres 1 Figura Por Sobre</t>
  </si>
  <si>
    <t>https://articulo.mercadolibre.cl/MLC-2886979324-super-zings-serie-3-pack-10-sobres-1-figura-por-sobre-_JM</t>
  </si>
  <si>
    <t>MLC2886467526</t>
  </si>
  <si>
    <t>Pack 3 Magnesio</t>
  </si>
  <si>
    <t>Citrato De Magnesio Cápsulas Extremo Sur 500mg Sin Sabor X270 Unidades</t>
  </si>
  <si>
    <t>https://articulo.mercadolibre.cl/MLC-2886467526-citrato-de-magnesio-capsulas-extremo-sur-500mg-sin-sabor-x270-unidades-_JM</t>
  </si>
  <si>
    <t>MLC2886227406</t>
  </si>
  <si>
    <t>Extremo Sur - Melena De Leon 500mg 60 Cap. 100% Natural</t>
  </si>
  <si>
    <t>https://articulo.mercadolibre.cl/MLC-2886227406-extremo-sur-melena-de-leon-500mg-60-cap-100-natural-_JM</t>
  </si>
  <si>
    <t>MLC2886162644</t>
  </si>
  <si>
    <t>Vitamina C 90 Cap De 500mg 100% Natural Extremo Sur</t>
  </si>
  <si>
    <t>https://articulo.mercadolibre.cl/MLC-2886162644-vitamina-c-90-cap-de-500mg-100-natural-extremo-sur-_JM</t>
  </si>
  <si>
    <t>MLC1608039965</t>
  </si>
  <si>
    <t>Strive Magnesio</t>
  </si>
  <si>
    <t>Strive Magnesio + L Triptófano 60 Cápsulas Nutricional Sin Sabor</t>
  </si>
  <si>
    <t>https://articulo.mercadolibre.cl/MLC-1608039965-strive-magnesio-l-triptofano-60-capsulas-nutricional-sin-sabor-_JM</t>
  </si>
  <si>
    <t>MLC2888665676</t>
  </si>
  <si>
    <t>Super Zings Serie 3 - Caja Sellada 25 Personajes</t>
  </si>
  <si>
    <t>https://articulo.mercadolibre.cl/MLC-2888665676-super-zings-serie-3-caja-sellada-25-personajes-_JM</t>
  </si>
  <si>
    <t>MLC2888575494</t>
  </si>
  <si>
    <t>Screatina</t>
  </si>
  <si>
    <t>Creatina Monohidratada Micronizada - 300gr, Strive Sin Sabor Sin Sabor</t>
  </si>
  <si>
    <t>https://articulo.mercadolibre.cl/MLC-2888575494-creatina-monohidratada-micronizada-300gr-strive-sin-sabor-sin-sabor-_JM</t>
  </si>
  <si>
    <t>MLC2888547512</t>
  </si>
  <si>
    <t>Barras De Proteina Protein Bite Black &amp; White Pack 4 Barrita</t>
  </si>
  <si>
    <t>https://articulo.mercadolibre.cl/MLC-2888547512-barras-de-proteina-protein-bite-black-white-pack-4-barrita-_JM</t>
  </si>
  <si>
    <t>MLC1609044811</t>
  </si>
  <si>
    <t>Barras De Proteinas Yourgoal Protein Bite 4u Caramel Peanuts Caramel Peanuts Salty</t>
  </si>
  <si>
    <t>https://articulo.mercadolibre.cl/MLC-1609044811-barras-de-proteinas-yourgoal-protein-bite-4u-caramel-peanuts-caramel-peanuts-salty-_JM</t>
  </si>
  <si>
    <t>MLC2890055674</t>
  </si>
  <si>
    <t>WF33204</t>
  </si>
  <si>
    <t>Pileta Fuente Cascada Agua Religiosa Niño Jesus San Jose Gris</t>
  </si>
  <si>
    <t>https://articulo.mercadolibre.cl/MLC-2890055674-pileta-fuente-cascada-agua-religiosa-nino-jesus-san-jose-gris-_JM</t>
  </si>
  <si>
    <t>MLC2892446834</t>
  </si>
  <si>
    <t>Set27 5x5cm Abecedario Letras Gomaeva Bebe Alfombra Infantil Multicolor Abecedario</t>
  </si>
  <si>
    <t>https://articulo.mercadolibre.cl/MLC-2892446834-set27-5x5cm-abecedario-letras-gomaeva-bebe-alfombra-infantil-multicolor-abecedario-_JM</t>
  </si>
  <si>
    <t>MLC2892393542</t>
  </si>
  <si>
    <t>Set 29 9x9 Piezas Alfombra Goma Eva Cuadros Bebe Niños Multicolor Números</t>
  </si>
  <si>
    <t>https://articulo.mercadolibre.cl/MLC-2892393542-set-29-9x9-piezas-alfombra-goma-eva-cuadros-bebe-ninos-multicolor-numeros-_JM</t>
  </si>
  <si>
    <t>MLC2892355596</t>
  </si>
  <si>
    <t>Set 10 9x9cm Alfombra Infantil Goma Eva Cuadros Bebes Niños Multicolor Números</t>
  </si>
  <si>
    <t>https://articulo.mercadolibre.cl/MLC-2892355596-set-10-9x9cm-alfombra-infantil-goma-eva-cuadros-bebes-ninos-multicolor-numeros-_JM</t>
  </si>
  <si>
    <t>MLC2892225070</t>
  </si>
  <si>
    <t>Set 60 5x5 Alfombra Infantil Goma Eva Cuadros Bebes Numeros Multicolor Números</t>
  </si>
  <si>
    <t>https://articulo.mercadolibre.cl/MLC-2892225070-set-60-5x5-alfombra-infantil-goma-eva-cuadros-bebes-numeros-multicolor-numeros-_JM</t>
  </si>
  <si>
    <t>MLC1611564729</t>
  </si>
  <si>
    <t>MUSCRF35631</t>
  </si>
  <si>
    <t>Mustela Crema Facial Hydra Bebé Piel Normal 40ml</t>
  </si>
  <si>
    <t>https://articulo.mercadolibre.cl/MLC-1611564729-mustela-crema-facial-hydra-bebe-piel-normal-40ml-_JM</t>
  </si>
  <si>
    <t>MLC1611551879</t>
  </si>
  <si>
    <t>COMJFM30095</t>
  </si>
  <si>
    <t>Shampoo Controlgx Control Gx Just For Men Tinte Shampoo Y Sh</t>
  </si>
  <si>
    <t>https://articulo.mercadolibre.cl/MLC-1611551879-shampoo-controlgx-control-gx-just-for-men-tinte-shampoo-y-sh-_JM</t>
  </si>
  <si>
    <t>MLC1611538777</t>
  </si>
  <si>
    <t>MUSCR125847</t>
  </si>
  <si>
    <t>Mustela Crema Preventiva De Pañal Vitaminada 123 Bebé 100ml</t>
  </si>
  <si>
    <t>https://articulo.mercadolibre.cl/MLC-1611538777-mustela-crema-preventiva-de-panal-vitaminada-123-bebe-100ml-_JM</t>
  </si>
  <si>
    <t>MLC1611512641</t>
  </si>
  <si>
    <t>KATIAB49236</t>
  </si>
  <si>
    <t>Alisado Brasilero Para Todo Tipo De Cabello</t>
  </si>
  <si>
    <t>https://articulo.mercadolibre.cl/MLC-1611512641-alisado-brasilero-para-todo-tipo-de-cabello-_JM</t>
  </si>
  <si>
    <t>MLC1611460233</t>
  </si>
  <si>
    <t>ALPSH214317</t>
  </si>
  <si>
    <t>Shampoo Alpecin Cafeína Doble Efecto Anticaída 200 Ml</t>
  </si>
  <si>
    <t>https://articulo.mercadolibre.cl/MLC-1611460233-shampoo-alpecin-cafeina-doble-efecto-anticaida-200-ml-_JM</t>
  </si>
  <si>
    <t>MLC1611435373</t>
  </si>
  <si>
    <t>Goma Eva Plegable Niños Bebes Multicolor</t>
  </si>
  <si>
    <t>https://articulo.mercadolibre.cl/MLC-1611435373-goma-eva-plegable-ninos-bebes-multicolor-_JM</t>
  </si>
  <si>
    <t>MLC1611427455</t>
  </si>
  <si>
    <t>Candelabro Vidrio Portavela Vidrio 15 Cm Transparente</t>
  </si>
  <si>
    <t>https://articulo.mercadolibre.cl/MLC-1611427455-candelabro-vidrio-portavela-vidrio-15-cm-transparente-_JM</t>
  </si>
  <si>
    <t>MLC1611382963</t>
  </si>
  <si>
    <t>MUSGEL35617</t>
  </si>
  <si>
    <t>Mustela Gel De Baño 500 Ml Botella</t>
  </si>
  <si>
    <t>https://articulo.mercadolibre.cl/MLC-1611382963-mustela-gel-de-bano-500-ml-botella-_JM</t>
  </si>
  <si>
    <t>MLC1611357713</t>
  </si>
  <si>
    <t>ALPLO214218</t>
  </si>
  <si>
    <t>Alpecin Anti Calvicie Loción Cafeína Líquida 200 Ml</t>
  </si>
  <si>
    <t>https://articulo.mercadolibre.cl/MLC-1611357713-alpecin-anti-calvicie-locion-cafeina-liquida-200-ml-_JM</t>
  </si>
  <si>
    <t>MLC2895881538</t>
  </si>
  <si>
    <t>Barras De Proteina Yourgoal Twentys 12u Lemon Cheesecake Lemon Cheesecake</t>
  </si>
  <si>
    <t>https://articulo.mercadolibre.cl/MLC-2895881538-barras-de-proteina-yourgoal-twentys-12u-lemon-cheesecake-lemon-cheesecake-_JM</t>
  </si>
  <si>
    <t>MLC2895855204</t>
  </si>
  <si>
    <t>Yourgoal Barra Protein Snack Rich Caramel Caja 5un</t>
  </si>
  <si>
    <t>https://articulo.mercadolibre.cl/MLC-2895855204-yourgoal-barra-protein-snack-rich-caramel-caja-5un-_JM</t>
  </si>
  <si>
    <t>MLC2895816052</t>
  </si>
  <si>
    <t>Barras De Proteina Protein Sanck Sabor Snack Berries &amp; White Glaze Pack 5 Barritas 42g C/u Yourgoal Nutrition Suplemento Con Proteina</t>
  </si>
  <si>
    <t>https://articulo.mercadolibre.cl/MLC-2895816052-barras-de-proteina-protein-sanck-sabor-snack-berries-white-glaze-pack-5-barritas-42g-cu-yourgoal-nutrition-suplemento-con-proteina-_JM</t>
  </si>
  <si>
    <t>MLC2895751464</t>
  </si>
  <si>
    <t>Barras De Proteina Twenty's Sabor Chocolate Brownie Pack 12 Barritas 60g C/u Yourgoal Nutrition Suplemento Con Proteina Brownie De Chocolate</t>
  </si>
  <si>
    <t>https://articulo.mercadolibre.cl/MLC-2895751464-barras-de-proteina-twentys-sabor-chocolate-brownie-pack-12-barritas-60g-cu-yourgoal-nutrition-suplemento-con-proteina-brownie-de-chocolate-_JM</t>
  </si>
  <si>
    <t>MLC2895725876</t>
  </si>
  <si>
    <t>Pack 12 Barras De Proteina 60g Twenty's Sabor Avellana Hazelnut Praline Yourgoal Nutrition</t>
  </si>
  <si>
    <t>https://articulo.mercadolibre.cl/MLC-2895725876-pack-12-barras-de-proteina-60g-twentys-sabor-avellana-hazelnut-praline-yourgoal-nutrition-_JM</t>
  </si>
  <si>
    <t>MLC2895647764</t>
  </si>
  <si>
    <t>Barras De Proteina Twenty's Sabor Chocolate Fudge Pack 12 Barritas 60g C/u Yourgoal Nutrition Suplemento Con Proteina</t>
  </si>
  <si>
    <t>https://articulo.mercadolibre.cl/MLC-2895647764-barras-de-proteina-twentys-sabor-chocolate-fudge-pack-12-barritas-60g-cu-yourgoal-nutrition-suplemento-con-proteina-_JM</t>
  </si>
  <si>
    <t>MLC2895647120</t>
  </si>
  <si>
    <t>Barras De Proteina Protein Snack Sabor Chocolate &amp; Crispis P</t>
  </si>
  <si>
    <t>https://articulo.mercadolibre.cl/MLC-2895647120-barras-de-proteina-protein-snack-sabor-chocolate-crispis-p-_JM</t>
  </si>
  <si>
    <t>MLC2895582228</t>
  </si>
  <si>
    <t>Yourgoal Barra Protein Snack Banana Chips &amp; Caramel Caja 5un</t>
  </si>
  <si>
    <t>https://articulo.mercadolibre.cl/MLC-2895582228-yourgoal-barra-protein-snack-banana-chips-caramel-caja-5un-_JM</t>
  </si>
  <si>
    <t>MLC2896409798</t>
  </si>
  <si>
    <t>PT345090-60</t>
  </si>
  <si>
    <t>Bentley Gel Lubricante Chocolate Menta 50 Gr. Chocolate/menta</t>
  </si>
  <si>
    <t>https://articulo.mercadolibre.cl/MLC-2896409798-bentley-gel-lubricante-chocolate-menta-50-gr-chocolatementa-_JM</t>
  </si>
  <si>
    <t>MLC2896396666</t>
  </si>
  <si>
    <t>PT345091-60</t>
  </si>
  <si>
    <t>Lubricante Bentley Tropical</t>
  </si>
  <si>
    <t>https://articulo.mercadolibre.cl/MLC-2896396666-lubricante-bentley-tropical-_JM</t>
  </si>
  <si>
    <t>MLC2896370956</t>
  </si>
  <si>
    <t>PT540341-61</t>
  </si>
  <si>
    <t>Bentley Classic Gel 50 Gr.</t>
  </si>
  <si>
    <t>https://articulo.mercadolibre.cl/MLC-2896370956-bentley-classic-gel-50-gr-_JM</t>
  </si>
  <si>
    <t>MLC2896370888</t>
  </si>
  <si>
    <t>PT340200-15</t>
  </si>
  <si>
    <t>Crevet Limonada Con Stevia 60 Sobres Vit C+ Propóleo + Zinc</t>
  </si>
  <si>
    <t>https://articulo.mercadolibre.cl/MLC-2896370888-crevet-limonada-con-stevia-60-sobres-vit-c-propoleo-zinc-_JM</t>
  </si>
  <si>
    <t>MLC2896358394</t>
  </si>
  <si>
    <t>PT345157-11</t>
  </si>
  <si>
    <t>Preservativo Lifestyles Skyn Original De 15 Unidades</t>
  </si>
  <si>
    <t>https://articulo.mercadolibre.cl/MLC-2896358394-preservativo-lifestyles-skyn-original-de-15-unidades-_JM</t>
  </si>
  <si>
    <t>MLC2896358342</t>
  </si>
  <si>
    <t>Preservativos Condones Lifestyles X21un Vibra Ribbed Stimula</t>
  </si>
  <si>
    <t>https://articulo.mercadolibre.cl/MLC-2896358342-preservativos-condones-lifestyles-x21un-vibra-ribbed-stimula-_JM</t>
  </si>
  <si>
    <t>MLC2896345276</t>
  </si>
  <si>
    <t>PT550094-60</t>
  </si>
  <si>
    <t>Lubricante Omg Bentley Estimulante</t>
  </si>
  <si>
    <t>https://articulo.mercadolibre.cl/MLC-2896345276-lubricante-omg-bentley-estimulante-_JM</t>
  </si>
  <si>
    <t>MLC2896293802</t>
  </si>
  <si>
    <t>PT345183</t>
  </si>
  <si>
    <t>Preservativo Lifestyles Skyn Large - 6 Unidades</t>
  </si>
  <si>
    <t>https://articulo.mercadolibre.cl/MLC-2896293802-preservativo-lifestyles-skyn-large-6-unidades-_JM</t>
  </si>
  <si>
    <t>MLC2896267476</t>
  </si>
  <si>
    <t>PT345166</t>
  </si>
  <si>
    <t>Preservativos Prime Skyn Elite Sin Latex Finos X 3 Un</t>
  </si>
  <si>
    <t>https://articulo.mercadolibre.cl/MLC-2896267476-preservativos-prime-skyn-elite-sin-latex-finos-x-3-un-_JM</t>
  </si>
  <si>
    <t>MLC2896190010</t>
  </si>
  <si>
    <t>PT550038-60</t>
  </si>
  <si>
    <t>Bentley Frutilla Gel 50 Gr.</t>
  </si>
  <si>
    <t>https://articulo.mercadolibre.cl/MLC-2896190010-bentley-frutilla-gel-50-gr-_JM</t>
  </si>
  <si>
    <t>MLC2900158584</t>
  </si>
  <si>
    <t>PLJ8174</t>
  </si>
  <si>
    <t>Pileje Probiotico Lactibiane Atb 10 Caps Sabor Natural</t>
  </si>
  <si>
    <t>https://articulo.mercadolibre.cl/MLC-2900158584-pileje-probiotico-lactibiane-atb-10-caps-sabor-natural-_JM</t>
  </si>
  <si>
    <t>MLC2900145920</t>
  </si>
  <si>
    <t>OM1153</t>
  </si>
  <si>
    <t>Acido Caprilico 500mg 90 Capsulas Vegetales Ortomolecular Chile</t>
  </si>
  <si>
    <t>https://articulo.mercadolibre.cl/MLC-2900145920-acido-caprilico-500mg-90-capsulas-vegetales-ortomolecular-chile-_JM</t>
  </si>
  <si>
    <t>MLC2900107914</t>
  </si>
  <si>
    <t>OM1214</t>
  </si>
  <si>
    <t>Ultra Vision 400mg 60 Capsulas Ortomolecular Chile</t>
  </si>
  <si>
    <t>https://articulo.mercadolibre.cl/MLC-2900107914-ultra-vision-400mg-60-capsulas-ortomolecular-chile-_JM</t>
  </si>
  <si>
    <t>MLC2900097404</t>
  </si>
  <si>
    <t>OM1221</t>
  </si>
  <si>
    <t>Ultra Magnesio Triple 60 Capsulas Ortomolecular Chile</t>
  </si>
  <si>
    <t>https://articulo.mercadolibre.cl/MLC-2900097404-ultra-magnesio-triple-60-capsulas-ortomolecular-chile-_JM</t>
  </si>
  <si>
    <t>MLC2900071446</t>
  </si>
  <si>
    <t>OM1238</t>
  </si>
  <si>
    <t>D-manosa + Cranberry + Probióticos 90 Capsulas Ortomolecular</t>
  </si>
  <si>
    <t>https://articulo.mercadolibre.cl/MLC-2900071446-d-manosa-cranberry-probioticos-90-capsulas-ortomolecular-_JM</t>
  </si>
  <si>
    <t>MLC2900961600</t>
  </si>
  <si>
    <t>Blueberry</t>
  </si>
  <si>
    <t>Crema Aclarante Capilar Aclarante Para Cabello Ritzy Mash - Sin Tono</t>
  </si>
  <si>
    <t>https://articulo.mercadolibre.cl/MLC-2900961600-crema-aclarante-capilar-aclarante-para-cabello-ritzy-mash-sin-tono-_JM</t>
  </si>
  <si>
    <t>MLC1617148621</t>
  </si>
  <si>
    <t>RE-EXTH-30</t>
  </si>
  <si>
    <t>Fungi Pharma Extracto De Hongo Reishi Antioxidante Potente 30 Ml</t>
  </si>
  <si>
    <t>https://articulo.mercadolibre.cl/MLC-1617148621-fungi-pharma-extracto-de-hongo-reishi-antioxidante-potente-30-ml-_JM</t>
  </si>
  <si>
    <t>MLC1617117683</t>
  </si>
  <si>
    <t>ME-EXTH-30</t>
  </si>
  <si>
    <t>Fungi Pharma Extracto De Hongo Melena De Leon Adaptogeno 30 Ml</t>
  </si>
  <si>
    <t>https://articulo.mercadolibre.cl/MLC-1617117683-fungi-pharma-extracto-de-hongo-melena-de-leon-adaptogeno-30-ml-_JM</t>
  </si>
  <si>
    <t>MLC1617088743</t>
  </si>
  <si>
    <t>RESPIR00818</t>
  </si>
  <si>
    <t>Breathe Right Tiras Nasales Anti Ronquido Piel Normal 10u</t>
  </si>
  <si>
    <t>https://articulo.mercadolibre.cl/MLC-1617088743-breathe-right-tiras-nasales-anti-ronquido-piel-normal-10u-_JM</t>
  </si>
  <si>
    <t>MLC1617050221</t>
  </si>
  <si>
    <t>MUSCRC35624</t>
  </si>
  <si>
    <t>Mustela Hydra Bebé Leche Hidratante Corporal 300ml</t>
  </si>
  <si>
    <t>https://articulo.mercadolibre.cl/MLC-1617050221-mustela-hydra-bebe-leche-hidratante-corporal-300ml-_JM</t>
  </si>
  <si>
    <t>MLC2902317974</t>
  </si>
  <si>
    <t>Suplemento Alimenticio Adulto Mayor Essentials 50+ 60cap Sin Sabor</t>
  </si>
  <si>
    <t>https://articulo.mercadolibre.cl/MLC-2902317974-suplemento-alimenticio-adulto-mayor-essentials-50-60cap-sin-sabor-_JM</t>
  </si>
  <si>
    <t>MLC2902317794</t>
  </si>
  <si>
    <t>Strive- Essentials Sport Vitaminas Y Minerales 60cápsulas Sa N/a</t>
  </si>
  <si>
    <t>https://articulo.mercadolibre.cl/MLC-2902317794-strive-essentials-sport-vitaminas-y-minerales-60capsulas-sa-na-_JM</t>
  </si>
  <si>
    <t>MLC2902293504</t>
  </si>
  <si>
    <t>Vitamina B12 Vegana 60 Capsulas - Strive Nutrition Sin Sabor</t>
  </si>
  <si>
    <t>https://articulo.mercadolibre.cl/MLC-2902293504-vitamina-b12-vegana-60-capsulas-strive-nutrition-sin-sabor-_JM</t>
  </si>
  <si>
    <t>MLC2902194028</t>
  </si>
  <si>
    <t>Omega 3 Epa 800 Dha 400 60 Cap - Strive Sin Sabor</t>
  </si>
  <si>
    <t>https://articulo.mercadolibre.cl/MLC-2902194028-omega-3-epa-800-dha-400-60-cap-strive-sin-sabor-_JM</t>
  </si>
  <si>
    <t>MLC2902155492</t>
  </si>
  <si>
    <t>Cafeína En Polvo + Vitamina B6 62 Porciones Strive Sin Sabor</t>
  </si>
  <si>
    <t>https://articulo.mercadolibre.cl/MLC-2902155492-cafeina-en-polvo-vitamina-b6-62-porciones-strive-sin-sabor-_JM</t>
  </si>
  <si>
    <t>MLC2902130004</t>
  </si>
  <si>
    <t>Vitaminas Y Minerales Veganas 60 Cap Strive Vegan Essentials Sin Sabor</t>
  </si>
  <si>
    <t>https://articulo.mercadolibre.cl/MLC-2902130004-vitaminas-y-minerales-veganas-60-cap-strive-vegan-essentials-sin-sabor-_JM</t>
  </si>
  <si>
    <t>MLC2905644946</t>
  </si>
  <si>
    <t>B Complex B1 B2 B3 B5 B6 B9 B12 Biotina 60 Capsulas Sabor Ne Neutro</t>
  </si>
  <si>
    <t>https://articulo.mercadolibre.cl/MLC-2905644946-b-complex-b1-b2-b3-b5-b6-b9-b12-biotina-60-capsulas-sabor-ne-neutro-_JM</t>
  </si>
  <si>
    <t>MLC2906348734</t>
  </si>
  <si>
    <t>HD100</t>
  </si>
  <si>
    <t>Te Hibisco Detox Vitalidad 100 Gr Blends &amp; Tea</t>
  </si>
  <si>
    <t>https://articulo.mercadolibre.cl/MLC-2906348734-te-hibisco-detox-vitalidad-100-gr-blends-tea-_JM</t>
  </si>
  <si>
    <t>MLC2906301858</t>
  </si>
  <si>
    <t>Goldenmilk Tradicional 240 G Alma Golden Food - Leche Dorada</t>
  </si>
  <si>
    <t>https://articulo.mercadolibre.cl/MLC-2906301858-goldenmilk-tradicional-240-g-alma-golden-food-leche-dorada-_JM</t>
  </si>
  <si>
    <t>MLC2906271834</t>
  </si>
  <si>
    <t>Mix10g</t>
  </si>
  <si>
    <t>Pack 8 Puffs Kuna Foods 10g Mix 4 Sabores (2 C/u) Sin Gluten</t>
  </si>
  <si>
    <t>https://articulo.mercadolibre.cl/MLC-2906271834-pack-8-puffs-kuna-foods-10g-mix-4-sabores-2-cu-sin-gluten-_JM</t>
  </si>
  <si>
    <t>MLC2906268046</t>
  </si>
  <si>
    <t>Power Bank Hoco 10000mah 22.5w Cargador Carga Rápida Negro Negro</t>
  </si>
  <si>
    <t>https://articulo.mercadolibre.cl/MLC-2906268046-power-bank-hoco-10000mah-225w-cargador-carga-rapida-negro-negro-_JM</t>
  </si>
  <si>
    <t>MLC2906248372</t>
  </si>
  <si>
    <t>gdm100</t>
  </si>
  <si>
    <t>Golden Milk 100 Gr Blends &amp; Tea</t>
  </si>
  <si>
    <t>https://articulo.mercadolibre.cl/MLC-2906248372-golden-milk-100-gr-blends-tea-_JM</t>
  </si>
  <si>
    <t>MLC2906181506</t>
  </si>
  <si>
    <t>Auriculares Inalámbricos Hoco W35 Air 45hrs Long Usage Time Azul Acero</t>
  </si>
  <si>
    <t>https://articulo.mercadolibre.cl/MLC-2906181506-auriculares-inalambricos-hoco-w35-air-45hrs-long-usage-time-azul-acero-_JM</t>
  </si>
  <si>
    <t>MLC2906155236</t>
  </si>
  <si>
    <t>Telefono Senior Mlab 9204 Shell 4g Sos 2.8 Pulgadas Negro</t>
  </si>
  <si>
    <t>https://articulo.mercadolibre.cl/MLC-2906155236-telefono-senior-mlab-9204-shell-4g-sos-28-pulgadas-negro-_JM</t>
  </si>
  <si>
    <t>MLC1621478293</t>
  </si>
  <si>
    <t>Pack10TwoPack</t>
  </si>
  <si>
    <t>Pack 10 Sobres Twopack (villano + Heroe) Superzings Serie 3</t>
  </si>
  <si>
    <t>https://articulo.mercadolibre.cl/MLC-1621478293-pack-10-sobres-twopack-villano-heroe-superzings-serie-3-_JM</t>
  </si>
  <si>
    <t>MLC2909062362</t>
  </si>
  <si>
    <t>Vitamina C Liposomal Calidad Premium X 90 Capsulas Vegetales - Sin Sabor</t>
  </si>
  <si>
    <t>https://articulo.mercadolibre.cl/MLC-2909062362-vitamina-c-liposomal-calidad-premium-x-90-capsulas-vegetales-sin-sabor-_JM</t>
  </si>
  <si>
    <t>MLC2909023670</t>
  </si>
  <si>
    <t>Betarraga Pura 500 Mg 90 Caps Promueve Oxido Nitroso Lp Sabo Sin Sabor</t>
  </si>
  <si>
    <t>https://articulo.mercadolibre.cl/MLC-2909023670-betarraga-pura-500-mg-90-caps-promueve-oxido-nitroso-lp-sabo-sin-sabor-_JM</t>
  </si>
  <si>
    <t>MLC2908976794</t>
  </si>
  <si>
    <t>Pack Citrato De Magnesio + Cit. Potasio (polvo 300 Grs.) Sabor Sin Sabor</t>
  </si>
  <si>
    <t>https://articulo.mercadolibre.cl/MLC-2908976794-pack-citrato-de-magnesio-cit-potasio-polvo-300-grs-sabor-sin-sabor-_JM</t>
  </si>
  <si>
    <t>MLC2908972996</t>
  </si>
  <si>
    <t>KATIAS50099</t>
  </si>
  <si>
    <t>Alisado Kativa Sin Plancha Xtreme Care 150ml Reconstruye</t>
  </si>
  <si>
    <t>https://articulo.mercadolibre.cl/MLC-2908972996-alisado-kativa-sin-plancha-xtreme-care-150ml-reconstruye-_JM</t>
  </si>
  <si>
    <t>MLC2908960908</t>
  </si>
  <si>
    <t>KATIOI21624</t>
  </si>
  <si>
    <t>Kativa Argan Oil Serum Reparador Brillo Cabello Seco X 60ml</t>
  </si>
  <si>
    <t>https://articulo.mercadolibre.cl/MLC-2908960908-kativa-argan-oil-serum-reparador-brillo-cabello-seco-x-60ml-_JM</t>
  </si>
  <si>
    <t>MLC2908954318</t>
  </si>
  <si>
    <t>KATISH58064</t>
  </si>
  <si>
    <t>Shampoo Kativa Coconut 355 Ml</t>
  </si>
  <si>
    <t>https://articulo.mercadolibre.cl/MLC-2908954318-shampoo-kativa-coconut-355-ml-_JM</t>
  </si>
  <si>
    <t>MLC2908954280</t>
  </si>
  <si>
    <t>Cepillo Para Cabello Wetbrush Shine Enhacer Desenredante Color Violeta</t>
  </si>
  <si>
    <t>https://articulo.mercadolibre.cl/MLC-2908954280-cepillo-para-cabello-wetbrush-shine-enhacer-desenredante-color-violeta-_JM</t>
  </si>
  <si>
    <t>MLC2908930024</t>
  </si>
  <si>
    <t>KATIOI24885</t>
  </si>
  <si>
    <t>Protector Térmico 12 Beneficios Brillo Reparación Kativa Cvl</t>
  </si>
  <si>
    <t>https://articulo.mercadolibre.cl/MLC-2908930024-protector-termico-12-beneficios-brillo-reparacion-kativa-cvl-_JM</t>
  </si>
  <si>
    <t>MLC1623167023</t>
  </si>
  <si>
    <t>Creatina Monohidrato Pura 1 K. Zeo Sport. 200 Mesh. Premium Sabor Sin Sabor</t>
  </si>
  <si>
    <t>https://articulo.mercadolibre.cl/MLC-1623167023-creatina-monohidrato-pura-1-k-zeo-sport-200-mesh-premium-sabor-sin-sabor-_JM</t>
  </si>
  <si>
    <t>MLC1623137477</t>
  </si>
  <si>
    <t>Citrato De Magnesio Puro  En Polvo X 300 Gramos Sabor Sin Sa Sin Sabor</t>
  </si>
  <si>
    <t>https://articulo.mercadolibre.cl/MLC-1623137477-citrato-de-magnesio-puro-en-polvo-x-300-gramos-sabor-sin-sa-sin-sabor-_JM</t>
  </si>
  <si>
    <t>MLC1623133639</t>
  </si>
  <si>
    <t>Mustela Shampoo Suave 200 Ml</t>
  </si>
  <si>
    <t>https://articulo.mercadolibre.cl/MLC-1623133639-mustela-shampoo-suave-200-ml-_JM</t>
  </si>
  <si>
    <t>MLC1623120955</t>
  </si>
  <si>
    <t>COMARG40507</t>
  </si>
  <si>
    <t>Dermo Vagisil Jabón Líquido Odor Block 354ml</t>
  </si>
  <si>
    <t>https://articulo.mercadolibre.cl/MLC-1623120955-dermo-vagisil-jabon-liquido-odor-block-354ml-_JM</t>
  </si>
  <si>
    <t>MLC1623120909</t>
  </si>
  <si>
    <t>KATITP63044</t>
  </si>
  <si>
    <t>Kit Tratamiento Reconstrucción Capilar Kativa Total Plex</t>
  </si>
  <si>
    <t>https://articulo.mercadolibre.cl/MLC-1623120909-kit-tratamiento-reconstruccion-capilar-kativa-total-plex-_JM</t>
  </si>
  <si>
    <t>MLC1623120763</t>
  </si>
  <si>
    <t>COMJFM20020</t>
  </si>
  <si>
    <t>Just For Men Control Gradual Negro T-55 Moreno-negro</t>
  </si>
  <si>
    <t>https://articulo.mercadolibre.cl/MLC-1623120763-just-for-men-control-gradual-negro-t-55-moreno-negro-_JM</t>
  </si>
  <si>
    <t>MLC1623108121</t>
  </si>
  <si>
    <t>Mustela Agua Limpiadora En Seco 300 Ml</t>
  </si>
  <si>
    <t>https://articulo.mercadolibre.cl/MLC-1623108121-mustela-agua-limpiadora-en-seco-300-ml-_JM</t>
  </si>
  <si>
    <t>MLC1623095101</t>
  </si>
  <si>
    <t>ORGPR009959</t>
  </si>
  <si>
    <t>Protectores Diarios Organyc Organica Con Envoltorio Regular 24 u</t>
  </si>
  <si>
    <t>https://articulo.mercadolibre.cl/MLC-1623095101-protectores-diarios-organyc-organica-con-envoltorio-regular-24u-_JM</t>
  </si>
  <si>
    <t>MLC1622955543</t>
  </si>
  <si>
    <t>Limpiador Anti Grasa Frosch Pomelo 500ml</t>
  </si>
  <si>
    <t>https://articulo.mercadolibre.cl/MLC-1622955543-limpiador-anti-grasa-frosch-pomelo-500ml-_JM</t>
  </si>
  <si>
    <t>MLC2915327008</t>
  </si>
  <si>
    <t>Preservativo Sin Latex Lifestyles Skyn Large - 3 Unidades</t>
  </si>
  <si>
    <t>https://articulo.mercadolibre.cl/MLC-2915327008-preservativo-sin-latex-lifestyles-skyn-large-3-unidades-_JM</t>
  </si>
  <si>
    <t>MLC2915043526</t>
  </si>
  <si>
    <t>Audífonos Inalámbricos Con Funda De Gato Hoco Ew45 Negro</t>
  </si>
  <si>
    <t>https://articulo.mercadolibre.cl/MLC-2915043526-audifonos-inalambricos-con-funda-de-gato-hoco-ew45-negro-_JM</t>
  </si>
  <si>
    <t>MLC2915031158</t>
  </si>
  <si>
    <t>Batería Externa Power Bank 20000 Mah 22.5w Pd Master-g</t>
  </si>
  <si>
    <t>https://articulo.mercadolibre.cl/MLC-2915031158-bateria-externa-power-bank-20000-mah-225w-pd-master-g-_JM</t>
  </si>
  <si>
    <t>MLC2914955196</t>
  </si>
  <si>
    <t>Extensor De Alcance Wi-fi Xiaomi Mi Pro Repetidor Cn R03 Neg</t>
  </si>
  <si>
    <t>https://articulo.mercadolibre.cl/MLC-2914955196-extensor-de-alcance-wi-fi-xiaomi-mi-pro-repetidor-cn-r03-neg-_JM</t>
  </si>
  <si>
    <t>MLC2914842624</t>
  </si>
  <si>
    <t>Batería Externa Power Bank 10000 Mah 22.5w Powerdelivery Master-g Color Azul</t>
  </si>
  <si>
    <t>https://articulo.mercadolibre.cl/MLC-2914842624-bateria-externa-power-bank-10000-mah-225w-powerdelivery-master-g-color-azul-_JM</t>
  </si>
  <si>
    <t>MLC1626756093</t>
  </si>
  <si>
    <t>Vitamina C Pura (premium) 3 Meses Linea Premium Vegana Sabor Sin Sabor</t>
  </si>
  <si>
    <t>https://articulo.mercadolibre.cl/MLC-1626756093-vitamina-c-pura-premium-3-meses-linea-premium-vegana-sabor-sin-sabor-_JM</t>
  </si>
  <si>
    <t>MLC2935063826</t>
  </si>
  <si>
    <t>Lustra Mueble Líquido Frosch Aseo Ecológico</t>
  </si>
  <si>
    <t>https://articulo.mercadolibre.cl/MLC-2935063826-lustra-mueble-liquido-frosch-aseo-ecologico-_JM</t>
  </si>
  <si>
    <t>MLC2934968888</t>
  </si>
  <si>
    <t>Vitamina C + Zinc Efervescente X 20 German Energy Sabor Nara Naranja</t>
  </si>
  <si>
    <t>https://articulo.mercadolibre.cl/MLC-2934968888-vitamina-c-zinc-efervescente-x-20-german-energy-sabor-nara-naranja-_JM</t>
  </si>
  <si>
    <t>MLC2934878074</t>
  </si>
  <si>
    <t>Pre Entreno Xtreme Boost Tubo 20 Tabletas Sabor Guaraná</t>
  </si>
  <si>
    <t>https://articulo.mercadolibre.cl/MLC-2934878074-pre-entreno-xtreme-boost-tubo-20-tabletas-sabor-guarana-_JM</t>
  </si>
  <si>
    <t>MLC2934878026</t>
  </si>
  <si>
    <t>Multivitaminas + Biotina Efervescente German Energy X 3 Unid Sabor Naranja</t>
  </si>
  <si>
    <t>https://articulo.mercadolibre.cl/MLC-2934878026-multivitaminas-biotina-efervescente-german-energy-x-3-unid-sabor-naranja-_JM</t>
  </si>
  <si>
    <t>MLC2934865872</t>
  </si>
  <si>
    <t>Charqui</t>
  </si>
  <si>
    <t>Charqui De Wagyu La Loberia 40 Grs Charqui De Wayu</t>
  </si>
  <si>
    <t>https://articulo.mercadolibre.cl/MLC-2934865872-charqui-de-wagyu-la-loberia-40-grs-charqui-de-wayu-_JM</t>
  </si>
  <si>
    <t>MLC2934865086</t>
  </si>
  <si>
    <t>Vitamina C 1000 Mg Efervescente 20 Tabletas German Energy Sa Naranja</t>
  </si>
  <si>
    <t>https://articulo.mercadolibre.cl/MLC-2934865086-vitamina-c-1000-mg-efervescente-20-tabletas-german-energy-sa-naranja-_JM</t>
  </si>
  <si>
    <t>MLC1632201247</t>
  </si>
  <si>
    <t>KATIOI44821</t>
  </si>
  <si>
    <t>Kativa Coconut Oil Serum Reparador Brillo Pelo Dañado X 60ml</t>
  </si>
  <si>
    <t>https://articulo.mercadolibre.cl/MLC-1632201247-kativa-coconut-oil-serum-reparador-brillo-pelo-danado-x-60ml-_JM</t>
  </si>
  <si>
    <t>MLC1632071979</t>
  </si>
  <si>
    <t>KATIKL23932</t>
  </si>
  <si>
    <t>Aceite Tratamiento Kativa Keratina 60 Ml</t>
  </si>
  <si>
    <t>https://articulo.mercadolibre.cl/MLC-1632071979-aceite-tratamiento-kativa-keratina-60-ml-_JM</t>
  </si>
  <si>
    <t>MLC1632040883</t>
  </si>
  <si>
    <t>Bioplus Probioticos Multivitaminico Tab Efervescentes X 20</t>
  </si>
  <si>
    <t>https://articulo.mercadolibre.cl/MLC-1632040883-bioplus-probioticos-multivitaminico-tab-efervescentes-x-20-_JM</t>
  </si>
  <si>
    <t>MLC2936400616</t>
  </si>
  <si>
    <t>Endulzante Líquido Naturalist Stevia Y Sucralosa 450 Ml</t>
  </si>
  <si>
    <t>https://articulo.mercadolibre.cl/MLC-2936400616-endulzante-liquido-naturalist-stevia-y-sucralosa-450-ml-_JM</t>
  </si>
  <si>
    <t>MLC2937484970</t>
  </si>
  <si>
    <t>Crema Antirozaduras 50 Ml Mustela Bebé Vitamina</t>
  </si>
  <si>
    <t>https://articulo.mercadolibre.cl/MLC-2937484970-crema-antirozaduras-50-ml-mustela-bebe-vitamina-_JM</t>
  </si>
  <si>
    <t>MLC2938085790</t>
  </si>
  <si>
    <t>GoldenMilk200g</t>
  </si>
  <si>
    <t>Golden Milk 200 Gr Blends &amp; Tea</t>
  </si>
  <si>
    <t>https://articulo.mercadolibre.cl/MLC-2938085790-golden-milk-200-gr-blends-tea-_JM</t>
  </si>
  <si>
    <t>MLC2943784068</t>
  </si>
  <si>
    <t>Kativa Hyaluronic Acondicionador Hidratación Profunda Vegano</t>
  </si>
  <si>
    <t>https://articulo.mercadolibre.cl/MLC-2943784068-kativa-hyaluronic-acondicionador-hidratacion-profunda-vegano-_JM</t>
  </si>
  <si>
    <t>MLC2943641728</t>
  </si>
  <si>
    <t>Audifonos Para iPhone Lightning Con Microfono - Hoco Color Blanco Luz Blanco</t>
  </si>
  <si>
    <t>https://articulo.mercadolibre.cl/MLC-2943641728-audifonos-para-iphone-lightning-con-microfono-hoco-color-blanco-luz-blanco-_JM</t>
  </si>
  <si>
    <t>MLC2943577026</t>
  </si>
  <si>
    <t>Power Bank Hoco J101b 30.000 Mah 22.5w Fast Charge Color Neg Negro</t>
  </si>
  <si>
    <t>https://articulo.mercadolibre.cl/MLC-2943577026-power-bank-hoco-j101b-30000-mah-225w-fast-charge-color-neg-negro-_JM</t>
  </si>
  <si>
    <t>MLC2943498966</t>
  </si>
  <si>
    <t>KATISH60746</t>
  </si>
  <si>
    <t>Kativa Hyaluronic Shampoo Hidratación Profunda Vegano Pelo</t>
  </si>
  <si>
    <t>https://articulo.mercadolibre.cl/MLC-2943498966-kativa-hyaluronic-shampoo-hidratacion-profunda-vegano-pelo-_JM</t>
  </si>
  <si>
    <t>MLC2943251496</t>
  </si>
  <si>
    <t>Endulzante Tableta Naturalist Stevia Y Sucralosa 900 Un</t>
  </si>
  <si>
    <t>https://articulo.mercadolibre.cl/MLC-2943251496-endulzante-tableta-naturalist-stevia-y-sucralosa-900-un-_JM</t>
  </si>
  <si>
    <t>MLC2943201012</t>
  </si>
  <si>
    <t>ORGTO001267</t>
  </si>
  <si>
    <t>Toallitas Compactadas Organyc Baby Care Algodon 100% Organico 60 Unidades</t>
  </si>
  <si>
    <t>https://articulo.mercadolibre.cl/MLC-2943201012-toallitas-compactadas-organyc-baby-care-algodon-100-organico-60-unidades-_JM</t>
  </si>
  <si>
    <t>MLC2943199608</t>
  </si>
  <si>
    <t>Preservativo Orgazmax Con Textura &amp; Retardante 3 Und</t>
  </si>
  <si>
    <t>https://articulo.mercadolibre.cl/MLC-2943199608-preservativo-orgazmax-con-textura-retardante-3-und-_JM</t>
  </si>
  <si>
    <t>MLC2943110254</t>
  </si>
  <si>
    <t>KATIAC58040</t>
  </si>
  <si>
    <t>Acondicionador Kativa Reconstrucción Coconut X355ml</t>
  </si>
  <si>
    <t>https://articulo.mercadolibre.cl/MLC-2943110254-acondicionador-kativa-reconstruccion-coconut-x355ml-_JM</t>
  </si>
  <si>
    <t>MLC2942407268</t>
  </si>
  <si>
    <t>Endulzante Líquido Naturalist Stevia Y Sucralosa 270 Ml</t>
  </si>
  <si>
    <t>https://articulo.mercadolibre.cl/MLC-2942407268-endulzante-liquido-naturalist-stevia-y-sucralosa-270-ml-_JM</t>
  </si>
  <si>
    <t>MLC2942394228</t>
  </si>
  <si>
    <t>Preservativos Condones Lifestyles X15un Skyn Feel Sin Látex</t>
  </si>
  <si>
    <t>https://articulo.mercadolibre.cl/MLC-2942394228-preservativos-condones-lifestyles-x15un-skyn-feel-sin-latex-_JM</t>
  </si>
  <si>
    <t>MLC2942382684</t>
  </si>
  <si>
    <t>KATIPO58767</t>
  </si>
  <si>
    <t>Kativa Crema Coconut 300ml - Ml</t>
  </si>
  <si>
    <t>https://articulo.mercadolibre.cl/MLC-2942382684-kativa-crema-coconut-300ml-ml-_JM</t>
  </si>
  <si>
    <t>MLC2942381276</t>
  </si>
  <si>
    <t>Lifestyles Preservativos Studded-rough Rider X 21</t>
  </si>
  <si>
    <t>https://articulo.mercadolibre.cl/MLC-2942381276-lifestyles-preservativos-studded-rough-rider-x-21-_JM</t>
  </si>
  <si>
    <t>MLC2942355276</t>
  </si>
  <si>
    <t>Gel Hidratante Clinic Acido Hialurónico Bentley 50gr Neutro</t>
  </si>
  <si>
    <t>https://articulo.mercadolibre.cl/MLC-2942355276-gel-hidratante-clinic-acido-hialuronico-bentley-50gr-neutro-_JM</t>
  </si>
  <si>
    <t>MLC2942303216</t>
  </si>
  <si>
    <t>Infor Pro Sport Creatina X 60 Gomitas Sabor Frutos Tropicales</t>
  </si>
  <si>
    <t>https://articulo.mercadolibre.cl/MLC-2942303216-infor-pro-sport-creatina-x-60-gomitas-sabor-frutos-tropicales-_JM</t>
  </si>
  <si>
    <t>MLC2942277246</t>
  </si>
  <si>
    <t>Preservativos Skyn Extra Lubricated X 6</t>
  </si>
  <si>
    <t>https://articulo.mercadolibre.cl/MLC-2942277246-preservativos-skyn-extra-lubricated-x-6-_JM</t>
  </si>
  <si>
    <t>MLC2942213686</t>
  </si>
  <si>
    <t>Pétalos Desmaquillante Biodegradables Organyc 70u Full</t>
  </si>
  <si>
    <t>https://articulo.mercadolibre.cl/MLC-2942213686-petalos-desmaquillante-biodegradables-organyc-70u-full-_JM</t>
  </si>
  <si>
    <t>MLC2942160228</t>
  </si>
  <si>
    <t>Stevia Polvo 400 Sobres Naturalist</t>
  </si>
  <si>
    <t>https://articulo.mercadolibre.cl/MLC-2942160228-stevia-polvo-400-sobres-naturalist-_JM</t>
  </si>
  <si>
    <t>MLC2947246518</t>
  </si>
  <si>
    <t>Cereales Puffs Kuna Cereal Infantil Betarraga Frutilla En Bolsa Sin Tacc 50 g</t>
  </si>
  <si>
    <t>https://articulo.mercadolibre.cl/MLC-2947246518-cereales-puffs-kuna-cereal-infantil-betarraga-frutilla-en-bolsa-sin-tacc-50g-_JM</t>
  </si>
  <si>
    <t>MLC2947112604</t>
  </si>
  <si>
    <t>Puffs Cereal Infantil Kuna Foods Pera Espinaca - 50g</t>
  </si>
  <si>
    <t>https://articulo.mercadolibre.cl/MLC-2947112604-puffs-cereal-infantil-kuna-foods-pera-espinaca-50g-_JM</t>
  </si>
  <si>
    <t>MLC2943261160</t>
  </si>
  <si>
    <t>Puffs Cereal Infantil Kuna Foods Platano Zapallo - 50g</t>
  </si>
  <si>
    <t>https://articulo.mercadolibre.cl/MLC-2943261160-puffs-cereal-infantil-kuna-foods-platano-zapallo-50g-_JM</t>
  </si>
  <si>
    <t>MLC2943118506</t>
  </si>
  <si>
    <t>Puffs Cereal Infantil Kuna Foods Manzana Arandano - 50g</t>
  </si>
  <si>
    <t>https://articulo.mercadolibre.cl/MLC-2943118506-puffs-cereal-infantil-kuna-foods-manzana-arandano-50g-_JM</t>
  </si>
  <si>
    <t>MLC2950215486</t>
  </si>
  <si>
    <t>Detox150g</t>
  </si>
  <si>
    <t>Te Hibisco Detox Vitalidad 150 Gr Blends &amp; Tea</t>
  </si>
  <si>
    <t>https://articulo.mercadolibre.cl/MLC-2950215486-te-hibisco-detox-vitalidad-150-gr-blends-tea-_JM</t>
  </si>
  <si>
    <t>MLC2950189532</t>
  </si>
  <si>
    <t>MUSAM035860</t>
  </si>
  <si>
    <t>Aceite Mustela De Masaje</t>
  </si>
  <si>
    <t>https://articulo.mercadolibre.cl/MLC-2950189532-aceite-mustela-de-masaje-_JM</t>
  </si>
  <si>
    <t>MLC1641818277</t>
  </si>
  <si>
    <t>Strive Beta</t>
  </si>
  <si>
    <t>Beta Alanina Strive 60 Porciones Sin Sabor Sin Sabor</t>
  </si>
  <si>
    <t>https://articulo.mercadolibre.cl/MLC-1641818277-beta-alanina-strive-60-porciones-sin-sabor-sin-sabor-_JM</t>
  </si>
  <si>
    <t>MLC1641521193</t>
  </si>
  <si>
    <t>Isolate</t>
  </si>
  <si>
    <t>Isolate Protein Strive 21 Porciones 42 Scoop Sin Sabor</t>
  </si>
  <si>
    <t>https://articulo.mercadolibre.cl/MLC-1641521193-isolate-protein-strive-21-porciones-42-scoop-sin-sabor-_JM</t>
  </si>
  <si>
    <t>MLC2976030226</t>
  </si>
  <si>
    <t>COMARG40514</t>
  </si>
  <si>
    <t>Dermo Vagisil Jabón Liquido Intimo Ph Balanceado 354 Ml</t>
  </si>
  <si>
    <t>https://articulo.mercadolibre.cl/MLC-2976030226-dermo-vagisil-jabon-liquido-intimo-ph-balanceado-354-ml-_JM</t>
  </si>
  <si>
    <t>MLC2978908502</t>
  </si>
  <si>
    <t>WF33373</t>
  </si>
  <si>
    <t>Fuente Pileta Cascada De Agua Buda 41 Cm Feng Shui Gris</t>
  </si>
  <si>
    <t>https://articulo.mercadolibre.cl/MLC-2978908502-fuente-pileta-cascada-de-agua-buda-41-cm-feng-shui-gris-_JM</t>
  </si>
  <si>
    <t>MLC2978896122</t>
  </si>
  <si>
    <t>Panera Redonda De Mimbre 24 Cm Amarillo</t>
  </si>
  <si>
    <t>https://articulo.mercadolibre.cl/MLC-2978896122-panera-redonda-de-mimbre-24-cm-amarillo-_JM</t>
  </si>
  <si>
    <t>MLC2978896086</t>
  </si>
  <si>
    <t>Panera Ovalada De Mimbre 27cm Dorado</t>
  </si>
  <si>
    <t>https://articulo.mercadolibre.cl/MLC-2978896086-panera-ovalada-de-mimbre-27cm-dorado-_JM</t>
  </si>
  <si>
    <t>MLC2986698430</t>
  </si>
  <si>
    <t>FROAT112942</t>
  </si>
  <si>
    <t>https://articulo.mercadolibre.cl/MLC-2986698430-limpiador-anti-grasa-frosch-pomelo-500ml-_JM</t>
  </si>
  <si>
    <t>MLC2997971940</t>
  </si>
  <si>
    <t>Candelabro O Porta Velas De Vidrio 14cm 2,5cm Diametro Transparente</t>
  </si>
  <si>
    <t>https://articulo.mercadolibre.cl/MLC-2997971940-candelabro-o-porta-velas-de-vidrio-14cm-25cm-diametro-transparente-_JM</t>
  </si>
  <si>
    <t>MLC2997910656</t>
  </si>
  <si>
    <t>Pack 3 Candelabro O Portavela De Vidrio Flor De Loto 12cm Transparente 2</t>
  </si>
  <si>
    <t>https://articulo.mercadolibre.cl/MLC-2997910656-pack-3-candelabro-o-portavela-de-vidrio-flor-de-loto-12cm-transparente-2-_JM</t>
  </si>
  <si>
    <t>MLC2997855954</t>
  </si>
  <si>
    <t>Candelabro O Portavela De Vidrio 11cm 2,5cm Diámetro Transparente</t>
  </si>
  <si>
    <t>https://articulo.mercadolibre.cl/MLC-2997855954-candelabro-o-portavela-de-vidrio-11cm-25cm-diametro-transparente-_JM</t>
  </si>
  <si>
    <t>MLC1656345313</t>
  </si>
  <si>
    <t>Pack 3 Candelabro O Portavela Flor De Loto Grande 15 Cm Transparente</t>
  </si>
  <si>
    <t>https://articulo.mercadolibre.cl/MLC-1656345313-pack-3-candelabro-o-portavela-flor-de-loto-grande-15-cm-transparente-_JM</t>
  </si>
  <si>
    <t>MLC1656286403</t>
  </si>
  <si>
    <t>Pack 3 Candelabro O Portavela De Vidrio Flor De Loto 12cm Transparente</t>
  </si>
  <si>
    <t>https://articulo.mercadolibre.cl/MLC-1656286403-pack-3-candelabro-o-portavela-de-vidrio-flor-de-loto-12cm-transparente-_JM</t>
  </si>
  <si>
    <t>MLC1656282035</t>
  </si>
  <si>
    <t>Candelabro O Porta Vela De Vidrio 16cm 2,5cm Diametro Transparente</t>
  </si>
  <si>
    <t>https://articulo.mercadolibre.cl/MLC-1656282035-candelabro-o-porta-vela-de-vidrio-16cm-25cm-diametro-transparente-_JM</t>
  </si>
  <si>
    <t>MLC1656116407</t>
  </si>
  <si>
    <t>Candelabro O Porta Vela De Vidrio 15cm 2,5cm Diametro Transparente</t>
  </si>
  <si>
    <t>https://articulo.mercadolibre.cl/MLC-1656116407-candelabro-o-porta-vela-de-vidrio-15cm-25cm-diametro-transparente-_JM</t>
  </si>
  <si>
    <t>MLC2999407926</t>
  </si>
  <si>
    <t>Box 5 Barras Mini Twentys 8g - Your Goal Sabor Chocolate Fudge</t>
  </si>
  <si>
    <t>https://articulo.mercadolibre.cl/MLC-2999407926-box-5-barras-mini-twentys-8g-your-goal-sabor-chocolate-fudge-_JM</t>
  </si>
  <si>
    <t>MLC2999369414</t>
  </si>
  <si>
    <t>Box 5 Barras Mini Twentys 8g - Your Goal Sabor Lemon Cheesec</t>
  </si>
  <si>
    <t>https://articulo.mercadolibre.cl/MLC-2999369414-box-5-barras-mini-twentys-8g-your-goal-sabor-lemon-cheesec-_JM</t>
  </si>
  <si>
    <t>MLC2999317562</t>
  </si>
  <si>
    <t>Box 5 Barras Mini Twentys 8g - Your Goal Sabor Chocolate Bro Chocolate Brownie</t>
  </si>
  <si>
    <t>https://articulo.mercadolibre.cl/MLC-2999317562-box-5-barras-mini-twentys-8g-your-goal-sabor-chocolate-bro-chocolate-brownie-_JM</t>
  </si>
  <si>
    <t>MLC1657980961</t>
  </si>
  <si>
    <t>107123 Blanco Alce</t>
  </si>
  <si>
    <t>Goma Eva Plegable  1,8m X 1,5m 6mm Resistente Niños Bebes Multicolor Alce Jirafa</t>
  </si>
  <si>
    <t>https://articulo.mercadolibre.cl/MLC-1657980961-goma-eva-plegable-18m-x-15m-6mm-resistente-ninos-bebes-multicolor-alce-jirafa-_JM</t>
  </si>
  <si>
    <t>MLC1657892519</t>
  </si>
  <si>
    <t>Soporte Celular Rejilla Auto Resistente Hoco Ajustable 360 Negro</t>
  </si>
  <si>
    <t>https://articulo.mercadolibre.cl/MLC-1657892519-soporte-celular-rejilla-auto-resistente-hoco-ajustable-360-negro-_JM</t>
  </si>
  <si>
    <t>MLC1657835319</t>
  </si>
  <si>
    <t>107123 Rosado</t>
  </si>
  <si>
    <t>Goma Eva Plegable  1,8m X 1,5m 6mm Resistente Niños Bebes Multicolor Rosado</t>
  </si>
  <si>
    <t>https://articulo.mercadolibre.cl/MLC-1657835319-goma-eva-plegable-18m-x-15m-6mm-resistente-ninos-bebes-multicolor-rosado-_JM</t>
  </si>
  <si>
    <t>MLC1657770681</t>
  </si>
  <si>
    <t>107123 Arbol Azul</t>
  </si>
  <si>
    <t>Goma Eva Plegable  1,8m X 1,5m 6mm Resistente Niños Bebes Multicolor Azul Verde</t>
  </si>
  <si>
    <t>https://articulo.mercadolibre.cl/MLC-1657770681-goma-eva-plegable-18m-x-15m-6mm-resistente-ninos-bebes-multicolor-azul-verde-_JM</t>
  </si>
  <si>
    <t>MLC2943499262</t>
  </si>
  <si>
    <t>Auriculares W35 Max Joy Bt Color Gold Luz Plateado Gold</t>
  </si>
  <si>
    <t>https://articulo.mercadolibre.cl/MLC-2943499262-auriculares-w35-max-joy-bt-color-gold-luz-plateado-gold-_JM</t>
  </si>
  <si>
    <t>MLC3005659656</t>
  </si>
  <si>
    <t>CH-EXTH-30</t>
  </si>
  <si>
    <t>Fungi Pharma Extracto De Hongo Chaga Inmunomodulador 30ml Sin Sabor</t>
  </si>
  <si>
    <t>https://articulo.mercadolibre.cl/MLC-3005659656-fungi-pharma-extracto-de-hongo-chaga-inmunomodulador-30ml-sin-sabor-_JM</t>
  </si>
  <si>
    <t>MLC3005621100</t>
  </si>
  <si>
    <t>TU-EXTH-30</t>
  </si>
  <si>
    <t>Suplemento En Gotas Fungi Pharma Suplementos Alimenticios Cola De Pavo Concentrado Liquido X 30ml</t>
  </si>
  <si>
    <t>https://articulo.mercadolibre.cl/MLC-3005621100-suplemento-en-gotas-fungi-pharma-suplementos-alimenticios-cola-de-pavo-concentrado-liquido-x-30ml-_JM</t>
  </si>
  <si>
    <t>MLC3005595056</t>
  </si>
  <si>
    <t>SH-EXTH-30</t>
  </si>
  <si>
    <t>Fungi Pharma - Extracto De Hongo Shiitake 30 Ml Sin Sabor</t>
  </si>
  <si>
    <t>https://articulo.mercadolibre.cl/MLC-3005595056-fungi-pharma-extracto-de-hongo-shiitake-30-ml-sin-sabor-_JM</t>
  </si>
  <si>
    <t>MLC3005556052</t>
  </si>
  <si>
    <t>MA-EXTH-30</t>
  </si>
  <si>
    <t>Fungi Pharma - Extracto De Hongo Maitake 30ml Sin Sabor</t>
  </si>
  <si>
    <t>https://articulo.mercadolibre.cl/MLC-3005556052-fungi-pharma-extracto-de-hongo-maitake-30ml-sin-sabor-_JM</t>
  </si>
  <si>
    <t>MLC3005503868</t>
  </si>
  <si>
    <t>CO-EXTH-30</t>
  </si>
  <si>
    <t>Fungi Pharma Cordyceps Suplemento Gotas Herbal Sin Lactosa Ni Gluten</t>
  </si>
  <si>
    <t>https://articulo.mercadolibre.cl/MLC-3005503868-fungi-pharma-cordyceps-suplemento-gotas-herbal-sin-lactosa-ni-gluten-_JM</t>
  </si>
  <si>
    <t>MLC3009771438</t>
  </si>
  <si>
    <t>Alma Cacao</t>
  </si>
  <si>
    <t>Goldenmilk Cacao 240 Gr - Leche Dorada Alma Foods</t>
  </si>
  <si>
    <t>https://articulo.mercadolibre.cl/MLC-3009771438-goldenmilk-cacao-240-gr-leche-dorada-alma-foods-_JM</t>
  </si>
  <si>
    <t>MLC3009302444</t>
  </si>
  <si>
    <t>Alma Matcha</t>
  </si>
  <si>
    <t>Goldenmilk Matcha 240 Gr - Leche Dorada Alma Foods</t>
  </si>
  <si>
    <t>https://articulo.mercadolibre.cl/MLC-3009302444-goldenmilk-matcha-240-gr-leche-dorada-alma-foods-_JM</t>
  </si>
  <si>
    <t>MLC3025065170</t>
  </si>
  <si>
    <t>Soporte Para Auto Hoco Ca94 Polaris Para Rejilla Negro</t>
  </si>
  <si>
    <t>https://articulo.mercadolibre.cl/MLC-3025065170-soporte-para-auto-hoco-ca94-polaris-para-rejilla-negro-_JM</t>
  </si>
  <si>
    <t>MLC1669280533</t>
  </si>
  <si>
    <t>Alisador Siegen Sg-3510 Cerámica + Tourmalina</t>
  </si>
  <si>
    <t>https://articulo.mercadolibre.cl/MLC-1669280533-alisador-siegen-sg-3510-ceramica-tourmalina-_JM</t>
  </si>
  <si>
    <t>MLC1669255479</t>
  </si>
  <si>
    <t>Ondulador Siegen Sg-2411 Cilindro 25mm Color Negro Negro</t>
  </si>
  <si>
    <t>https://articulo.mercadolibre.cl/MLC-1669255479-ondulador-siegen-sg-2411-cilindro-25mm-color-negro-negro-_JM</t>
  </si>
  <si>
    <t>MLC1669253391</t>
  </si>
  <si>
    <t>Plancha De Vapor Th-7003 Color Blanco</t>
  </si>
  <si>
    <t>https://articulo.mercadolibre.cl/MLC-1669253391-plancha-de-vapor-th-7003-color-blanco-_JM</t>
  </si>
  <si>
    <t>MLC1669130145</t>
  </si>
  <si>
    <t>Extractor De Jugo Th-2652i Color Gris</t>
  </si>
  <si>
    <t>https://articulo.mercadolibre.cl/MLC-1669130145-extractor-de-jugo-th-2652i-color-gris-_JM</t>
  </si>
  <si>
    <t>MLC1671256301</t>
  </si>
  <si>
    <t>Quitapelusa Siegen Sg-1010</t>
  </si>
  <si>
    <t>https://articulo.mercadolibre.cl/MLC-1671256301-quitapelusa-siegen-sg-1010-_JM</t>
  </si>
  <si>
    <t>MLC2906254752</t>
  </si>
  <si>
    <t>Power Bank 20000 Bateria Portatil Super Carga 22.5w Hoco Color Negro</t>
  </si>
  <si>
    <t>https://articulo.mercadolibre.cl/MLC-2906254752-power-bank-20000-bateria-portatil-super-carga-225w-hoco-color-negro-_JM</t>
  </si>
  <si>
    <t>MLC3067436312</t>
  </si>
  <si>
    <t>KATIAC58002</t>
  </si>
  <si>
    <t>Kativa Keratina Acondicionador Nutricion Y Brillo Pelo 355ml</t>
  </si>
  <si>
    <t>https://articulo.mercadolibre.cl/MLC-3067436312-kativa-keratina-acondicionador-nutricion-y-brillo-pelo-355ml-_JM</t>
  </si>
  <si>
    <t>MLC3067424090</t>
  </si>
  <si>
    <t>KATIAC66786</t>
  </si>
  <si>
    <t>Acndicionador Profundo Kativa Curly Plex 450 Ml</t>
  </si>
  <si>
    <t>https://articulo.mercadolibre.cl/MLC-3067424090-acndicionador-profundo-kativa-curly-plex-450-ml-_JM</t>
  </si>
  <si>
    <t>MLC3067408210</t>
  </si>
  <si>
    <t>Audifonos Para iPhone Lightning Con Microfono Hoco Blanco Blanco</t>
  </si>
  <si>
    <t>https://articulo.mercadolibre.cl/MLC-3067408210-audifonos-para-iphone-lightning-con-microfono-hoco-blanco-blanco-_JM</t>
  </si>
  <si>
    <t>MLC3067384908</t>
  </si>
  <si>
    <t>KATIPO58811</t>
  </si>
  <si>
    <t>Tratamiento Capilar Kativa Intenso Con Keratina 300ml</t>
  </si>
  <si>
    <t>https://articulo.mercadolibre.cl/MLC-3067384908-tratamiento-capilar-kativa-intenso-con-keratina-300ml-_JM</t>
  </si>
  <si>
    <t>MLC3067333060</t>
  </si>
  <si>
    <t>KATISH66779</t>
  </si>
  <si>
    <t>Shampoo Kativa Curly Plex 355 Ml</t>
  </si>
  <si>
    <t>https://articulo.mercadolibre.cl/MLC-3067333060-shampoo-kativa-curly-plex-355-ml-_JM</t>
  </si>
  <si>
    <t>MLC3067320464</t>
  </si>
  <si>
    <t>KATICR66809</t>
  </si>
  <si>
    <t>Curl Activator Cream X240ml - Ml</t>
  </si>
  <si>
    <t>https://articulo.mercadolibre.cl/MLC-3067320464-curl-activator-cream-x240ml-ml-_JM</t>
  </si>
  <si>
    <t>MLC3067307584</t>
  </si>
  <si>
    <t>KATISH58361</t>
  </si>
  <si>
    <t>Kativa Shampoo Keratina · Nutrición, Suavidad Y Brillo 355ml</t>
  </si>
  <si>
    <t>https://articulo.mercadolibre.cl/MLC-3067307584-kativa-shampoo-keratina-nutricion-suavidad-y-brillo-355ml-_JM</t>
  </si>
  <si>
    <t>MLC3086129984</t>
  </si>
  <si>
    <t>Batidora Eléctrica Thomas Th-910pr Color Rojo - Rojo</t>
  </si>
  <si>
    <t>https://articulo.mercadolibre.cl/MLC-3086129984-batidora-electrica-thomas-th-910pr-color-rojo-rojo-_JM</t>
  </si>
  <si>
    <t>MLC3086129970</t>
  </si>
  <si>
    <t>Batidora Pedestal Planetaria Th-911b Color Blanco Blanco</t>
  </si>
  <si>
    <t>https://articulo.mercadolibre.cl/MLC-3086129970-batidora-pedestal-planetaria-th-911b-color-blanco-blanco-_JM</t>
  </si>
  <si>
    <t>MLC1678226311</t>
  </si>
  <si>
    <t>Alisador Siegen Sg-b4758 Vapor Ultrasónico + Luz Infrarroja Blanco</t>
  </si>
  <si>
    <t>https://articulo.mercadolibre.cl/MLC-1678226311-alisador-siegen-sg-b4758-vapor-ultrasonico-luz-infrarroja-blanco-_JM</t>
  </si>
  <si>
    <t>MLC1678124523</t>
  </si>
  <si>
    <t>Secador De Pelo Siegen Sg-3005 Pocket Color Negro</t>
  </si>
  <si>
    <t>https://articulo.mercadolibre.cl/MLC-1678124523-secador-de-pelo-siegen-sg-3005-pocket-color-negro-_JM</t>
  </si>
  <si>
    <t>MLC1678111779</t>
  </si>
  <si>
    <t>Ondulador Siegen Sg-2420 Cilindro 33mm Color Negro Negro</t>
  </si>
  <si>
    <t>https://articulo.mercadolibre.cl/MLC-1678111779-ondulador-siegen-sg-2420-cilindro-33mm-color-negro-negro-_JM</t>
  </si>
  <si>
    <t>MLC1678034875</t>
  </si>
  <si>
    <t>Trimmer Siegen Sg-8011 2en 1 Color Negro</t>
  </si>
  <si>
    <t>https://articulo.mercadolibre.cl/MLC-1678034875-trimmer-siegen-sg-8011-2en-1-color-negro-_JM</t>
  </si>
  <si>
    <t>MLC3108109514</t>
  </si>
  <si>
    <t>Citrato De Magensio + Citrato De Potasio 1 Kilo En Polvo Sab - Propio</t>
  </si>
  <si>
    <t>https://articulo.mercadolibre.cl/MLC-3108109514-citrato-de-magensio-citrato-de-potasio-1-kilo-en-polvo-sab-propio-_JM</t>
  </si>
  <si>
    <t>MLC1687055461</t>
  </si>
  <si>
    <t>Pack 4 Barra De Proteina Twenty Hazelnut Praline Yourgoal</t>
  </si>
  <si>
    <t>https://articulo.mercadolibre.cl/MLC-1687055461-pack-4-barra-de-proteina-twenty-hazelnut-praline-yourgoal-_JM</t>
  </si>
  <si>
    <t>MLC1686965677</t>
  </si>
  <si>
    <t>Box 4 Barras Twentys Chocolate Fudge - Your Goal</t>
  </si>
  <si>
    <t>https://articulo.mercadolibre.cl/MLC-1686965677-box-4-barras-twentys-chocolate-fudge-your-goal-_JM</t>
  </si>
  <si>
    <t>MLC1686952543</t>
  </si>
  <si>
    <t>Box 4 Barras Twentys Lemon Cheesecake - Your Goal</t>
  </si>
  <si>
    <t>https://articulo.mercadolibre.cl/MLC-1686952543-box-4-barras-twentys-lemon-cheesecake-your-goal-_JM</t>
  </si>
  <si>
    <t>MLC1686939469</t>
  </si>
  <si>
    <t>Pack 4 Barras De Proteina Twenty Chocolate Brownie</t>
  </si>
  <si>
    <t>https://articulo.mercadolibre.cl/MLC-1686939469-pack-4-barras-de-proteina-twenty-chocolate-brownie-_JM</t>
  </si>
  <si>
    <t>MLC3114640314</t>
  </si>
  <si>
    <t>pink50</t>
  </si>
  <si>
    <t>Pink Detox 50g Blends And Tea</t>
  </si>
  <si>
    <t>https://articulo.mercadolibre.cl/MLC-3114640314-pink-detox-50g-blends-and-tea-_JM</t>
  </si>
  <si>
    <t>MLC3114640244</t>
  </si>
  <si>
    <t>IN100</t>
  </si>
  <si>
    <t>Indigo Estrella Nocturna 100g Blends And Tea</t>
  </si>
  <si>
    <t>https://articulo.mercadolibre.cl/MLC-3114640244-indigo-estrella-nocturna-100g-blends-and-tea-_JM</t>
  </si>
  <si>
    <t>MLC3114603244</t>
  </si>
  <si>
    <t>RR150</t>
  </si>
  <si>
    <t>Rooibos Relax 150g Blends And Tea</t>
  </si>
  <si>
    <t>https://articulo.mercadolibre.cl/MLC-3114603244-rooibos-relax-150g-blends-and-tea-_JM</t>
  </si>
  <si>
    <t>MLC3114601822</t>
  </si>
  <si>
    <t>A50</t>
  </si>
  <si>
    <t>Infusión Azul Relajante 50g</t>
  </si>
  <si>
    <t>https://articulo.mercadolibre.cl/MLC-3114601822-infusion-azul-relajante-50g-_JM</t>
  </si>
  <si>
    <t>MLC3114588972</t>
  </si>
  <si>
    <t>PD100</t>
  </si>
  <si>
    <t>Purpura Detox 100g Blends And Tea</t>
  </si>
  <si>
    <t>https://articulo.mercadolibre.cl/MLC-3114588972-purpura-detox-100g-blends-and-tea-_JM</t>
  </si>
  <si>
    <t>MLC3114588654</t>
  </si>
  <si>
    <t>A150</t>
  </si>
  <si>
    <t>Infusión Azul Relajante 150g Blends And Tea</t>
  </si>
  <si>
    <t>https://articulo.mercadolibre.cl/MLC-3114588654-infusion-azul-relajante-150g-blends-and-tea-_JM</t>
  </si>
  <si>
    <t>MLC3114576206</t>
  </si>
  <si>
    <t>IN60</t>
  </si>
  <si>
    <t>Indigo Estrella Nocturna 60g Blends And Tea</t>
  </si>
  <si>
    <t>https://articulo.mercadolibre.cl/MLC-3114576206-indigo-estrella-nocturna-60g-blends-and-tea-_JM</t>
  </si>
  <si>
    <t>MLC3114563012</t>
  </si>
  <si>
    <t>hsp100</t>
  </si>
  <si>
    <t>Hibisco Sueño Profundo 100g Blends And Tea</t>
  </si>
  <si>
    <t>https://articulo.mercadolibre.cl/MLC-3114563012-hibisco-sueno-profundo-100g-blends-and-tea-_JM</t>
  </si>
  <si>
    <t>MLC3114549828</t>
  </si>
  <si>
    <t>A100</t>
  </si>
  <si>
    <t>Infusión Azul Relajante 100g Blends And Tea</t>
  </si>
  <si>
    <t>https://articulo.mercadolibre.cl/MLC-3114549828-infusion-azul-relajante-100g-blends-and-tea-_JM</t>
  </si>
  <si>
    <t>MLC3114538510</t>
  </si>
  <si>
    <t>RR50</t>
  </si>
  <si>
    <t>Rooibos Relax 50g Blends And Tea</t>
  </si>
  <si>
    <t>https://articulo.mercadolibre.cl/MLC-3114538510-rooibos-relax-50g-blends-and-tea-_JM</t>
  </si>
  <si>
    <t>MLC3114537446</t>
  </si>
  <si>
    <t>PD100RG</t>
  </si>
  <si>
    <t>Purpura Detox 100g Recarga Blends And Tea</t>
  </si>
  <si>
    <t>https://articulo.mercadolibre.cl/MLC-3114537446-purpura-detox-100g-recarga-blends-and-tea-_JM</t>
  </si>
  <si>
    <t>MLC3114537386</t>
  </si>
  <si>
    <t>PD150</t>
  </si>
  <si>
    <t>Purpura Detox 150g Blends And Tea</t>
  </si>
  <si>
    <t>https://articulo.mercadolibre.cl/MLC-3114537386-purpura-detox-150g-blends-and-tea-_JM</t>
  </si>
  <si>
    <t>MLC3114537172</t>
  </si>
  <si>
    <t>hsp150</t>
  </si>
  <si>
    <t>Hibisco Sueño Profundo 150g Blends And Tea</t>
  </si>
  <si>
    <t>https://articulo.mercadolibre.cl/MLC-3114537172-hibisco-sueno-profundo-150g-blends-and-tea-_JM</t>
  </si>
  <si>
    <t>MLC3114537112</t>
  </si>
  <si>
    <t>A100RG</t>
  </si>
  <si>
    <t>Infusión Azul Relajante 100g Recarga Blends And Tea</t>
  </si>
  <si>
    <t>https://articulo.mercadolibre.cl/MLC-3114537112-infusion-azul-relajante-100g-recarga-blends-and-tea-_JM</t>
  </si>
  <si>
    <t>MLC3114524222</t>
  </si>
  <si>
    <t>IN40</t>
  </si>
  <si>
    <t>Indigo Estrella Nocturna 40g Blends And Tea</t>
  </si>
  <si>
    <t>https://articulo.mercadolibre.cl/MLC-3114524222-indigo-estrella-nocturna-40g-blends-and-tea-_JM</t>
  </si>
  <si>
    <t>MLC3114523712</t>
  </si>
  <si>
    <t>GDM150RG</t>
  </si>
  <si>
    <t>Golden Milk 150g Recarga Blends And Tea Curcuma</t>
  </si>
  <si>
    <t>https://articulo.mercadolibre.cl/MLC-3114523712-golden-milk-150g-recarga-blends-and-tea-curcuma-_JM</t>
  </si>
  <si>
    <t>MLC3114486952</t>
  </si>
  <si>
    <t>SI35RG</t>
  </si>
  <si>
    <t>Infusion Sirio Dulces Sueños 35g Recarga Blends And Tea</t>
  </si>
  <si>
    <t>https://articulo.mercadolibre.cl/MLC-3114486952-infusion-sirio-dulces-suenos-35g-recarga-blends-and-tea-_JM</t>
  </si>
  <si>
    <t>MLC3114486934</t>
  </si>
  <si>
    <t>SI60</t>
  </si>
  <si>
    <t>Infusion Sirio Dulces Sueños 60g Blends And Tea</t>
  </si>
  <si>
    <t>https://articulo.mercadolibre.cl/MLC-3114486934-infusion-sirio-dulces-suenos-60g-blends-and-tea-_JM</t>
  </si>
  <si>
    <t>MLC3114486880</t>
  </si>
  <si>
    <t>RR100</t>
  </si>
  <si>
    <t>Rooibos Relax 100g Blends And Tea</t>
  </si>
  <si>
    <t>https://articulo.mercadolibre.cl/MLC-3114486880-rooibos-relax-100g-blends-and-tea-_JM</t>
  </si>
  <si>
    <t>MLC3114485416</t>
  </si>
  <si>
    <t>afm150</t>
  </si>
  <si>
    <t>Infusión Armonía Fase Menstrual 150g Blends And Tea</t>
  </si>
  <si>
    <t>https://articulo.mercadolibre.cl/MLC-3114485416-infusion-armonia-fase-menstrual-150g-blends-and-tea-_JM</t>
  </si>
  <si>
    <t>MLC3114473772</t>
  </si>
  <si>
    <t>RR100RG</t>
  </si>
  <si>
    <t>Rooibos Relax 100g Recarga Blends And Tea</t>
  </si>
  <si>
    <t>https://articulo.mercadolibre.cl/MLC-3114473772-rooibos-relax-100g-recarga-blends-and-tea-_JM</t>
  </si>
  <si>
    <t>MLC3114472620</t>
  </si>
  <si>
    <t>IN35RG</t>
  </si>
  <si>
    <t>Indigo Estrella Nocturna 35g Recarga Blends And Tea</t>
  </si>
  <si>
    <t>https://articulo.mercadolibre.cl/MLC-3114472620-indigo-estrella-nocturna-35g-recarga-blends-and-tea-_JM</t>
  </si>
  <si>
    <t>MLC3114472532</t>
  </si>
  <si>
    <t>HSPRG</t>
  </si>
  <si>
    <t>Hibisco Sueño Profundo 100g Recarga Blends And Tea</t>
  </si>
  <si>
    <t>https://articulo.mercadolibre.cl/MLC-3114472532-hibisco-sueno-profundo-100g-recarga-blends-and-tea-_JM</t>
  </si>
  <si>
    <t>MLC3114472506</t>
  </si>
  <si>
    <t>hsp50</t>
  </si>
  <si>
    <t>Hibisco Sueño Profundo 50g Blends And Tea</t>
  </si>
  <si>
    <t>https://articulo.mercadolibre.cl/MLC-3114472506-hibisco-sueno-profundo-50g-blends-and-tea-_JM</t>
  </si>
  <si>
    <t>MLC3114472312</t>
  </si>
  <si>
    <t>afmrg</t>
  </si>
  <si>
    <t>Infusión Armonía Fase Menstrual 100g Recarga</t>
  </si>
  <si>
    <t>https://articulo.mercadolibre.cl/MLC-3114472312-infusion-armonia-fase-menstrual-100g-recarga-_JM</t>
  </si>
  <si>
    <t>MLC3114447200</t>
  </si>
  <si>
    <t>afm50</t>
  </si>
  <si>
    <t>Infusión Armonía Fase Menstrual 50g Blends And Tea</t>
  </si>
  <si>
    <t>https://articulo.mercadolibre.cl/MLC-3114447200-infusion-armonia-fase-menstrual-50g-blends-and-tea-_JM</t>
  </si>
  <si>
    <t>MLC1688079279</t>
  </si>
  <si>
    <t>BACH150</t>
  </si>
  <si>
    <t>Te Blanco Chai 150g Blends And Tea</t>
  </si>
  <si>
    <t>https://articulo.mercadolibre.cl/MLC-1688079279-te-blanco-chai-150g-blends-and-tea-_JM</t>
  </si>
  <si>
    <t>MLC1688053665</t>
  </si>
  <si>
    <t>BCH100</t>
  </si>
  <si>
    <t>Te Blanco Chai 100g Blends And Tea</t>
  </si>
  <si>
    <t>https://articulo.mercadolibre.cl/MLC-1688053665-te-blanco-chai-100g-blends-and-tea-_JM</t>
  </si>
  <si>
    <t>MLC1687989255</t>
  </si>
  <si>
    <t>BACH100RG</t>
  </si>
  <si>
    <t>Te Blanco Chai 100g Recarga Blends And Tea</t>
  </si>
  <si>
    <t>https://articulo.mercadolibre.cl/MLC-1687989255-te-blanco-chai-100g-recarga-blends-and-tea-_JM</t>
  </si>
  <si>
    <t>MLC1687962995</t>
  </si>
  <si>
    <t>bch50</t>
  </si>
  <si>
    <t>Te Blanco Chai 50g Blends And Tea</t>
  </si>
  <si>
    <t>https://articulo.mercadolibre.cl/MLC-1687962995-te-blanco-chai-50g-blends-and-tea-_JM</t>
  </si>
  <si>
    <t>MLC1687932313</t>
  </si>
  <si>
    <t>mtbluerg</t>
  </si>
  <si>
    <t>Matcha Blue 50g Recarga Blends And Tea</t>
  </si>
  <si>
    <t>https://articulo.mercadolibre.cl/MLC-1687932313-matcha-blue-50g-recarga-blends-and-tea-_JM</t>
  </si>
  <si>
    <t>MLC1687893833</t>
  </si>
  <si>
    <t>SI100</t>
  </si>
  <si>
    <t>Infusion Sirio Dulces Sueños 100g Blends And Tea</t>
  </si>
  <si>
    <t>https://articulo.mercadolibre.cl/MLC-1687893833-infusion-sirio-dulces-suenos-100g-blends-and-tea-_JM</t>
  </si>
  <si>
    <t>MLC3117141510</t>
  </si>
  <si>
    <t>FE100</t>
  </si>
  <si>
    <t>Te Fucsia 100g Blends And Tea</t>
  </si>
  <si>
    <t>https://articulo.mercadolibre.cl/MLC-3117141510-te-fucsia-100g-blends-and-tea-_JM</t>
  </si>
  <si>
    <t>MLC3117115248</t>
  </si>
  <si>
    <t>BF100RG</t>
  </si>
  <si>
    <t>Te Blanco Manzana Y Frutilla 100g Recarga Blends And Tea</t>
  </si>
  <si>
    <t>https://articulo.mercadolibre.cl/MLC-3117115248-te-blanco-manzana-y-frutilla-100g-recarga-blends-and-tea-_JM</t>
  </si>
  <si>
    <t>MLC3117051682</t>
  </si>
  <si>
    <t>FE100RG</t>
  </si>
  <si>
    <t>Te Fucsia 100g Recarga Blends And Tea</t>
  </si>
  <si>
    <t>https://articulo.mercadolibre.cl/MLC-3117051682-te-fucsia-100g-recarga-blends-and-tea-_JM</t>
  </si>
  <si>
    <t>MLC3117050472</t>
  </si>
  <si>
    <t>BF50</t>
  </si>
  <si>
    <t>Te Blanco Manzana Y Frutilla 50g Blends And Tea</t>
  </si>
  <si>
    <t>https://articulo.mercadolibre.cl/MLC-3117050472-te-blanco-manzana-y-frutilla-50g-blends-and-tea-_JM</t>
  </si>
  <si>
    <t>MLC3117013490</t>
  </si>
  <si>
    <t>NC100RG</t>
  </si>
  <si>
    <t>Te Negro Cacao 100g Recarga Blends And Tea</t>
  </si>
  <si>
    <t>https://articulo.mercadolibre.cl/MLC-3117013490-te-negro-cacao-100g-recarga-blends-and-tea-_JM</t>
  </si>
  <si>
    <t>MLC3116934362</t>
  </si>
  <si>
    <t>BF100</t>
  </si>
  <si>
    <t>Te Blanco Manzana Y Frutilla 100g Blends And Tea</t>
  </si>
  <si>
    <t>https://articulo.mercadolibre.cl/MLC-3116934362-te-blanco-manzana-y-frutilla-100g-blends-and-tea-_JM</t>
  </si>
  <si>
    <t>MLC3116896852</t>
  </si>
  <si>
    <t>NCH100</t>
  </si>
  <si>
    <t>Te Negro Masala Chai 100g Blends And Tea</t>
  </si>
  <si>
    <t>https://articulo.mercadolibre.cl/MLC-3116896852-te-negro-masala-chai-100g-blends-and-tea-_JM</t>
  </si>
  <si>
    <t>MLC3116896774</t>
  </si>
  <si>
    <t>NC100</t>
  </si>
  <si>
    <t>Te Negro Cacao 100g Blends And Tea</t>
  </si>
  <si>
    <t>https://articulo.mercadolibre.cl/MLC-3116896774-te-negro-cacao-100g-blends-and-tea-_JM</t>
  </si>
  <si>
    <t>MLC3116896086</t>
  </si>
  <si>
    <t>FE50</t>
  </si>
  <si>
    <t>Te Fucsia 50g Blends And Tea</t>
  </si>
  <si>
    <t>https://articulo.mercadolibre.cl/MLC-3116896086-te-fucsia-50g-blends-and-tea-_JM</t>
  </si>
  <si>
    <t>MLC3116884272</t>
  </si>
  <si>
    <t>Nc50</t>
  </si>
  <si>
    <t>Te Negro Cacao 50g Blends And Tea</t>
  </si>
  <si>
    <t>https://articulo.mercadolibre.cl/MLC-3116884272-te-negro-cacao-50g-blends-and-tea-_JM</t>
  </si>
  <si>
    <t>MLC3117625958</t>
  </si>
  <si>
    <t>VD100</t>
  </si>
  <si>
    <t>Te Verde Detox 100g Blends And Tea</t>
  </si>
  <si>
    <t>https://articulo.mercadolibre.cl/MLC-3117625958-te-verde-detox-100g-blends-and-tea-_JM</t>
  </si>
  <si>
    <t>MLC3117614260</t>
  </si>
  <si>
    <t>VF150</t>
  </si>
  <si>
    <t>Té Verde Menta - Frutilla 150g Blends And Tea</t>
  </si>
  <si>
    <t>https://articulo.mercadolibre.cl/MLC-3117614260-te-verde-menta-frutilla-150g-blends-and-tea-_JM</t>
  </si>
  <si>
    <t>MLC3117536918</t>
  </si>
  <si>
    <t>PN100</t>
  </si>
  <si>
    <t>Te Pu-erh Naranja 100g Blends And Tea</t>
  </si>
  <si>
    <t>https://articulo.mercadolibre.cl/MLC-3117536918-te-pu-erh-naranja-100g-blends-and-tea-_JM</t>
  </si>
  <si>
    <t>MLC3117476414</t>
  </si>
  <si>
    <t>OL150</t>
  </si>
  <si>
    <t>Te Oolong Jengibre Limon 150g Blends And Tea</t>
  </si>
  <si>
    <t>https://articulo.mercadolibre.cl/MLC-3117476414-te-oolong-jengibre-limon-150g-blends-and-tea-_JM</t>
  </si>
  <si>
    <t>MLC3117437860</t>
  </si>
  <si>
    <t>OL100RG</t>
  </si>
  <si>
    <t>Te Oolong Jengibre Limon 100g Recarga Blends And Tea</t>
  </si>
  <si>
    <t>https://articulo.mercadolibre.cl/MLC-3117437860-te-oolong-jengibre-limon-100g-recarga-blends-and-tea-_JM</t>
  </si>
  <si>
    <t>MLC1689375187</t>
  </si>
  <si>
    <t>VD50</t>
  </si>
  <si>
    <t>Te Verde Detox 50g Blends And Tea</t>
  </si>
  <si>
    <t>https://articulo.mercadolibre.cl/MLC-1689375187-te-verde-detox-50g-blends-and-tea-_JM</t>
  </si>
  <si>
    <t>MLC1689362583</t>
  </si>
  <si>
    <t>VD150</t>
  </si>
  <si>
    <t>Te Verde Detox 150g Blends And Tea</t>
  </si>
  <si>
    <t>https://articulo.mercadolibre.cl/MLC-1689362583-te-verde-detox-150g-blends-and-tea-_JM</t>
  </si>
  <si>
    <t>MLC1689362349</t>
  </si>
  <si>
    <t>PR100</t>
  </si>
  <si>
    <t>Te Pu-erh Rosas 100g Blends And Tea</t>
  </si>
  <si>
    <t>https://articulo.mercadolibre.cl/MLC-1689362349-te-pu-erh-rosas-100g-blends-and-tea-_JM</t>
  </si>
  <si>
    <t>MLC1689349479</t>
  </si>
  <si>
    <t>PN150</t>
  </si>
  <si>
    <t>Te Pu-erh Naranja 150g Blends And Tea</t>
  </si>
  <si>
    <t>https://articulo.mercadolibre.cl/MLC-1689349479-te-pu-erh-naranja-150g-blends-and-tea-_JM</t>
  </si>
  <si>
    <t>MLC1689349077</t>
  </si>
  <si>
    <t>OC50</t>
  </si>
  <si>
    <t>Te Oolong Manzana Canela 50g Blends And Tea</t>
  </si>
  <si>
    <t>https://articulo.mercadolibre.cl/MLC-1689349077-te-oolong-manzana-canela-50g-blends-and-tea-_JM</t>
  </si>
  <si>
    <t>MLC1689137437</t>
  </si>
  <si>
    <t>VD100RG</t>
  </si>
  <si>
    <t>Te Verde Detox 100g Recarga Blends And Tea</t>
  </si>
  <si>
    <t>https://articulo.mercadolibre.cl/MLC-1689137437-te-verde-detox-100g-recarga-blends-and-tea-_JM</t>
  </si>
  <si>
    <t>MLC1689124437</t>
  </si>
  <si>
    <t>PR150</t>
  </si>
  <si>
    <t>Te Pu-erh Rosas 150g Blends And Tea</t>
  </si>
  <si>
    <t>https://articulo.mercadolibre.cl/MLC-1689124437-te-pu-erh-rosas-150g-blends-and-tea-_JM</t>
  </si>
  <si>
    <t>MLC1689123437</t>
  </si>
  <si>
    <t>NCH150</t>
  </si>
  <si>
    <t>Te Negro Masala Chai 150g Blends And Tea</t>
  </si>
  <si>
    <t>https://articulo.mercadolibre.cl/MLC-1689123437-te-negro-masala-chai-150g-blends-and-tea-_JM</t>
  </si>
  <si>
    <t>MLC1689110567</t>
  </si>
  <si>
    <t>OL100</t>
  </si>
  <si>
    <t>Te Oolong Jengibre Limon 100g Blends And Tea</t>
  </si>
  <si>
    <t>https://articulo.mercadolibre.cl/MLC-1689110567-te-oolong-jengibre-limon-100g-blends-and-tea-_JM</t>
  </si>
  <si>
    <t>MLC1689097837</t>
  </si>
  <si>
    <t>OL50</t>
  </si>
  <si>
    <t>Te Oolong Jengibre Limon 50g Blends And Tea</t>
  </si>
  <si>
    <t>https://articulo.mercadolibre.cl/MLC-1689097837-te-oolong-jengibre-limon-50g-blends-and-tea-_JM</t>
  </si>
  <si>
    <t>MLC1689085649</t>
  </si>
  <si>
    <t>VF100</t>
  </si>
  <si>
    <t>Té Verde Menta - Frutilla 100g Blends And Tea</t>
  </si>
  <si>
    <t>https://articulo.mercadolibre.cl/MLC-1689085649-te-verde-menta-frutilla-100g-blends-and-tea-_JM</t>
  </si>
  <si>
    <t>MLC1689085407</t>
  </si>
  <si>
    <t>PN100RG</t>
  </si>
  <si>
    <t>Te Pu-erh Naranja 100g Recarga Blends And Tea</t>
  </si>
  <si>
    <t>https://articulo.mercadolibre.cl/MLC-1689085407-te-pu-erh-naranja-100g-recarga-blends-and-tea-_JM</t>
  </si>
  <si>
    <t>MLC1689085255</t>
  </si>
  <si>
    <t>PR100RG</t>
  </si>
  <si>
    <t>Te Pu-erh Rosas 100g Recarga Blends And Tea</t>
  </si>
  <si>
    <t>https://articulo.mercadolibre.cl/MLC-1689085255-te-pu-erh-rosas-100g-recarga-blends-and-tea-_JM</t>
  </si>
  <si>
    <t>MLC1689072239</t>
  </si>
  <si>
    <t>OC100RG</t>
  </si>
  <si>
    <t>Te Oolong Manzana Canela 100g Recarga Blends And Tea</t>
  </si>
  <si>
    <t>https://articulo.mercadolibre.cl/MLC-1689072239-te-oolong-manzana-canela-100g-recarga-blends-and-tea-_JM</t>
  </si>
  <si>
    <t>MLC1689059791</t>
  </si>
  <si>
    <t>VF100RG</t>
  </si>
  <si>
    <t>Té Verde Menta - Frutilla 100g Recarga Blends And Tea</t>
  </si>
  <si>
    <t>https://articulo.mercadolibre.cl/MLC-1689059791-te-verde-menta-frutilla-100g-recarga-blends-and-tea-_JM</t>
  </si>
  <si>
    <t>MLC1689059043</t>
  </si>
  <si>
    <t>OC100</t>
  </si>
  <si>
    <t>Te Oolong Manzana Canela 100g Blends And Tea</t>
  </si>
  <si>
    <t>https://articulo.mercadolibre.cl/MLC-1689059043-te-oolong-manzana-canela-100g-blends-and-tea-_JM</t>
  </si>
  <si>
    <t>MLC1689058519</t>
  </si>
  <si>
    <t>NCH100RG</t>
  </si>
  <si>
    <t>Te Negro Masala Chai 100g Recarga Blends And Tea</t>
  </si>
  <si>
    <t>https://articulo.mercadolibre.cl/MLC-1689058519-te-negro-masala-chai-100g-recarga-blends-and-tea-_JM</t>
  </si>
  <si>
    <t>MLC3121791366</t>
  </si>
  <si>
    <t>Creapure</t>
  </si>
  <si>
    <t>Creatina Monohidratada Creapure 300g Strive - Sin Sabor</t>
  </si>
  <si>
    <t>https://articulo.mercadolibre.cl/MLC-3121791366-creatina-monohidratada-creapure-300g-strive-sin-sabor-_JM</t>
  </si>
  <si>
    <t>MLC3134950270</t>
  </si>
  <si>
    <t>HD150</t>
  </si>
  <si>
    <t>https://articulo.mercadolibre.cl/MLC-3134950270-te-hibisco-detox-vitalidad-150-gr-blends-tea-_JM</t>
  </si>
  <si>
    <t>MLC1669075769</t>
  </si>
  <si>
    <t>Thomas Th-80n Cocedor De Huevos Color Negra</t>
  </si>
  <si>
    <t>https://articulo.mercadolibre.cl/MLC-1669075769-thomas-th-80n-cocedor-de-huevos-color-negra-_JM</t>
  </si>
  <si>
    <t>MLC3174074946</t>
  </si>
  <si>
    <t>710840 Caja Sellada Serie 4</t>
  </si>
  <si>
    <t>Figuritas Superzings One Serie 4</t>
  </si>
  <si>
    <t>https://articulo.mercadolibre.cl/MLC-3174074946-figuritas-superzings-one-serie-4-_JM</t>
  </si>
  <si>
    <t>MLC3174074694</t>
  </si>
  <si>
    <t>710838 Pack 10 Twopack Serie 4</t>
  </si>
  <si>
    <t>Pack 10 Sobres Twopack (2 Figuras) Superzings Serie 4</t>
  </si>
  <si>
    <t>https://articulo.mercadolibre.cl/MLC-3174074694-pack-10-sobres-twopack-2-figuras-superzings-serie-4-_JM</t>
  </si>
  <si>
    <t>MLC3174061226</t>
  </si>
  <si>
    <t>710842 Blister 10 figuras</t>
  </si>
  <si>
    <t>9+1 Superzings Dorado Coleccionables Superzings Serie 4</t>
  </si>
  <si>
    <t>https://articulo.mercadolibre.cl/MLC-3174061226-91-superzings-dorado-coleccionables-superzings-serie-4-_JM</t>
  </si>
  <si>
    <t>MLC3174055702</t>
  </si>
  <si>
    <t>710844 BLISTER BLASTER</t>
  </si>
  <si>
    <t>Pack 2 Blaster Jets + 4 Superzings Serie 4</t>
  </si>
  <si>
    <t>https://articulo.mercadolibre.cl/MLC-3174055702-pack-2-blaster-jets-4-superzings-serie-4-_JM</t>
  </si>
  <si>
    <t>MLC3174055132</t>
  </si>
  <si>
    <t>710837 Pack 4 Megajets</t>
  </si>
  <si>
    <t>Pack 4 Megajets + 4 Figuras Superzing Serie 4</t>
  </si>
  <si>
    <t>https://articulo.mercadolibre.cl/MLC-3174055132-pack-4-megajets-4-figuras-superzing-serie-4-_JM</t>
  </si>
  <si>
    <t>MLC3173945900</t>
  </si>
  <si>
    <t>710840 Pack 10 Sobres One pack serie 4</t>
  </si>
  <si>
    <t>Pack 10 Sobres (1 Fig Por Sobre) Superzings Serie 4</t>
  </si>
  <si>
    <t>https://articulo.mercadolibre.cl/MLC-3173945900-pack-10-sobres-1-fig-por-sobre-superzings-serie-4-_JM</t>
  </si>
  <si>
    <t>MLC3173944846</t>
  </si>
  <si>
    <t>710841 Starterpack Comic</t>
  </si>
  <si>
    <t>Superzings Serie 4 Pack (comic + Megajet + 2 Fig + Bolsa)</t>
  </si>
  <si>
    <t>https://articulo.mercadolibre.cl/MLC-3173944846-superzings-serie-4-pack-comic-megajet-2-fig-bolsa-_JM</t>
  </si>
  <si>
    <t>MLC3173887108</t>
  </si>
  <si>
    <t>710843 Pack 5 Superjets</t>
  </si>
  <si>
    <t>Pack 5 Blaster Jets + 5 Figuras Superzing Serie 4</t>
  </si>
  <si>
    <t>https://articulo.mercadolibre.cl/MLC-3173887108-pack-5-blaster-jets-5-figuras-superzing-serie-4-_JM</t>
  </si>
  <si>
    <t>MLC1703814075</t>
  </si>
  <si>
    <t>710837 Caja Completa Megajet</t>
  </si>
  <si>
    <t>Caja 8 Megajets + 8 Figuras Superzing Serie 4</t>
  </si>
  <si>
    <t>https://articulo.mercadolibre.cl/MLC-1703814075-caja-8-megajets-8-figuras-superzing-serie-4-_JM</t>
  </si>
  <si>
    <t>MLC3176613118</t>
  </si>
  <si>
    <t>Crema Aclarante Vanilla Passion 105 Ml Ritzy Mash Sin Tono</t>
  </si>
  <si>
    <t>https://articulo.mercadolibre.cl/MLC-3176613118-crema-aclarante-vanilla-passion-105-ml-ritzy-mash-sin-tono-_JM</t>
  </si>
  <si>
    <t>MLC1705391351</t>
  </si>
  <si>
    <t>Mascara Blueberry Iluminador Capilar 270 Ml Ritzy Mash</t>
  </si>
  <si>
    <t>https://articulo.mercadolibre.cl/MLC-1705391351-mascara-blueberry-iluminador-capilar-270-ml-ritzy-mash-_JM</t>
  </si>
  <si>
    <t>MLC1704829705</t>
  </si>
  <si>
    <t>Cafeina Anhidra Sin Sabor 30 Caps 30 Porciones Zeo Sport Sin Sabor</t>
  </si>
  <si>
    <t>https://articulo.mercadolibre.cl/MLC-1704829705-cafeina-anhidra-sin-sabor-30-caps-30-porciones-zeo-sport-sin-sabor-_JM</t>
  </si>
  <si>
    <t>MLC1704704493</t>
  </si>
  <si>
    <t>Shampoo Vanilla Passion Iluminador Capilar 270ml Ritzy Mash</t>
  </si>
  <si>
    <t>https://articulo.mercadolibre.cl/MLC-1704704493-shampoo-vanilla-passion-iluminador-capilar-270ml-ritzy-mash-_JM</t>
  </si>
  <si>
    <t>MLC1704704317</t>
  </si>
  <si>
    <t>Shampoo Blueberry Iluminador Capilar 270ml Ritzy Mash</t>
  </si>
  <si>
    <t>https://articulo.mercadolibre.cl/MLC-1704704317-shampoo-blueberry-iluminador-capilar-270ml-ritzy-mash-_JM</t>
  </si>
  <si>
    <t>MLC3177982200</t>
  </si>
  <si>
    <t>Caja 30 Unidades Chocolate Crunch 21g Proteina Yourgoal</t>
  </si>
  <si>
    <t>https://articulo.mercadolibre.cl/MLC-3177982200-caja-30-unidades-chocolate-crunch-21g-proteina-yourgoal-_JM</t>
  </si>
  <si>
    <t>MLC3177954208</t>
  </si>
  <si>
    <t>Mascara Vanilla Passion Iluminador Capilar 270 Ml Ritzy Mash</t>
  </si>
  <si>
    <t>https://articulo.mercadolibre.cl/MLC-3177954208-mascara-vanilla-passion-iluminador-capilar-270-ml-ritzy-mash-_JM</t>
  </si>
  <si>
    <t>MLC3177926422</t>
  </si>
  <si>
    <t>Citrato De Magnesio Puro En Polvo Doypack 100 Grs Sin Sabor Sin Sabor</t>
  </si>
  <si>
    <t>https://articulo.mercadolibre.cl/MLC-3177926422-citrato-de-magnesio-puro-en-polvo-doypack-100-grs-sin-sabor-sin-sabor-_JM</t>
  </si>
  <si>
    <t>MLC3177903118</t>
  </si>
  <si>
    <t>Serum Todo Cabello Sin Enjuage Vanilla 30 Ml Ritzy Mash</t>
  </si>
  <si>
    <t>https://articulo.mercadolibre.cl/MLC-3177903118-serum-todo-cabello-sin-enjuage-vanilla-30-ml-ritzy-mash-_JM</t>
  </si>
  <si>
    <t>MLC3177851214</t>
  </si>
  <si>
    <t>Serum Todo Cabello Sin Enjuage Blueberry 30 Ml Ritzy Mash</t>
  </si>
  <si>
    <t>https://articulo.mercadolibre.cl/MLC-3177851214-serum-todo-cabello-sin-enjuage-blueberry-30-ml-ritzy-mash-_JM</t>
  </si>
  <si>
    <t>MLC3177838704</t>
  </si>
  <si>
    <t>Serum Todo Cabello Sin Enjuage Bubblegum 30 Ml Ritzy Mash</t>
  </si>
  <si>
    <t>https://articulo.mercadolibre.cl/MLC-3177838704-serum-todo-cabello-sin-enjuage-bubblegum-30-ml-ritzy-mash-_JM</t>
  </si>
  <si>
    <t>MLC3181213354</t>
  </si>
  <si>
    <t>Panera Pino</t>
  </si>
  <si>
    <t>Caja Panera De Madera Con Tapa Enrollable Multiuso Grande Pino Madera</t>
  </si>
  <si>
    <t>https://articulo.mercadolibre.cl/MLC-3181213354-caja-panera-de-madera-con-tapa-enrollable-multiuso-grande-pino-madera-_JM</t>
  </si>
  <si>
    <t>MLC1708628273</t>
  </si>
  <si>
    <t>Mortero</t>
  </si>
  <si>
    <t>Mortero De Madera Moledor De Hierbas Semillas Cocina Madera</t>
  </si>
  <si>
    <t>https://articulo.mercadolibre.cl/MLC-1708628273-mortero-de-madera-moledor-de-hierbas-semillas-cocina-madera-_JM</t>
  </si>
  <si>
    <t>MLC1708579771</t>
  </si>
  <si>
    <t>Marron Oscuro</t>
  </si>
  <si>
    <t>Piso Bar De Madera Taburete De Madera Alto 69 Cm Liso Marrón Oscuro</t>
  </si>
  <si>
    <t>https://articulo.mercadolibre.cl/MLC-1708579771-piso-bar-de-madera-taburete-de-madera-alto-69-cm-liso-marron-oscuro-_JM</t>
  </si>
  <si>
    <t>MLC1708460409</t>
  </si>
  <si>
    <t>Tabla Rosada</t>
  </si>
  <si>
    <t>Tabla Para Picar De Madera Grande Gruesa 47x25x3,5 Lenga Lenga Lenga</t>
  </si>
  <si>
    <t>https://articulo.mercadolibre.cl/MLC-1708460409-tabla-para-picar-de-madera-grande-gruesa-47x25x35-lenga-lenga-lenga-_JM</t>
  </si>
  <si>
    <t>MLC1708395147</t>
  </si>
  <si>
    <t>Uslero Grueso</t>
  </si>
  <si>
    <t>Uslero Madera Amasar Pan Postres Rodillo Reposteria Cocina</t>
  </si>
  <si>
    <t>https://articulo.mercadolibre.cl/MLC-1708395147-uslero-madera-amasar-pan-postres-rodillo-reposteria-cocina-_JM</t>
  </si>
  <si>
    <t>MLC1708386125</t>
  </si>
  <si>
    <t>Taburete Pequeo</t>
  </si>
  <si>
    <t>Taburete De Madera Piso Bar De Madera Bajo 49 Cm Madera Marrón</t>
  </si>
  <si>
    <t>https://articulo.mercadolibre.cl/MLC-1708386125-taburete-de-madera-piso-bar-de-madera-bajo-49-cm-madera-marron-_JM</t>
  </si>
  <si>
    <t>MLC1708372845</t>
  </si>
  <si>
    <t>Marron Claro</t>
  </si>
  <si>
    <t>Piso Bar De Madera Taburete De Madera Alto 69 Cm Liso Marrón</t>
  </si>
  <si>
    <t>https://articulo.mercadolibre.cl/MLC-1708372845-piso-bar-de-madera-taburete-de-madera-alto-69-cm-liso-marron-_JM</t>
  </si>
  <si>
    <t>MLC1710775847</t>
  </si>
  <si>
    <t>Hervidor Thomas Th-6070vi 1,8 Litros Color Negro - Negro</t>
  </si>
  <si>
    <t>https://articulo.mercadolibre.cl/MLC-1710775847-hervidor-thomas-th-6070vi-18-litros-color-negro-negro-_JM</t>
  </si>
  <si>
    <t>MLC1710762837</t>
  </si>
  <si>
    <t>Alisador Siegen Sg-4653 Placas Con Titanio Café</t>
  </si>
  <si>
    <t>https://articulo.mercadolibre.cl/MLC-1710762837-alisador-siegen-sg-4653-placas-con-titanio-cafe-_JM</t>
  </si>
  <si>
    <t>MLC1710711573</t>
  </si>
  <si>
    <t>Multimixer Thomas Th-8706 Blanco</t>
  </si>
  <si>
    <t>https://articulo.mercadolibre.cl/MLC-1710711573-multimixer-thomas-th-8706-blanco-_JM</t>
  </si>
  <si>
    <t>MLC1710697999</t>
  </si>
  <si>
    <t>Secador De Pelo Siegen Sg-3012 Negro</t>
  </si>
  <si>
    <t>https://articulo.mercadolibre.cl/MLC-1710697999-secador-de-pelo-siegen-sg-3012-negro-_JM</t>
  </si>
  <si>
    <t>MLC1710685409</t>
  </si>
  <si>
    <t>Calienta Cama Siegen Sg-5121d5 2 Plazas (150 X 140 Cms) Color Blanco</t>
  </si>
  <si>
    <t>https://articulo.mercadolibre.cl/MLC-1710685409-calienta-cama-siegen-sg-5121d5-2-plazas-150-x-140-cms-color-blanco-_JM</t>
  </si>
  <si>
    <t>MLC1710673607</t>
  </si>
  <si>
    <t>Aspiradora Thomas Th-1220af Aquafilter Amarillo</t>
  </si>
  <si>
    <t>https://articulo.mercadolibre.cl/MLC-1710673607-aspiradora-thomas-th-1220af-aquafilter-amarillo-_JM</t>
  </si>
  <si>
    <t>MLC1711048433</t>
  </si>
  <si>
    <t>TH121610</t>
  </si>
  <si>
    <t>Canasto De Navidad Ceramica Viejito Pascuero Rojo</t>
  </si>
  <si>
    <t>https://articulo.mercadolibre.cl/MLC-1711048433-canasto-de-navidad-ceramica-viejito-pascuero-rojo-_JM</t>
  </si>
  <si>
    <t>MLC1710983057</t>
  </si>
  <si>
    <t>NH67947</t>
  </si>
  <si>
    <t>Bombonera De Navidad Caramelera De Navidad 3 Litros Rojo</t>
  </si>
  <si>
    <t>https://articulo.mercadolibre.cl/MLC-1710983057-bombonera-de-navidad-caramelera-de-navidad-3-litros-rojo-_JM</t>
  </si>
  <si>
    <t>MLC1710970217</t>
  </si>
  <si>
    <t>TH121591</t>
  </si>
  <si>
    <t>Bombonera De Navidad Caramelera De Ceramica 3l Pascuero Rojo</t>
  </si>
  <si>
    <t>https://articulo.mercadolibre.cl/MLC-1710970217-bombonera-de-navidad-caramelera-de-ceramica-3l-pascuero-rojo-_JM</t>
  </si>
  <si>
    <t>MLC1710905583</t>
  </si>
  <si>
    <t>NH67950</t>
  </si>
  <si>
    <t>Soporte De Botella Navidad Viejo Pascuero Ceramica Rojo</t>
  </si>
  <si>
    <t>https://articulo.mercadolibre.cl/MLC-1710905583-soporte-de-botella-navidad-viejo-pascuero-ceramica-rojo-_JM</t>
  </si>
  <si>
    <t>MLC3196049956</t>
  </si>
  <si>
    <t>Batidora Eléctrica Thomas Th-910pn Pedestal Negra Negro 50 Hz X 60 Hz</t>
  </si>
  <si>
    <t>https://articulo.mercadolibre.cl/MLC-3196049956-batidora-electrica-thomas-th-910pn-pedestal-negra-negro-50-hz-x-60-hz-_JM</t>
  </si>
  <si>
    <t>MLC3196049900</t>
  </si>
  <si>
    <t>Horno Eléctrico 16lt Th-16n01 Thomas</t>
  </si>
  <si>
    <t>https://articulo.mercadolibre.cl/MLC-3196049900-horno-electrico-16lt-th-16n01-thomas-_JM</t>
  </si>
  <si>
    <t>MLC3196037304</t>
  </si>
  <si>
    <t>Aspiradora Thomas Th-2206bl Ciclónica - Blanco/turquesa</t>
  </si>
  <si>
    <t>https://articulo.mercadolibre.cl/MLC-3196037304-aspiradora-thomas-th-2206bl-ciclonica-blancoturquesa-_JM</t>
  </si>
  <si>
    <t>MLC3196037030</t>
  </si>
  <si>
    <t>Aspiradora De Tacho Thomas Junior Th-1516 16l</t>
  </si>
  <si>
    <t>https://articulo.mercadolibre.cl/MLC-3196037030-aspiradora-de-tacho-thomas-junior-th-1516-16l-_JM</t>
  </si>
  <si>
    <t>MLC3196011656</t>
  </si>
  <si>
    <t>Alisador Siegen Sg-4651 Placas Con Titanio</t>
  </si>
  <si>
    <t>https://articulo.mercadolibre.cl/MLC-3196011656-alisador-siegen-sg-4651-placas-con-titanio-_JM</t>
  </si>
  <si>
    <t>MLC3195998306</t>
  </si>
  <si>
    <t>Microondas Thomas Th-20s01 Manual 20 Litros</t>
  </si>
  <si>
    <t>https://articulo.mercadolibre.cl/MLC-3195998306-microondas-thomas-th-20s01-manual-20-litros-_JM</t>
  </si>
  <si>
    <t>MLC3195985646</t>
  </si>
  <si>
    <t>Multimixer Thomas Th-8725 Color Blanco</t>
  </si>
  <si>
    <t>https://articulo.mercadolibre.cl/MLC-3195985646-multimixer-thomas-th-8725-color-blanco-_JM</t>
  </si>
  <si>
    <t>MLC3195985586</t>
  </si>
  <si>
    <t>Aspiradora Trineo Thomas Th-1415 3l Blanca 50hz/60hz - Blanco</t>
  </si>
  <si>
    <t>https://articulo.mercadolibre.cl/MLC-3195985586-aspiradora-trineo-thomas-th-1415-3l-blanca-50hz60hz-blanco-_JM</t>
  </si>
  <si>
    <t>MLC3195985562</t>
  </si>
  <si>
    <t>Parrilla Eléctrica Thomas Th-224 1650w Color Negro</t>
  </si>
  <si>
    <t>https://articulo.mercadolibre.cl/MLC-3195985562-parrilla-electrica-thomas-th-224-1650w-color-negro-_JM</t>
  </si>
  <si>
    <t>MLC3195985306</t>
  </si>
  <si>
    <t>Alisador Siegen Sg-3540 Cerámica + Tourmalina Púrpura</t>
  </si>
  <si>
    <t>https://articulo.mercadolibre.cl/MLC-3195985306-alisador-siegen-sg-3540-ceramica-tourmalina-purpura-_JM</t>
  </si>
  <si>
    <t>MLC3195972448</t>
  </si>
  <si>
    <t>Horno Electrico Thomas Th-100i 100 Litros Color Plateado</t>
  </si>
  <si>
    <t>https://articulo.mercadolibre.cl/MLC-3195972448-horno-electrico-thomas-th-100i-100-litros-color-plateado-_JM</t>
  </si>
  <si>
    <t>MLC3195972344</t>
  </si>
  <si>
    <t>Licuadora Portátil Thomas Personal Blender Th-300pb 600 Ml Inox Con Jarra De Plástico</t>
  </si>
  <si>
    <t>https://articulo.mercadolibre.cl/MLC-3195972344-licuadora-portatil-thomas-personal-blender-th-300pb-600-ml-inox-con-jarra-de-plastico-_JM</t>
  </si>
  <si>
    <t>MLC3195959602</t>
  </si>
  <si>
    <t>Aspiradora Thomas Th-1407 1400w Color Gris - Gris Oscuro/negro</t>
  </si>
  <si>
    <t>https://articulo.mercadolibre.cl/MLC-3195959602-aspiradora-thomas-th-1407-1400w-color-gris-gris-oscuronegro-_JM</t>
  </si>
  <si>
    <t>MLC3195947074</t>
  </si>
  <si>
    <t>Alisador Siegen Sg-4751 Placas Con Titanio Marrón</t>
  </si>
  <si>
    <t>https://articulo.mercadolibre.cl/MLC-3195947074-alisador-siegen-sg-4751-placas-con-titanio-marron-_JM</t>
  </si>
  <si>
    <t>MLC3195946972</t>
  </si>
  <si>
    <t>Secador De Pelo Siegen Sg-3049c01 Color Fucsia</t>
  </si>
  <si>
    <t>https://articulo.mercadolibre.cl/MLC-3195946972-secador-de-pelo-siegen-sg-3049c01-color-fucsia-_JM</t>
  </si>
  <si>
    <t>MLC3195946546</t>
  </si>
  <si>
    <t>Secador De Pelo Siegen Sg-3035 Color Negro</t>
  </si>
  <si>
    <t>https://articulo.mercadolibre.cl/MLC-3195946546-secador-de-pelo-siegen-sg-3035-color-negro-_JM</t>
  </si>
  <si>
    <t>MLC3195907650</t>
  </si>
  <si>
    <t>Hervidor Thomas Th-4515n 2 Litros - Negro/plateado</t>
  </si>
  <si>
    <t>https://articulo.mercadolibre.cl/MLC-3195907650-hervidor-thomas-th-4515n-2-litros-negroplateado-_JM</t>
  </si>
  <si>
    <t>MLC3195894838</t>
  </si>
  <si>
    <t>Freidora De Aire Th-af60mi Color Plateado Acero Inoxidable</t>
  </si>
  <si>
    <t>https://articulo.mercadolibre.cl/MLC-3195894838-freidora-de-aire-th-af60mi-color-plateado-acero-inoxidable-_JM</t>
  </si>
  <si>
    <t>MLC1716155885</t>
  </si>
  <si>
    <t>Horno De Mesa Eléctrico Thomas 25litros Cocina Th-25n01</t>
  </si>
  <si>
    <t>https://articulo.mercadolibre.cl/MLC-1716155885-horno-de-mesa-electrico-thomas-25litros-cocina-th-25n01-_JM</t>
  </si>
  <si>
    <t>MLC1715850997</t>
  </si>
  <si>
    <t>OC150</t>
  </si>
  <si>
    <t>Te Oolong Manzana Canela 150g Blends And Tea</t>
  </si>
  <si>
    <t>https://articulo.mercadolibre.cl/MLC-1715850997-te-oolong-manzana-canela-150g-blends-and-tea-_JM</t>
  </si>
  <si>
    <t>MLC1716836157</t>
  </si>
  <si>
    <t>https://articulo.mercadolibre.cl/MLC-1716836157-separador-de-servicios-organizador-de-servicios-o-cubiertos-blanco-_JM</t>
  </si>
  <si>
    <t>MLC3210459358</t>
  </si>
  <si>
    <t>Bandeja de Desayuno</t>
  </si>
  <si>
    <t>Bandeja De Desayuno Madera Plegable Portavasos Cama Notebook Marrón</t>
  </si>
  <si>
    <t>https://articulo.mercadolibre.cl/MLC-3210459358-bandeja-de-desayuno-madera-plegable-portavasos-cama-notebook-marron-_JM</t>
  </si>
  <si>
    <t>MLC3215511822</t>
  </si>
  <si>
    <t>TH121599</t>
  </si>
  <si>
    <t>Bandeja Rectangular De Navidad Decorativa De Ceramica 33cm Rojo</t>
  </si>
  <si>
    <t>https://articulo.mercadolibre.cl/MLC-3215511822-bandeja-rectangular-de-navidad-decorativa-de-ceramica-33cm-rojo-_JM</t>
  </si>
  <si>
    <t>MLC3215511730</t>
  </si>
  <si>
    <t>TH121588</t>
  </si>
  <si>
    <t>Plato De Navidad Decorativo De Ceramica Grande 31,5cm Rojo Viejo Pascuero</t>
  </si>
  <si>
    <t>https://articulo.mercadolibre.cl/MLC-3215511730-plato-de-navidad-decorativo-de-ceramica-grande-315cm-rojo-viejo-pascuero-_JM</t>
  </si>
  <si>
    <t>MLC3215474142</t>
  </si>
  <si>
    <t>TH121609</t>
  </si>
  <si>
    <t>Tetera De Navidad Decorativa De Ceramica 700ml Rojo</t>
  </si>
  <si>
    <t>https://articulo.mercadolibre.cl/MLC-3215474142-tetera-de-navidad-decorativa-de-ceramica-700ml-rojo-_JM</t>
  </si>
  <si>
    <t>MLC3215473556</t>
  </si>
  <si>
    <t>NH67952</t>
  </si>
  <si>
    <t>Bandeja Rectangular De Navidad Decorativa De Ceramica 32,5cm Rojo</t>
  </si>
  <si>
    <t>https://articulo.mercadolibre.cl/MLC-3215473556-bandeja-rectangular-de-navidad-decorativa-de-ceramica-325cm-rojo-_JM</t>
  </si>
  <si>
    <t>MLC3215472364</t>
  </si>
  <si>
    <t>NH67941</t>
  </si>
  <si>
    <t>Bandeja Redonda De Navidad Decorativa De  Ceramica 31cm Rojo</t>
  </si>
  <si>
    <t>https://articulo.mercadolibre.cl/MLC-3215472364-bandeja-redonda-de-navidad-decorativa-de-ceramica-31cm-rojo-_JM</t>
  </si>
  <si>
    <t>MLC3215073938</t>
  </si>
  <si>
    <t>NH67938</t>
  </si>
  <si>
    <t>Bandeja Redonda Navideña Viejo Pascuero De Ceramica 33cm Rojo</t>
  </si>
  <si>
    <t>https://articulo.mercadolibre.cl/MLC-3215073938-bandeja-redonda-navidena-viejo-pascuero-de-ceramica-33cm-rojo-_JM</t>
  </si>
  <si>
    <t>MLC3215037224</t>
  </si>
  <si>
    <t>TH121581</t>
  </si>
  <si>
    <t>Servilletero De Navidad Decorativo De Ceramica 11,5cm Rojo</t>
  </si>
  <si>
    <t>https://articulo.mercadolibre.cl/MLC-3215037224-servilletero-de-navidad-decorativo-de-ceramica-115cm-rojo-_JM</t>
  </si>
  <si>
    <t>MLC3215036008</t>
  </si>
  <si>
    <t>NH67942</t>
  </si>
  <si>
    <t>Bandeja Redonda De Navidad Decorativa De Ceramica 26cm Rojo</t>
  </si>
  <si>
    <t>https://articulo.mercadolibre.cl/MLC-3215036008-bandeja-redonda-de-navidad-decorativa-de-ceramica-26cm-rojo-_JM</t>
  </si>
  <si>
    <t>MLC3214993650</t>
  </si>
  <si>
    <t>NH67936</t>
  </si>
  <si>
    <t>Bandeja Rectangular Decorativa Navidad Ceramica Rojo</t>
  </si>
  <si>
    <t>https://articulo.mercadolibre.cl/MLC-3214993650-bandeja-rectangular-decorativa-navidad-ceramica-rojo-_JM</t>
  </si>
  <si>
    <t>MLC1720274527</t>
  </si>
  <si>
    <t>NH67940</t>
  </si>
  <si>
    <t>Bandeja Cuadrada De Navidad Decorativa De Ceramica 26cm Rojo</t>
  </si>
  <si>
    <t>https://articulo.mercadolibre.cl/MLC-1720274527-bandeja-cuadrada-de-navidad-decorativa-de-ceramica-26cm-rojo-_JM</t>
  </si>
  <si>
    <t>MLC1720233209</t>
  </si>
  <si>
    <t>NH67937</t>
  </si>
  <si>
    <t>Bandeja Decorativa Navidad Viejo Pascuero Ceramica Rojo</t>
  </si>
  <si>
    <t>https://articulo.mercadolibre.cl/MLC-1720233209-bandeja-decorativa-navidad-viejo-pascuero-ceramica-rojo-_JM</t>
  </si>
  <si>
    <t>MLC3221949790</t>
  </si>
  <si>
    <t>TablaPino</t>
  </si>
  <si>
    <t>Tabla Para Picar De Madera Grande Gruesa 39x24,5x3,5 Pino Liso</t>
  </si>
  <si>
    <t>https://articulo.mercadolibre.cl/MLC-3221949790-tabla-para-picar-de-madera-grande-gruesa-39x245x35-pino-liso-_JM</t>
  </si>
  <si>
    <t>MLC2997779812</t>
  </si>
  <si>
    <t>Auriculares Gamer Inalámbricos Hoco Bluetooth W35 Max Negro</t>
  </si>
  <si>
    <t>https://articulo.mercadolibre.cl/MLC-2997779812-auriculares-gamer-inalambricos-hoco-bluetooth-w35-max-negro-_JM</t>
  </si>
  <si>
    <t>MLC1669000313</t>
  </si>
  <si>
    <t>Secador De Pelo Siegen Sg-3031 Color Púrpura</t>
  </si>
  <si>
    <t>https://articulo.mercadolibre.cl/MLC-1669000313-secador-de-pelo-siegen-sg-3031-color-purpura-_JM</t>
  </si>
  <si>
    <t>MLC3284432666</t>
  </si>
  <si>
    <t>NH67943</t>
  </si>
  <si>
    <t>Frasco De Almacenaje Navideño Ceramica 3,5 L Decorativo Rojo</t>
  </si>
  <si>
    <t>https://articulo.mercadolibre.cl/MLC-3284432666-frasco-de-almacenaje-navideno-ceramica-35-l-decorativo-rojo-_JM</t>
  </si>
  <si>
    <t>MLC3284380788</t>
  </si>
  <si>
    <t>NH67948</t>
  </si>
  <si>
    <t>Lechero Navideño Lechero De Navidad Ceramica 1 Litro Rojo</t>
  </si>
  <si>
    <t>https://articulo.mercadolibre.cl/MLC-3284380788-lechero-navideno-lechero-de-navidad-ceramica-1-litro-rojo-_JM</t>
  </si>
  <si>
    <t>MLC3289741356</t>
  </si>
  <si>
    <t>Soporte De Coche Para Smartphone Tipo Garra Con Ventosa</t>
  </si>
  <si>
    <t>https://articulo.mercadolibre.cl/MLC-3289741356-soporte-de-coche-para-smartphone-tipo-garra-con-ventosa-_JM</t>
  </si>
  <si>
    <t>MLC3288564952</t>
  </si>
  <si>
    <t>Cargador Portatil Hoco J100 10000mah Powerbank Negro</t>
  </si>
  <si>
    <t>https://articulo.mercadolibre.cl/MLC-3288564952-cargador-portatil-hoco-j100-10000mah-powerbank-negro-_JM</t>
  </si>
  <si>
    <t>MLC3288558284</t>
  </si>
  <si>
    <t>XD89467</t>
  </si>
  <si>
    <t>Conjunto De Tazas Con Plato Navideño 6 Pzas 600ml Rojo Viejito Pascuero</t>
  </si>
  <si>
    <t>https://articulo.mercadolibre.cl/MLC-3288558284-conjunto-de-tazas-con-plato-navideno-6-pzas-600ml-rojo-viejito-pascuero-_JM</t>
  </si>
  <si>
    <t>MLC3288552316</t>
  </si>
  <si>
    <t>Powerbank Carga Rapida 22.5w Hoco J142 100.000mah Linterna Negro</t>
  </si>
  <si>
    <t>https://articulo.mercadolibre.cl/MLC-3288552316-powerbank-carga-rapida-225w-hoco-j142-100000mah-linterna-negro-_JM</t>
  </si>
  <si>
    <t>MLC3288539538</t>
  </si>
  <si>
    <t>Audífonos Deportivos Conducción Ósea Aérea Bluetooth Hoco 8h Negro</t>
  </si>
  <si>
    <t>https://articulo.mercadolibre.cl/MLC-3288539538-audifonos-deportivos-conduccion-osea-aerea-bluetooth-hoco-8h-negro-_JM</t>
  </si>
  <si>
    <t>MLC3288534824</t>
  </si>
  <si>
    <t>Audifonos Hoco Ew45 In Ear Bluetooth Tws Forest Cat  Verde - Verde Oscuro</t>
  </si>
  <si>
    <t>https://articulo.mercadolibre.cl/MLC-3288534824-audifonos-hoco-ew45-in-ear-bluetooth-tws-forest-cat-verde-verde-oscuro-_JM</t>
  </si>
  <si>
    <t>MLC3288521702</t>
  </si>
  <si>
    <t>Audifonos Hoco Eq5 Energy Anc Tws In Ear Bluetooth Negro - Negro</t>
  </si>
  <si>
    <t>https://articulo.mercadolibre.cl/MLC-3288521702-audifonos-hoco-eq5-energy-anc-tws-in-ear-bluetooth-negro-negro-_JM</t>
  </si>
  <si>
    <t>MLC3288521682</t>
  </si>
  <si>
    <t>Audifono Inalambrico In-ear Hoco Ew77 Blanco</t>
  </si>
  <si>
    <t>https://articulo.mercadolibre.cl/MLC-3288521682-audifono-inalambrico-in-ear-hoco-ew77-blanco-_JM</t>
  </si>
  <si>
    <t>MLC3288521668</t>
  </si>
  <si>
    <t>Soporte Porta Celular 360° De Rejilla Ventilacion Auto Coche</t>
  </si>
  <si>
    <t>https://articulo.mercadolibre.cl/MLC-3288521668-soporte-porta-celular-360-de-rejilla-ventilacion-auto-coche-_JM</t>
  </si>
  <si>
    <t>MLC3288521626</t>
  </si>
  <si>
    <t>Soporte De Celular Para Moto Hoco H31 Wild Wolf Negro - Negro</t>
  </si>
  <si>
    <t>https://articulo.mercadolibre.cl/MLC-3288521626-soporte-de-celular-para-moto-hoco-h31-wild-wolf-negro-negro-_JM</t>
  </si>
  <si>
    <t>MLC3288513352</t>
  </si>
  <si>
    <t>Audifonos Hoco Eq16 Cancelacion Ruido+enc Color Azul Acero Azul Acero</t>
  </si>
  <si>
    <t>https://articulo.mercadolibre.cl/MLC-3288513352-audifonos-hoco-eq16-cancelacion-ruidoenc-color-azul-acero-azul-acero-_JM</t>
  </si>
  <si>
    <t>MLC3288513340</t>
  </si>
  <si>
    <t>Hoco Audifono Tws Con Cancelacion Ruido+enc Comp iPhone Eq16 Morado</t>
  </si>
  <si>
    <t>https://articulo.mercadolibre.cl/MLC-3288513340-hoco-audifono-tws-con-cancelacion-ruidoenc-comp-iphone-eq16-morado-_JM</t>
  </si>
  <si>
    <t>MLC3288508736</t>
  </si>
  <si>
    <t>Audifonos Inalambricos Para Niños Gato Bluetooth Hoco Ew46 Gris</t>
  </si>
  <si>
    <t>https://articulo.mercadolibre.cl/MLC-3288508736-audifonos-inalambricos-para-ninos-gato-bluetooth-hoco-ew46-gris-_JM</t>
  </si>
  <si>
    <t>MLC3288483108</t>
  </si>
  <si>
    <t>Audifonos Hoco Ew46 Tws In Ear Bluetooth Khaki Cat Color Amarillo</t>
  </si>
  <si>
    <t>https://articulo.mercadolibre.cl/MLC-3288483108-audifonos-hoco-ew46-tws-in-ear-bluetooth-khaki-cat-color-amarillo-_JM</t>
  </si>
  <si>
    <t>MLC3288480604</t>
  </si>
  <si>
    <t>TH121605</t>
  </si>
  <si>
    <t>Caramelera Navideña Galletero Navideño Pascuero Ceramica 20c Rojo</t>
  </si>
  <si>
    <t>https://articulo.mercadolibre.cl/MLC-3288480604-caramelera-navidena-galletero-navideno-pascuero-ceramica-20c-rojo-_JM</t>
  </si>
  <si>
    <t>MLC3288441608</t>
  </si>
  <si>
    <t>TH121597</t>
  </si>
  <si>
    <t>Bandeja Rectangular Navideña 28cm Ceramica Decorativa - Rojo</t>
  </si>
  <si>
    <t>https://articulo.mercadolibre.cl/MLC-3288441608-bandeja-rectangular-navidena-28cm-ceramica-decorativa-rojo-_JM</t>
  </si>
  <si>
    <t>MLC3288435656</t>
  </si>
  <si>
    <t>Powerbank De 80000mah 65w Con Linterna Pantalla Digital Fast Negro</t>
  </si>
  <si>
    <t>https://articulo.mercadolibre.cl/MLC-3288435656-powerbank-de-80000mah-65w-con-linterna-pantalla-digital-fast-negro-_JM</t>
  </si>
  <si>
    <t>MLC3288431120</t>
  </si>
  <si>
    <t>Hoco®j115 Mini Batería Portátil 5000mah Para iPhone/ Android Negro</t>
  </si>
  <si>
    <t>https://articulo.mercadolibre.cl/MLC-3288431120-hocoj115-mini-bateria-portatil-5000mah-para-iphone-android-negro-_JM</t>
  </si>
  <si>
    <t>MLC3288422644</t>
  </si>
  <si>
    <t>Audifonos Hoco Es64 Easy Sound Sports In Ear Bluetooth Negro</t>
  </si>
  <si>
    <t>https://articulo.mercadolibre.cl/MLC-3288422644-audifonos-hoco-es64-easy-sound-sports-in-ear-bluetooth-negro-_JM</t>
  </si>
  <si>
    <t>MLC3288422610</t>
  </si>
  <si>
    <t>Soporte Para Auto Hoco Ca76 Para Tablero Porta Celular Negro</t>
  </si>
  <si>
    <t>https://articulo.mercadolibre.cl/MLC-3288422610-soporte-para-auto-hoco-ca76-para-tablero-porta-celular-negro-_JM</t>
  </si>
  <si>
    <t>MLC3288402500</t>
  </si>
  <si>
    <t>TH121590</t>
  </si>
  <si>
    <t>Caramelera Navideña Galletero Navideño Pascuero Ceramica 27c Rojo</t>
  </si>
  <si>
    <t>https://articulo.mercadolibre.cl/MLC-3288402500-caramelera-navidena-galletero-navideno-pascuero-ceramica-27c-rojo-_JM</t>
  </si>
  <si>
    <t>MLC3288388902</t>
  </si>
  <si>
    <t>TH121583</t>
  </si>
  <si>
    <t>Tazon De Navidad 800 Ml De Ceramica Merry Christmas Rojo</t>
  </si>
  <si>
    <t>https://articulo.mercadolibre.cl/MLC-3288388902-tazon-de-navidad-800-ml-de-ceramica-merry-christmas-rojo-_JM</t>
  </si>
  <si>
    <t>MLC3288070092</t>
  </si>
  <si>
    <t>Dispositivo Inteligente Anti Pérdida Smart Tag Hoco E91 Color Negro Compatible Con iPhone</t>
  </si>
  <si>
    <t>https://articulo.mercadolibre.cl/MLC-3288070092-dispositivo-inteligente-anti-perdida-smart-tag-hoco-e91-color-negro-compatible-con-iphone-_JM</t>
  </si>
  <si>
    <t>MLC3288067140</t>
  </si>
  <si>
    <t>TH121585</t>
  </si>
  <si>
    <t>Caramelera Navideña Galletero Navideño Pascuero Ceramica 18c Rojo</t>
  </si>
  <si>
    <t>https://articulo.mercadolibre.cl/MLC-3288067140-caramelera-navidena-galletero-navideno-pascuero-ceramica-18c-rojo-_JM</t>
  </si>
  <si>
    <t>MLC3287016472</t>
  </si>
  <si>
    <t>SG29578</t>
  </si>
  <si>
    <t>Bola De Nieve Bola De Cristal Navideño Con Luces Led 15cm Rojo</t>
  </si>
  <si>
    <t>https://articulo.mercadolibre.cl/MLC-3287016472-bola-de-nieve-bola-de-cristal-navideno-con-luces-led-15cm-rojo-_JM</t>
  </si>
  <si>
    <t>MLC3287014280</t>
  </si>
  <si>
    <t>NH67951</t>
  </si>
  <si>
    <t>Caramelera Navideña Galletero Navideño Pascuero Ceramica Rojo</t>
  </si>
  <si>
    <t>https://articulo.mercadolibre.cl/MLC-3287014280-caramelera-navidena-galletero-navideno-pascuero-ceramica-rojo-_JM</t>
  </si>
  <si>
    <t>MLC1738058847</t>
  </si>
  <si>
    <t>TH121576</t>
  </si>
  <si>
    <t>Caramelera Navideña Galletero Navideño Pascuero Ceramica 21c Rojo</t>
  </si>
  <si>
    <t>https://articulo.mercadolibre.cl/MLC-1738058847-caramelera-navidena-galletero-navideno-pascuero-ceramica-21c-rojo-_JM</t>
  </si>
  <si>
    <t>MLC1738018941</t>
  </si>
  <si>
    <t>SG29576</t>
  </si>
  <si>
    <t>Bola De Nieve Bola De Cristal Navideño Con Luces Led 14cm Rojo</t>
  </si>
  <si>
    <t>https://articulo.mercadolibre.cl/MLC-1738018941-bola-de-nieve-bola-de-cristal-navideno-con-luces-led-14cm-rojo-_JM</t>
  </si>
  <si>
    <t>MLC1738017115</t>
  </si>
  <si>
    <t>NH67949</t>
  </si>
  <si>
    <t>Jarra Navideña Jarra Decorativa De Navidad 2l Ceramica Rojo</t>
  </si>
  <si>
    <t>https://articulo.mercadolibre.cl/MLC-1738017115-jarra-navidena-jarra-decorativa-de-navidad-2l-ceramica-rojo-_JM</t>
  </si>
  <si>
    <t>MLC1737926667</t>
  </si>
  <si>
    <t>RS68952</t>
  </si>
  <si>
    <t>Estatua Dama De La Justicia Adorno Dama De La Justicia 35cm - Dorado Oscuro</t>
  </si>
  <si>
    <t>https://articulo.mercadolibre.cl/MLC-1737926667-estatua-dama-de-la-justicia-adorno-dama-de-la-justicia-35cm-dorado-oscuro-_JM</t>
  </si>
  <si>
    <t>MLC3295825624</t>
  </si>
  <si>
    <t>NH67945</t>
  </si>
  <si>
    <t>Bandeja Rectangular De Navidad Decorativa De Ceramica 32cm Rojo</t>
  </si>
  <si>
    <t>https://articulo.mercadolibre.cl/MLC-3295825624-bandeja-rectangular-de-navidad-decorativa-de-ceramica-32cm-rojo-_JM</t>
  </si>
  <si>
    <t>MLC3309264864</t>
  </si>
  <si>
    <t>BECHS0000000129</t>
  </si>
  <si>
    <t>Plancha De Cabello Mini Ga.ma Italy Cp1 Mini Ceramic Ion Negra</t>
  </si>
  <si>
    <t>https://articulo.mercadolibre.cl/MLC-3309264864-plancha-de-cabello-mini-gama-italy-cp1-mini-ceramic-ion-negra-_JM</t>
  </si>
  <si>
    <t>MLC3309264764</t>
  </si>
  <si>
    <t>BECHS0000001431</t>
  </si>
  <si>
    <t>Gama Alisador Elegance Keration Std Negro Rosa</t>
  </si>
  <si>
    <t>https://articulo.mercadolibre.cl/MLC-3309264764-gama-alisador-elegance-keration-std-negro-rosa-_JM</t>
  </si>
  <si>
    <t>MLC3309264656</t>
  </si>
  <si>
    <t>WBCSC0000000042</t>
  </si>
  <si>
    <t>Balanza Digital Gama Negra Scg 430 Vidrio Templado Black Negro</t>
  </si>
  <si>
    <t>https://articulo.mercadolibre.cl/MLC-3309264656-balanza-digital-gama-negra-scg-430-vidrio-templado-black-negro-_JM</t>
  </si>
  <si>
    <t>MLC3309121820</t>
  </si>
  <si>
    <t>BECHD0000001626</t>
  </si>
  <si>
    <t>Secador De Pelo Ga.ma Italy Eolic Travel</t>
  </si>
  <si>
    <t>https://articulo.mercadolibre.cl/MLC-3309121820-secador-de-pelo-gama-italy-eolic-travel-_JM</t>
  </si>
  <si>
    <t>MLC3309121804</t>
  </si>
  <si>
    <t>BECHD0000002463</t>
  </si>
  <si>
    <t>Secador De Pelo Gama Mistral Ceramic Ion Nano Silver 2200w Color Negro</t>
  </si>
  <si>
    <t>https://articulo.mercadolibre.cl/MLC-3309121804-secador-de-pelo-gama-mistral-ceramic-ion-nano-silver-2200w-color-negro-_JM</t>
  </si>
  <si>
    <t>MLC3309044210</t>
  </si>
  <si>
    <t>HDCBR0000000480</t>
  </si>
  <si>
    <t>Cepillo Turbo Ion 2600 3 En 1 Gama</t>
  </si>
  <si>
    <t>https://articulo.mercadolibre.cl/MLC-3309044210-cepillo-turbo-ion-2600-3-en-1-gama-_JM</t>
  </si>
  <si>
    <t>MLC3309044160</t>
  </si>
  <si>
    <t>BECCP0000000445</t>
  </si>
  <si>
    <t>Cortapelo Clipper Multistyler Gama Gc 625 Inalámbrico Gris Negro</t>
  </si>
  <si>
    <t>https://articulo.mercadolibre.cl/MLC-3309044160-cortapelo-clipper-multistyler-gama-gc-625-inalambrico-gris-negro-_JM</t>
  </si>
  <si>
    <t>MLC3309044110</t>
  </si>
  <si>
    <t>BECDP0000000193</t>
  </si>
  <si>
    <t>Olla Cera Depilatoria Gama Dep 500 Cc Negra Blanco</t>
  </si>
  <si>
    <t>https://articulo.mercadolibre.cl/MLC-3309044110-olla-cera-depilatoria-gama-dep-500-cc-negra-blanco-_JM</t>
  </si>
  <si>
    <t>MLC3309044070</t>
  </si>
  <si>
    <t>BECHS0000001439</t>
  </si>
  <si>
    <t>Planchita De Pelo Gama Keration X-wide Digital 230ºc Color Dorado</t>
  </si>
  <si>
    <t>https://articulo.mercadolibre.cl/MLC-3309044070-planchita-de-pelo-gama-keration-x-wide-digital-230c-color-dorado-_JM</t>
  </si>
  <si>
    <t>MLC3308914728</t>
  </si>
  <si>
    <t>BECSH0000000341</t>
  </si>
  <si>
    <t>Gama Afeitadora Femenina Tiny Go Usb Negro</t>
  </si>
  <si>
    <t>https://articulo.mercadolibre.cl/MLC-3308914728-gama-afeitadora-femenina-tiny-go-usb-negro-_JM</t>
  </si>
  <si>
    <t>MLC3308914704</t>
  </si>
  <si>
    <t>BECSH0000000168</t>
  </si>
  <si>
    <t>Máquina Afeitadora Braun Series 3 300s Roja</t>
  </si>
  <si>
    <t>https://articulo.mercadolibre.cl/MLC-3308914704-maquina-afeitadora-braun-series-3-300s-roja-_JM</t>
  </si>
  <si>
    <t>MLC1744587827</t>
  </si>
  <si>
    <t>KunaCacao50g</t>
  </si>
  <si>
    <t>Puffs Cereal Infantil Kuna Foods Sabor Cacao - 50g Sin Tacc Sin Sellos</t>
  </si>
  <si>
    <t>https://articulo.mercadolibre.cl/MLC-1744587827-puffs-cereal-infantil-kuna-foods-sabor-cacao-50g-sin-tacc-sin-sellos-_JM</t>
  </si>
  <si>
    <t>MLC1744573095</t>
  </si>
  <si>
    <t>BECHD0000001633</t>
  </si>
  <si>
    <t>Secador De Pelo Gama Diamond St Bk 220 Ion 2300 Watts Color Negro</t>
  </si>
  <si>
    <t>https://articulo.mercadolibre.cl/MLC-1744573095-secador-de-pelo-gama-diamond-st-bk-220-ion-2300-watts-color-negro-_JM</t>
  </si>
  <si>
    <t>MLC1744547455</t>
  </si>
  <si>
    <t>BECCP0000000492</t>
  </si>
  <si>
    <t>Cortapelos Clipper Gama Gm 562 Magnético 13 Piezas Color Azul</t>
  </si>
  <si>
    <t>https://articulo.mercadolibre.cl/MLC-1744547455-cortapelos-clipper-gama-gm-562-magnetico-13-piezas-color-azul-_JM</t>
  </si>
  <si>
    <t>MLC1744497811</t>
  </si>
  <si>
    <t>BECHS0000002663</t>
  </si>
  <si>
    <t>Plancha Alisadora Gama Alais Ceramic Shine Ion Nano Silver Color Negro</t>
  </si>
  <si>
    <t>https://articulo.mercadolibre.cl/MLC-1744497811-plancha-alisadora-gama-alais-ceramic-shine-ion-nano-silver-color-negro-_JM</t>
  </si>
  <si>
    <t>MLC3312952240</t>
  </si>
  <si>
    <t>Cookids Mani</t>
  </si>
  <si>
    <t>Galletas Saludables Cookids Maní Kuna Foods 30 Gr Sin Sellos</t>
  </si>
  <si>
    <t>https://articulo.mercadolibre.cl/MLC-3312952240-galletas-saludables-cookids-mani-kuna-foods-30-gr-sin-sellos-_JM</t>
  </si>
  <si>
    <t>MLC3312952168</t>
  </si>
  <si>
    <t>Gumis Durazno</t>
  </si>
  <si>
    <t>Gumis Gomitas De Fruta Kuna Foods Durazno - 4 Unidades</t>
  </si>
  <si>
    <t>https://articulo.mercadolibre.cl/MLC-3312952168-gumis-gomitas-de-fruta-kuna-foods-durazno-4-unidades-_JM</t>
  </si>
  <si>
    <t>MLC3312940368</t>
  </si>
  <si>
    <t>Cookids Original</t>
  </si>
  <si>
    <t>Galletas Saludables Cookids Para Niños De Kuna - Bolsa 30 Gr Tradicional</t>
  </si>
  <si>
    <t>https://articulo.mercadolibre.cl/MLC-3312940368-galletas-saludables-cookids-para-ninos-de-kuna-bolsa-30-gr-tradicional-_JM</t>
  </si>
  <si>
    <t>MLC3312939382</t>
  </si>
  <si>
    <t>Cookids Frutilla</t>
  </si>
  <si>
    <t>Galletas Saludables Cookids Frutilla Kuna Foods 30 Gr</t>
  </si>
  <si>
    <t>https://articulo.mercadolibre.cl/MLC-3312939382-galletas-saludables-cookids-frutilla-kuna-foods-30-gr-_JM</t>
  </si>
  <si>
    <t>MLC3312939340</t>
  </si>
  <si>
    <t>Gumis Berries</t>
  </si>
  <si>
    <t>Gumis Gomitas De Fruta Kuna Foods Berries - 4 Unidades</t>
  </si>
  <si>
    <t>https://articulo.mercadolibre.cl/MLC-3312939340-gumis-gomitas-de-fruta-kuna-foods-berries-4-unidades-_JM</t>
  </si>
  <si>
    <t>MLC3312926490</t>
  </si>
  <si>
    <t>Cookids Cacao</t>
  </si>
  <si>
    <t>Galletas Saludables Cookids Cacao Kuna Foods 30 Gr Sin Sellos</t>
  </si>
  <si>
    <t>https://articulo.mercadolibre.cl/MLC-3312926490-galletas-saludables-cookids-cacao-kuna-foods-30-gr-sin-sellos-_JM</t>
  </si>
  <si>
    <t>MLC3312862456</t>
  </si>
  <si>
    <t>Bombas Mediterraneas</t>
  </si>
  <si>
    <t>Cereal Kuna Snack Saludable Sufle Bombas Mediterranea 100g</t>
  </si>
  <si>
    <t>https://articulo.mercadolibre.cl/MLC-3312862456-cereal-kuna-snack-saludable-sufle-bombas-mediterranea-100g-_JM</t>
  </si>
  <si>
    <t>MLC3312848914</t>
  </si>
  <si>
    <t>Cookids Limon</t>
  </si>
  <si>
    <t>Galletas Saludables Cookids Limón Kuna Foods 30 Gr Sin Sello</t>
  </si>
  <si>
    <t>https://articulo.mercadolibre.cl/MLC-3312848914-galletas-saludables-cookids-limon-kuna-foods-30-gr-sin-sello-_JM</t>
  </si>
  <si>
    <t>MLC3312553178</t>
  </si>
  <si>
    <t>Bombas Maní</t>
  </si>
  <si>
    <t>Cereal Kuna Snack Saludable Sufle Bombas Maní 100g Sin Sellos</t>
  </si>
  <si>
    <t>https://articulo.mercadolibre.cl/MLC-3312553178-cereal-kuna-snack-saludable-sufle-bombas-mani-100g-sin-sellos-_JM</t>
  </si>
  <si>
    <t>MLC1745126651</t>
  </si>
  <si>
    <t>Gumis Piña</t>
  </si>
  <si>
    <t>Gomita Kuna Foods Snack Infantil Piña Con Fruta Sin Gluten 16 g 4 u Sin Sellos</t>
  </si>
  <si>
    <t>https://articulo.mercadolibre.cl/MLC-1745126651-gomita-kuna-foods-snack-infantil-pina-con-fruta-sin-gluten-16g-4u-sin-sellos-_JM</t>
  </si>
  <si>
    <t>MLC1746216539</t>
  </si>
  <si>
    <t>HDRG</t>
  </si>
  <si>
    <t>Te Hibisco Detox Vitalidad 100 Gr Recarga Blends &amp; Tea</t>
  </si>
  <si>
    <t>https://articulo.mercadolibre.cl/MLC-1746216539-te-hibisco-detox-vitalidad-100-gr-recarga-blends-tea-_JM</t>
  </si>
  <si>
    <t>MLC3330638216</t>
  </si>
  <si>
    <t>Pack 4 40cm Bandeja Antideslizante Garzon Restaurante Negro</t>
  </si>
  <si>
    <t>https://articulo.mercadolibre.cl/MLC-3330638216-pack-4-40cm-bandeja-antideslizante-garzon-restaurante-negro-_JM</t>
  </si>
  <si>
    <t>MLC3330630142</t>
  </si>
  <si>
    <t>Pre Entreno Kicker 540g 30 Porciones Piña - Maracuya Strive Piña - Maracuya</t>
  </si>
  <si>
    <t>https://articulo.mercadolibre.cl/MLC-3330630142-pre-entreno-kicker-540g-30-porciones-pina-maracuya-strive-pina-maracuya-_JM</t>
  </si>
  <si>
    <t>MLC3330613240</t>
  </si>
  <si>
    <t>Pack 3 45cm Bandeja Antideslizante Garzon Restaurant Servir Negro</t>
  </si>
  <si>
    <t>https://articulo.mercadolibre.cl/MLC-3330613240-pack-3-45cm-bandeja-antideslizante-garzon-restaurant-servir-negro-_JM</t>
  </si>
  <si>
    <t>MLC3330499668</t>
  </si>
  <si>
    <t>Creatina Monohidratada Micronizada 200 Mesh 60 Porciones Sin Sabor</t>
  </si>
  <si>
    <t>https://articulo.mercadolibre.cl/MLC-3330499668-creatina-monohidratada-micronizada-200-mesh-60-porciones-sin-sabor-_JM</t>
  </si>
  <si>
    <t>MLC3330477178</t>
  </si>
  <si>
    <t>Pre Entreno Kicker 540g 30 Porciones Frambuesa - Uva Strive Frambuesa - Uva</t>
  </si>
  <si>
    <t>https://articulo.mercadolibre.cl/MLC-3330477178-pre-entreno-kicker-540g-30-porciones-frambuesa-uva-strive-frambuesa-uva-_JM</t>
  </si>
  <si>
    <t>MLC3330475496</t>
  </si>
  <si>
    <t>Proteina Aisalada Vainilla 735g 21 Porciones Strive Vainilla</t>
  </si>
  <si>
    <t>https://articulo.mercadolibre.cl/MLC-3330475496-proteina-aisalada-vainilla-735g-21-porciones-strive-vainilla-_JM</t>
  </si>
  <si>
    <t>MLC3335646838</t>
  </si>
  <si>
    <t>Charqui Lobito La Loberia - 30g</t>
  </si>
  <si>
    <t>https://articulo.mercadolibre.cl/MLC-3335646838-charqui-lobito-la-loberia-30g-_JM</t>
  </si>
  <si>
    <t>MLC1754448293</t>
  </si>
  <si>
    <t>Chorizo Chileno Premium 100 Grs Carne De Cerdo La Loberia</t>
  </si>
  <si>
    <t>https://articulo.mercadolibre.cl/MLC-1754448293-chorizo-chileno-premium-100-grs-carne-de-cerdo-la-loberia-_JM</t>
  </si>
  <si>
    <t>MLC1754370449</t>
  </si>
  <si>
    <t>Jamon Serrano 100g - Español Premium - La Loberia</t>
  </si>
  <si>
    <t>https://articulo.mercadolibre.cl/MLC-1754370449-jamon-serrano-100g-espanol-premium-la-loberia-_JM</t>
  </si>
  <si>
    <t>MLC3343573790</t>
  </si>
  <si>
    <t>CCCSH0000000290</t>
  </si>
  <si>
    <t>Amethyste Silver Shampoo 1000ml</t>
  </si>
  <si>
    <t>https://articulo.mercadolibre.cl/MLC-3343573790-amethyste-silver-shampoo-1000ml-_JM</t>
  </si>
  <si>
    <t>MLC3343573702</t>
  </si>
  <si>
    <t>HECTN0000000058</t>
  </si>
  <si>
    <t>Gama Tensiometro Muñeca Bp2116 Neutro Blanco</t>
  </si>
  <si>
    <t>https://articulo.mercadolibre.cl/MLC-3343573702-gama-tensiometro-muneca-bp2116-neutro-blanco-_JM</t>
  </si>
  <si>
    <t>MLC3343536102</t>
  </si>
  <si>
    <t>CCCSP0000000064</t>
  </si>
  <si>
    <t>Sow Must Hair Leave-in Regenerador Protector Térmico 150ml</t>
  </si>
  <si>
    <t>https://articulo.mercadolibre.cl/MLC-3343536102-sow-must-hair-leave-in-regenerador-protector-termico-150ml-_JM</t>
  </si>
  <si>
    <t>MLC3343535904</t>
  </si>
  <si>
    <t>CRCOX0000000061</t>
  </si>
  <si>
    <t>Farmavita Oxidante Suprema Color 20v 60ml</t>
  </si>
  <si>
    <t>https://articulo.mercadolibre.cl/MLC-3343535904-farmavita-oxidante-suprema-color-20v-60ml-_JM</t>
  </si>
  <si>
    <t>MLC3343450284</t>
  </si>
  <si>
    <t>BECHS0000002289</t>
  </si>
  <si>
    <t>Gama Plancha Elegance Coconut Almond Color Blanco Blanco</t>
  </si>
  <si>
    <t>https://articulo.mercadolibre.cl/MLC-3343450284-gama-plancha-elegance-coconut-almond-color-blanco-blanco-_JM</t>
  </si>
  <si>
    <t>MLC1758600211</t>
  </si>
  <si>
    <t>BECHD0000002382</t>
  </si>
  <si>
    <t>Secador De Pelo Gama Brilliant Ceramic Ion Aqua Therapy Verde</t>
  </si>
  <si>
    <t>https://articulo.mercadolibre.cl/MLC-1758600211-secador-de-pelo-gama-brilliant-ceramic-ion-aqua-therapy-verde-_JM</t>
  </si>
  <si>
    <t>MLC1758551827</t>
  </si>
  <si>
    <t>BECHS0000000829</t>
  </si>
  <si>
    <t>Plancha De Cabello Ga.ma Italy Red Ionix Hp</t>
  </si>
  <si>
    <t>https://articulo.mercadolibre.cl/MLC-1758551827-plancha-de-cabello-gama-italy-red-ionix-hp-_JM</t>
  </si>
  <si>
    <t>MLC1758551719</t>
  </si>
  <si>
    <t>CCCSP0000000062</t>
  </si>
  <si>
    <t>Farmavita Hd Spray Smooth &amp; Protect</t>
  </si>
  <si>
    <t>https://articulo.mercadolibre.cl/MLC-1758551719-farmavita-hd-spray-smooth-protect-_JM</t>
  </si>
  <si>
    <t>MLC1758551677</t>
  </si>
  <si>
    <t>WBCSC0000000035</t>
  </si>
  <si>
    <t>Balanza Pesa Deluxe Scf 2000 Gama Imc Muscular Grasa Oseo Negro</t>
  </si>
  <si>
    <t>https://articulo.mercadolibre.cl/MLC-1758551677-balanza-pesa-deluxe-scf-2000-gama-imc-muscular-grasa-oseo-negro-_JM</t>
  </si>
  <si>
    <t>MLC1758539925</t>
  </si>
  <si>
    <t>CCCSH0000000287</t>
  </si>
  <si>
    <t>Amethyste Hydrate Shampoo 1000 Ml</t>
  </si>
  <si>
    <t>https://articulo.mercadolibre.cl/MLC-1758539925-amethyste-hydrate-shampoo-1000-ml-_JM</t>
  </si>
  <si>
    <t>MLC1758539281</t>
  </si>
  <si>
    <t>CRCOX0000000060</t>
  </si>
  <si>
    <t>Crema Oxidante Suprema Color 1000 Ml - Farmavita Tono 20vol 20vol</t>
  </si>
  <si>
    <t>https://articulo.mercadolibre.cl/MLC-1758539281-crema-oxidante-suprema-color-1000-ml-farmavita-tono-20vol-20vol-_JM</t>
  </si>
  <si>
    <t>MLC1758527437</t>
  </si>
  <si>
    <t>HECTH0000000025</t>
  </si>
  <si>
    <t>Gama Termómetro Ifr Xl-f03 Neutro Blanco</t>
  </si>
  <si>
    <t>https://articulo.mercadolibre.cl/MLC-1758527437-gama-termometro-ifr-xl-f03-neutro-blanco-_JM</t>
  </si>
  <si>
    <t>MLC3344359506</t>
  </si>
  <si>
    <t>CRCEM0081131464</t>
  </si>
  <si>
    <t>Revelador Wella Color Touch Emulsión Color Touch 1,9% 120ml Sin Tono</t>
  </si>
  <si>
    <t>https://articulo.mercadolibre.cl/MLC-3344359506-revelador-wella-color-touch-emulsion-color-touch-19-120ml-sin-tono-_JM</t>
  </si>
  <si>
    <t>MLC3356679038</t>
  </si>
  <si>
    <t>TH121603</t>
  </si>
  <si>
    <t>Pocillo De Navidad Cuenco Ceramica Viejo Pascuero Rojo</t>
  </si>
  <si>
    <t>https://articulo.mercadolibre.cl/MLC-3356679038-pocillo-de-navidad-cuenco-ceramica-viejo-pascuero-rojo-_JM</t>
  </si>
  <si>
    <t>MLC3356677914</t>
  </si>
  <si>
    <t>TH121595</t>
  </si>
  <si>
    <t>Bandeja Doble Navideña 26cm Viejo Pascuero Navidad Ceramica Blanco</t>
  </si>
  <si>
    <t>https://articulo.mercadolibre.cl/MLC-3356677914-bandeja-doble-navidena-26cm-viejo-pascuero-navidad-ceramica-blanco-_JM</t>
  </si>
  <si>
    <t>MLC3356587742</t>
  </si>
  <si>
    <t>TH121598</t>
  </si>
  <si>
    <t>Salero Y Pimentero Navideño Viejito Pascuero De Ceramica Rojo</t>
  </si>
  <si>
    <t>https://articulo.mercadolibre.cl/MLC-3356587742-salero-y-pimentero-navideno-viejito-pascuero-de-ceramica-rojo-_JM</t>
  </si>
  <si>
    <t>MLC3356587408</t>
  </si>
  <si>
    <t>TH121593</t>
  </si>
  <si>
    <t>Lechero Navideño Viejo Pascuero 450 Ml Ceramica Navidad Rojo</t>
  </si>
  <si>
    <t>https://articulo.mercadolibre.cl/MLC-3356587408-lechero-navideno-viejo-pascuero-450-ml-ceramica-navidad-rojo-_JM</t>
  </si>
  <si>
    <t>MLC3356587176</t>
  </si>
  <si>
    <t>TH121586</t>
  </si>
  <si>
    <t>Pocillo Navideño De Ceramica Viejito Pascuero 450 Ml Navidad Rojo</t>
  </si>
  <si>
    <t>https://articulo.mercadolibre.cl/MLC-3356587176-pocillo-navideno-de-ceramica-viejito-pascuero-450-ml-navidad-rojo-_JM</t>
  </si>
  <si>
    <t>MLC3356135160</t>
  </si>
  <si>
    <t>TH121587</t>
  </si>
  <si>
    <t>Pocillo De Navidad 1 Litro Viejito Pascuero Triple Ceramica Rojo</t>
  </si>
  <si>
    <t>https://articulo.mercadolibre.cl/MLC-3356135160-pocillo-de-navidad-1-litro-viejito-pascuero-triple-ceramica-rojo-_JM</t>
  </si>
  <si>
    <t>MLC3356134646</t>
  </si>
  <si>
    <t>TH121579</t>
  </si>
  <si>
    <t>Lechero Navideño 450 Ml Viejo Pascuero Navidad Ceramica Rojo</t>
  </si>
  <si>
    <t>https://articulo.mercadolibre.cl/MLC-3356134646-lechero-navideno-450-ml-viejo-pascuero-navidad-ceramica-rojo-_JM</t>
  </si>
  <si>
    <t>MLC3355995388</t>
  </si>
  <si>
    <t>TH121602</t>
  </si>
  <si>
    <t>Pocillo Navideño De Ceramica Viejo Pascuero 4 Rojo</t>
  </si>
  <si>
    <t>https://articulo.mercadolibre.cl/MLC-3355995388-pocillo-navideno-de-ceramica-viejo-pascuero-4-rojo-_JM</t>
  </si>
  <si>
    <t>MLC3355994114</t>
  </si>
  <si>
    <t>TH121594</t>
  </si>
  <si>
    <t>Bandeja Triple Navideña Viejo Pascuero 38cm Navidad Ceramica Rojo</t>
  </si>
  <si>
    <t>https://articulo.mercadolibre.cl/MLC-3355994114-bandeja-triple-navidena-viejo-pascuero-38cm-navidad-ceramica-rojo-_JM</t>
  </si>
  <si>
    <t>MLC3355918292</t>
  </si>
  <si>
    <t>TH121582</t>
  </si>
  <si>
    <t>Pocillo Navideño Viejito Pascuero 12cm Ceramica Navidad Rojo</t>
  </si>
  <si>
    <t>https://articulo.mercadolibre.cl/MLC-3355918292-pocillo-navideno-viejito-pascuero-12cm-ceramica-navidad-rojo-_JM</t>
  </si>
  <si>
    <t>MLC3355829718</t>
  </si>
  <si>
    <t>TH121604</t>
  </si>
  <si>
    <t>Bombonera Navideña Viejo Pascuero Osito 4,5 Litros Ceramica Rojo</t>
  </si>
  <si>
    <t>https://articulo.mercadolibre.cl/MLC-3355829718-bombonera-navidena-viejo-pascuero-osito-45-litros-ceramica-rojo-_JM</t>
  </si>
  <si>
    <t>MLC1765104441</t>
  </si>
  <si>
    <t>TH121606</t>
  </si>
  <si>
    <t>Bombonera Navideña Viejo Pascuero Ceramica 7 Rojo</t>
  </si>
  <si>
    <t>https://articulo.mercadolibre.cl/MLC-1765104441-bombonera-navidena-viejo-pascuero-ceramica-7-rojo-_JM</t>
  </si>
  <si>
    <t>MLC1765092081</t>
  </si>
  <si>
    <t>TH121601</t>
  </si>
  <si>
    <t>Pocillo Triple Navideño Viejo Pascuero 300 Ml Ceramica Rojo</t>
  </si>
  <si>
    <t>https://articulo.mercadolibre.cl/MLC-1765092081-pocillo-triple-navideno-viejo-pascuero-300-ml-ceramica-rojo-_JM</t>
  </si>
  <si>
    <t>MLC1765091121</t>
  </si>
  <si>
    <t>TH121589</t>
  </si>
  <si>
    <t>Lechero Navideño Viejito Pascuero Ceramica Navidad Rojo</t>
  </si>
  <si>
    <t>https://articulo.mercadolibre.cl/MLC-1765091121-lechero-navideno-viejito-pascuero-ceramica-navidad-rojo-_JM</t>
  </si>
  <si>
    <t>MLC1765090943</t>
  </si>
  <si>
    <t>TH121584</t>
  </si>
  <si>
    <t>Frasco De Almacenaje Navideño Viejo Pascuero Ceramica Rojo</t>
  </si>
  <si>
    <t>https://articulo.mercadolibre.cl/MLC-1765090943-frasco-de-almacenaje-navideno-viejo-pascuero-ceramica-rojo-_JM</t>
  </si>
  <si>
    <t>MLC1765089819</t>
  </si>
  <si>
    <t>Set 2 Tazas Navideñas 400 Ml Con Cucharilla De Ceramica Rojo Viejito Pascuero</t>
  </si>
  <si>
    <t>https://articulo.mercadolibre.cl/MLC-1765089819-set-2-tazas-navidenas-400-ml-con-cucharilla-de-ceramica-rojo-viejito-pascuero-_JM</t>
  </si>
  <si>
    <t>MLC1765052453</t>
  </si>
  <si>
    <t>TH121580</t>
  </si>
  <si>
    <t>Servilletero Navideño Viejito Pascuero Ceramica 12cm Navidad Rojo</t>
  </si>
  <si>
    <t>https://articulo.mercadolibre.cl/MLC-1765052453-servilletero-navideno-viejito-pascuero-ceramica-12cm-navidad-rojo-_JM</t>
  </si>
  <si>
    <t>MLC1765051811</t>
  </si>
  <si>
    <t>NH67935</t>
  </si>
  <si>
    <t>Bombonera De Navidad Caramelera De Navidad 2.5 Litros Rojo</t>
  </si>
  <si>
    <t>https://articulo.mercadolibre.cl/MLC-1765051811-bombonera-de-navidad-caramelera-de-navidad-25-litros-rojo-_JM</t>
  </si>
  <si>
    <t>MLC1764987263</t>
  </si>
  <si>
    <t>NH67939</t>
  </si>
  <si>
    <t>Bandeja Triple Navideña Viejito Pascuero 28,5cm Ceramica Rojo</t>
  </si>
  <si>
    <t>https://articulo.mercadolibre.cl/MLC-1764987263-bandeja-triple-navidena-viejito-pascuero-285cm-ceramica-rojo-_JM</t>
  </si>
  <si>
    <t>MLC1764910759</t>
  </si>
  <si>
    <t>TH121596</t>
  </si>
  <si>
    <t>Bandeja Rectangular 38 Cm Viejo Pascuero 3 Navidad Ceramica Blanco</t>
  </si>
  <si>
    <t>https://articulo.mercadolibre.cl/MLC-1764910759-bandeja-rectangular-38-cm-viejo-pascuero-3-navidad-ceramica-blanco-_JM</t>
  </si>
  <si>
    <t>MLC1764909625</t>
  </si>
  <si>
    <t>NH67944</t>
  </si>
  <si>
    <t>Tetera Decorativa Navideña Viejo Pascuero 1,2 L Ceramica Rojo</t>
  </si>
  <si>
    <t>https://articulo.mercadolibre.cl/MLC-1764909625-tetera-decorativa-navidena-viejo-pascuero-12-l-ceramica-rojo-_JM</t>
  </si>
  <si>
    <t>MLC3362804440</t>
  </si>
  <si>
    <t>Sandwichera Thomas Th-952 750w, Capacidad Para 2 Panesblanco Blanco</t>
  </si>
  <si>
    <t>https://articulo.mercadolibre.cl/MLC-3362804440-sandwichera-thomas-th-952-750w-capacidad-para-2-panesblanco-blanco-_JM</t>
  </si>
  <si>
    <t>MLC3369683590</t>
  </si>
  <si>
    <t>Manillar Hoco Ca73 Para Motocicleta, Soporte Para Vehículo, Negro/rojo</t>
  </si>
  <si>
    <t>https://articulo.mercadolibre.cl/MLC-3369683590-manillar-hoco-ca73-para-motocicleta-soporte-para-vehiculo-negrorojo-_JM</t>
  </si>
  <si>
    <t>MLC1669011133</t>
  </si>
  <si>
    <t>Hervidor Thomas Th-4340 1,7 Litros Color Blanco</t>
  </si>
  <si>
    <t>https://articulo.mercadolibre.cl/MLC-1669011133-hervidor-thomas-th-4340-17-litros-color-blanco-_JM</t>
  </si>
  <si>
    <t>MLC2997337764</t>
  </si>
  <si>
    <t>Auriculares Gamer Inalámbricos Hoco Bluetooth W35 Max Plateado</t>
  </si>
  <si>
    <t>https://articulo.mercadolibre.cl/MLC-2997337764-auriculares-gamer-inalambricos-hoco-bluetooth-w35-max-plateado-_JM</t>
  </si>
  <si>
    <t>MLC2906319330</t>
  </si>
  <si>
    <t>Audífono Bluetooth Hoco W35 Air 45hrs Para iPhone O Android Color Negro Luz Bl</t>
  </si>
  <si>
    <t>https://articulo.mercadolibre.cl/MLC-2906319330-audifono-bluetooth-hoco-w35-air-45hrs-para-iphone-o-android-color-negro-luz-bl-_JM</t>
  </si>
  <si>
    <t>MLC2906280818</t>
  </si>
  <si>
    <t>Audifonos Hoco W35 Air Triumph Over Ear Bluetooth Silver Color Plata</t>
  </si>
  <si>
    <t>https://articulo.mercadolibre.cl/MLC-2906280818-audifonos-hoco-w35-air-triumph-over-ear-bluetooth-silver-color-plata-_JM</t>
  </si>
  <si>
    <t>TePu-erhNaranja150g</t>
  </si>
  <si>
    <t>TePu-erhNaranjaRecarga</t>
  </si>
  <si>
    <t>TeVerdeMentaFrutillaRecarga</t>
  </si>
  <si>
    <t>MLC3213493958</t>
  </si>
  <si>
    <t>Kuna Foods Cereales Puffs Manzana Arándano Sin Tacc Sin Azúcar 50g</t>
  </si>
  <si>
    <t>https://articulo.mercadolibre.cl/MLC-3213493958-kuna-foods-cereales-puffs-manzana-arandano-sin-tacc-sin-azucar-50g-_JM</t>
  </si>
  <si>
    <t>MLC3137731242</t>
  </si>
  <si>
    <t>Separador De Servicios Organizador De Servicios O Cubiertos Color Blanco</t>
  </si>
  <si>
    <t>https://articulo.mercadolibre.cl/MLC-3137731242-separador-de-servicios-organizador-de-servicios-o-cubiertos-color-blanco-_JM</t>
  </si>
  <si>
    <t>MLC3195425012</t>
  </si>
  <si>
    <t>https://articulo.mercadolibre.cl/MLC-3195425012-panera-redonda-de-mimbre-24-cm-amarillo-_JM</t>
  </si>
  <si>
    <t>MLC2870405916</t>
  </si>
  <si>
    <t>Basurero Papelero Pedal 12 Lts Acero Inoxidable</t>
  </si>
  <si>
    <t>https://articulo.mercadolibre.cl/MLC-2870405916-basurero-papelero-pedal-12-lts-acero-inoxidable-_JM</t>
  </si>
  <si>
    <t>MLC1596922347</t>
  </si>
  <si>
    <t>Basurero 20 Litros Pedal De Acero Inoxidable Taumm Color Acero Inox Brillante</t>
  </si>
  <si>
    <t>https://articulo.mercadolibre.cl/MLC-1596922347-basurero-20-litros-pedal-de-acero-inoxidable-taumm-color-acero-inox-brillante-_JM</t>
  </si>
  <si>
    <t>MLC2855289622</t>
  </si>
  <si>
    <t>Separador De Servicios Organizador De Servicios O Cubiertos Transparente</t>
  </si>
  <si>
    <t>https://articulo.mercadolibre.cl/MLC-2855289622-separador-de-servicios-organizador-de-servicios-o-cubiertos-transparente-_JM</t>
  </si>
  <si>
    <t>MLC2869610082</t>
  </si>
  <si>
    <t>Estatua Figura Gato Adorno Interior Color Blanco</t>
  </si>
  <si>
    <t>https://articulo.mercadolibre.cl/MLC-2869610082-estatua-figura-gato-adorno-interior-color-blanco-_JM</t>
  </si>
  <si>
    <t>MLC2928522652</t>
  </si>
  <si>
    <t>Set Jarra Y 6 Vasos Conjunto Jarra 2 Litros 6 Vasos Vidrio Color Transparente</t>
  </si>
  <si>
    <t>https://articulo.mercadolibre.cl/MLC-2928522652-set-jarra-y-6-vasos-conjunto-jarra-2-litros-6-vasos-vidrio-color-transparente-_JM</t>
  </si>
  <si>
    <t>MLC1686875221</t>
  </si>
  <si>
    <t>Barras De Proteina Twenty's Sabor Avellana Hazelnut Praline Pack 4 Barritas 60g C/u Yourgoal Nutrition Suplemento Con Proteina</t>
  </si>
  <si>
    <t>https://articulo.mercadolibre.cl/MLC-1686875221-barras-de-proteina-twentys-sabor-avellana-hazelnut-praline-pack-4-barritas-60g-cu-yourgoal-nutrition-suplemento-con-proteina-_JM</t>
  </si>
  <si>
    <t>MLC1686913869</t>
  </si>
  <si>
    <t>Box 4 Barras Twentys Chocolate Fudge - Your Goal Chocolate Fudge</t>
  </si>
  <si>
    <t>https://articulo.mercadolibre.cl/MLC-1686913869-box-4-barras-twentys-chocolate-fudge-your-goal-chocolate-fudge-_JM</t>
  </si>
  <si>
    <t>MLC1726540139</t>
  </si>
  <si>
    <t>https://articulo.mercadolibre.cl/MLC-1726540139-goldenmilk-matcha-240-gr-leche-dorada-alma-foods-_JM</t>
  </si>
  <si>
    <t>MLC3110787142</t>
  </si>
  <si>
    <t>https://articulo.mercadolibre.cl/MLC-3110787142-espejo-para-maquillaje-espejo-doble-de-mesa-con-aumento-36cm-rosado-_JM</t>
  </si>
  <si>
    <t>MLC2869377854</t>
  </si>
  <si>
    <t>Estatua Figura Religiosa Angel Virgen Maria Familia Sagrada Color Roble</t>
  </si>
  <si>
    <t>https://articulo.mercadolibre.cl/MLC-2869377854-estatua-figura-religiosa-angel-virgen-maria-familia-sagrada-color-roble-_JM</t>
  </si>
  <si>
    <t>Stock Declarado</t>
  </si>
  <si>
    <t>STOCK NO DECLARADO</t>
  </si>
  <si>
    <t>STRIVE</t>
  </si>
  <si>
    <t>SOMOS LOKAL</t>
  </si>
  <si>
    <t>ZEO SPORT</t>
  </si>
  <si>
    <t>ACTIVOS</t>
  </si>
  <si>
    <t>VALORIZACION</t>
  </si>
  <si>
    <t>CASH ON HAND</t>
  </si>
  <si>
    <t>CASH ON HAND (P)</t>
  </si>
  <si>
    <t>PASIVOS</t>
  </si>
  <si>
    <t>INFORMALES</t>
  </si>
  <si>
    <t>FORMALES</t>
  </si>
  <si>
    <t>NETO</t>
  </si>
  <si>
    <t>MENSUALIZADO</t>
  </si>
  <si>
    <t>M</t>
  </si>
  <si>
    <t>A</t>
  </si>
  <si>
    <t>Mayo</t>
  </si>
  <si>
    <t>Junio</t>
  </si>
  <si>
    <t>Julio</t>
  </si>
  <si>
    <t>Ag</t>
  </si>
  <si>
    <t>Sep</t>
  </si>
  <si>
    <t>Oct</t>
  </si>
  <si>
    <t>Nov</t>
  </si>
  <si>
    <t>Interes</t>
  </si>
  <si>
    <t>Sueldo</t>
  </si>
  <si>
    <t>Muli</t>
  </si>
  <si>
    <t>insumos</t>
  </si>
  <si>
    <t>Chapa</t>
  </si>
  <si>
    <t>Lavadora</t>
  </si>
  <si>
    <t>Perruchas</t>
  </si>
  <si>
    <t>PPM</t>
  </si>
  <si>
    <t>Neto</t>
  </si>
  <si>
    <t>Casa Curauma</t>
  </si>
  <si>
    <t>Casa stgo</t>
  </si>
  <si>
    <t>Número de publicación</t>
  </si>
  <si>
    <t>Título</t>
  </si>
  <si>
    <t>Precio</t>
  </si>
  <si>
    <t>Comision %</t>
  </si>
  <si>
    <t>Comision $</t>
  </si>
  <si>
    <t>Envio</t>
  </si>
  <si>
    <t>Ingreso</t>
  </si>
  <si>
    <t>Utilidad</t>
  </si>
  <si>
    <t>Rentabilidad</t>
  </si>
  <si>
    <t>un x Caja Maestra</t>
  </si>
  <si>
    <t>ALMA</t>
  </si>
  <si>
    <t>$ 28,990</t>
  </si>
  <si>
    <t>$ 2,899</t>
  </si>
  <si>
    <t>$ 3,100</t>
  </si>
  <si>
    <t>$ 22,991</t>
  </si>
  <si>
    <t>$ 10,014</t>
  </si>
  <si>
    <t>77.17%</t>
  </si>
  <si>
    <t>MLC2912910014</t>
  </si>
  <si>
    <t>$ 19,738</t>
  </si>
  <si>
    <t>$ 2,961</t>
  </si>
  <si>
    <t>$ -</t>
  </si>
  <si>
    <t>$ 16,777</t>
  </si>
  <si>
    <t>$ 3,800</t>
  </si>
  <si>
    <t>29.28%</t>
  </si>
  <si>
    <t>$ (12,977)</t>
  </si>
  <si>
    <t>-100.00%</t>
  </si>
  <si>
    <t>BLENDS N TEA</t>
  </si>
  <si>
    <t>$ 11,990</t>
  </si>
  <si>
    <t>$ 2,199</t>
  </si>
  <si>
    <t>$ 9,791</t>
  </si>
  <si>
    <t>$ 1,758</t>
  </si>
  <si>
    <t>21.88%</t>
  </si>
  <si>
    <t>$ 1,799</t>
  </si>
  <si>
    <t>$ 10,192</t>
  </si>
  <si>
    <t>$ 2,159</t>
  </si>
  <si>
    <t>26.87%</t>
  </si>
  <si>
    <t>gdm200</t>
  </si>
  <si>
    <t>Golden Milk 200 gr Blends N Tea</t>
  </si>
  <si>
    <t>$ 19,980</t>
  </si>
  <si>
    <t>$ 2,997</t>
  </si>
  <si>
    <t>$ 16,983</t>
  </si>
  <si>
    <t>$ 4,929</t>
  </si>
  <si>
    <t>40.90%</t>
  </si>
  <si>
    <t>$ (10,043)</t>
  </si>
  <si>
    <t>$ (8,033)</t>
  </si>
  <si>
    <t>$ (6,024)</t>
  </si>
  <si>
    <t>$ (10,042)</t>
  </si>
  <si>
    <t>$ (6,694)</t>
  </si>
  <si>
    <t>$ (5,354)</t>
  </si>
  <si>
    <t>$ (6,693)</t>
  </si>
  <si>
    <t>$ (8,704)</t>
  </si>
  <si>
    <t>$ (10,714)</t>
  </si>
  <si>
    <t>$ (4,683)</t>
  </si>
  <si>
    <t>$ (6,944)</t>
  </si>
  <si>
    <t>CASO Y CIA</t>
  </si>
  <si>
    <t>MLC1608022999</t>
  </si>
  <si>
    <t>PACK 4 710768</t>
  </si>
  <si>
    <t>Pack 4 Superbot Serie 3 - Superzings Figuras Coleccionables</t>
  </si>
  <si>
    <t>$ 13,721</t>
  </si>
  <si>
    <t>$ 2,195</t>
  </si>
  <si>
    <t>$ 11,526</t>
  </si>
  <si>
    <t>$ 4,585</t>
  </si>
  <si>
    <t>66.05%</t>
  </si>
  <si>
    <t>$ 24,240</t>
  </si>
  <si>
    <t>$ 3,878</t>
  </si>
  <si>
    <t>$ 17,262</t>
  </si>
  <si>
    <t>$ 2,762</t>
  </si>
  <si>
    <t>19.05%</t>
  </si>
  <si>
    <t>MLC2902258430</t>
  </si>
  <si>
    <t>Superzings Serie 3 Pack (comic + Superbot + 2 Fig + Slider)</t>
  </si>
  <si>
    <t>$ 7,990</t>
  </si>
  <si>
    <t>$ 1,278</t>
  </si>
  <si>
    <t>$ 6,712</t>
  </si>
  <si>
    <t>$ 2,047</t>
  </si>
  <si>
    <t>43.87%</t>
  </si>
  <si>
    <t>$ 3,197</t>
  </si>
  <si>
    <t>$ 16,783</t>
  </si>
  <si>
    <t>$ 5,241</t>
  </si>
  <si>
    <t>45.41%</t>
  </si>
  <si>
    <t>Super Zings Serie 3 Pack 10 Sobres</t>
  </si>
  <si>
    <t>$ 10,838</t>
  </si>
  <si>
    <t>$ 2,758</t>
  </si>
  <si>
    <t>$ 8,080</t>
  </si>
  <si>
    <t>$ 2,280</t>
  </si>
  <si>
    <t>39.31%</t>
  </si>
  <si>
    <t>MLC1607984995</t>
  </si>
  <si>
    <t>9+1 Superzings Dorado Coleccionables Superzings Serie 3</t>
  </si>
  <si>
    <t>$ 15,980</t>
  </si>
  <si>
    <t>$ 2,557</t>
  </si>
  <si>
    <t>$ 13,423</t>
  </si>
  <si>
    <t>$ 1,329</t>
  </si>
  <si>
    <t>10.99%</t>
  </si>
  <si>
    <t>MLC1607889075</t>
  </si>
  <si>
    <t>Super Zings Superslider Blister 5 Figuras Serie 3</t>
  </si>
  <si>
    <t>$ 11,989</t>
  </si>
  <si>
    <t>$ 1,918</t>
  </si>
  <si>
    <t>$ 10,071</t>
  </si>
  <si>
    <t>14.53%</t>
  </si>
  <si>
    <t>MLC1607933771</t>
  </si>
  <si>
    <t>Pack 10 Sobres Superzings Figuras Coleccionables Serie 3</t>
  </si>
  <si>
    <t>$ 10,525</t>
  </si>
  <si>
    <t>$ 2,684</t>
  </si>
  <si>
    <t>$ 7,841</t>
  </si>
  <si>
    <t>$ 2,041</t>
  </si>
  <si>
    <t>35.19%</t>
  </si>
  <si>
    <t>MLC2887003786</t>
  </si>
  <si>
    <t>5 Figuras + Nave + Rampla Superzings Serie 3 Coleccionables</t>
  </si>
  <si>
    <t>MLC1609718647</t>
  </si>
  <si>
    <t>SOBRES 5 710763</t>
  </si>
  <si>
    <t>Pack 5 Sobres Superzings Figuras Coleccionables Serie 3</t>
  </si>
  <si>
    <t>$ 9,320</t>
  </si>
  <si>
    <t>$ 1,491</t>
  </si>
  <si>
    <t>$ 7,829</t>
  </si>
  <si>
    <t>$ 4,307</t>
  </si>
  <si>
    <t>122.31%</t>
  </si>
  <si>
    <t>MLC2889808586</t>
  </si>
  <si>
    <t>Superzings Caja 8 Superbots Figuras Coleccionables Serie 3</t>
  </si>
  <si>
    <t>$ 33,311</t>
  </si>
  <si>
    <t>$ 5,330</t>
  </si>
  <si>
    <t>$ 3,150</t>
  </si>
  <si>
    <t>$ 24,831</t>
  </si>
  <si>
    <t>$ 5,553</t>
  </si>
  <si>
    <t>28.81%</t>
  </si>
  <si>
    <t>MLC1646935669</t>
  </si>
  <si>
    <t>$ 4,197</t>
  </si>
  <si>
    <t>$ 15,783</t>
  </si>
  <si>
    <t>$ 4,241</t>
  </si>
  <si>
    <t>36.75%</t>
  </si>
  <si>
    <t>MLC2978633074</t>
  </si>
  <si>
    <t>Super Zings Caja 25 Figuras Coleccionables Serie 3</t>
  </si>
  <si>
    <t>$ (14,500)</t>
  </si>
  <si>
    <t>MLC1703735977</t>
  </si>
  <si>
    <t>Superzings Series 4 Display 8 Megajet + Figura</t>
  </si>
  <si>
    <t>MLC3173918828</t>
  </si>
  <si>
    <t>Super Zings Serie 4 Pack Inicial ( Comic + Pack Zings)</t>
  </si>
  <si>
    <t>MLC3173906610</t>
  </si>
  <si>
    <t>Caja Sellada 25 Sobres (1 Fig Por Sobre) Superzing Serie 4</t>
  </si>
  <si>
    <t>MLC1710517921</t>
  </si>
  <si>
    <t>CEMAX</t>
  </si>
  <si>
    <t>MLC1669277943</t>
  </si>
  <si>
    <t>$ (11,893)</t>
  </si>
  <si>
    <t>MLC1668998351</t>
  </si>
  <si>
    <r>
      <rPr>
        <rFont val="Arial, sans-serif"/>
        <color rgb="FF1155CC"/>
        <u/>
      </rPr>
      <t>Hervidor Thomas Th-4340 1,7 Litros Color Blanco</t>
    </r>
  </si>
  <si>
    <r>
      <rPr>
        <rFont val="Arial, sans-serif"/>
        <color rgb="FF1155CC"/>
        <u/>
      </rPr>
      <t>Hervidor Thomas Th-4340 1,7 Litros Color Blanco</t>
    </r>
  </si>
  <si>
    <t>MLC1669115003</t>
  </si>
  <si>
    <t>$ (10,494)</t>
  </si>
  <si>
    <t>MLC1669104065</t>
  </si>
  <si>
    <t>Ondulador Siegen Sg-2411 Cilindro 25mm Color Negro</t>
  </si>
  <si>
    <t>$ (11,194)</t>
  </si>
  <si>
    <t>MLC1668961729</t>
  </si>
  <si>
    <t>MLC1668974445</t>
  </si>
  <si>
    <t>$ (48,994)</t>
  </si>
  <si>
    <t>MLC1669267867</t>
  </si>
  <si>
    <t>$ (15,393)</t>
  </si>
  <si>
    <t>$ (6,293)</t>
  </si>
  <si>
    <t>MLC1671204425</t>
  </si>
  <si>
    <t>$ (6,992)</t>
  </si>
  <si>
    <t>MLC1678022001</t>
  </si>
  <si>
    <t>MLC1678099155</t>
  </si>
  <si>
    <t>Alisador Siegen Sg-b4758 Vapor Ultrasónico + Luz Infrarroja Color Blanco</t>
  </si>
  <si>
    <t>$ (62,993)</t>
  </si>
  <si>
    <t>MLC1678124499</t>
  </si>
  <si>
    <t>Batidora Eléctrica Thomas Th-910pr Color Rojo</t>
  </si>
  <si>
    <t>$ (69,993)</t>
  </si>
  <si>
    <t>MLC1678060473</t>
  </si>
  <si>
    <t>Batidora Pedestal Planetaria Th-911b Color Blanco</t>
  </si>
  <si>
    <t>$ (55,993)</t>
  </si>
  <si>
    <t>MLC1678021959</t>
  </si>
  <si>
    <t>Ondulador Siegen Sg-2420 Cilindro 33mm Color Negro</t>
  </si>
  <si>
    <t>$ (9,793)</t>
  </si>
  <si>
    <t>MLC1678034873</t>
  </si>
  <si>
    <t>Hervidor Thomas Th-6070vi 1,8 Litros Color Negro</t>
  </si>
  <si>
    <t>MLC1710684845</t>
  </si>
  <si>
    <t>Alisador Siegen Sg-4653 Placas Con Titanio</t>
  </si>
  <si>
    <t>MLC1710658915</t>
  </si>
  <si>
    <t>MLC1710620417</t>
  </si>
  <si>
    <t>MLC1710646589</t>
  </si>
  <si>
    <t>Calienta Cama Siegen Sg-5121d5 2 Plazas (150 X 140 Cms) Colo</t>
  </si>
  <si>
    <t>Multimixer Thomas Th-8706</t>
  </si>
  <si>
    <t>MLC1710685563</t>
  </si>
  <si>
    <t>Aspiradora Thomas Th-1220af Aquafilter</t>
  </si>
  <si>
    <t>MLC1710660395</t>
  </si>
  <si>
    <t>Alisador Siegen Sg-3540 Cerámica + Tourmalina</t>
  </si>
  <si>
    <t>MLC3195894462</t>
  </si>
  <si>
    <t>MLC3195907584</t>
  </si>
  <si>
    <t>Horno Electrico Thomas Th-25n01 25 Litros</t>
  </si>
  <si>
    <t>MLC3195868516</t>
  </si>
  <si>
    <t>MLC3195998252</t>
  </si>
  <si>
    <t>MLC3195881576</t>
  </si>
  <si>
    <t>MLC3195881592</t>
  </si>
  <si>
    <t>MLC3195933556</t>
  </si>
  <si>
    <t>Batidora Eléctrica Thomas Th-910pn Pedestal Negra</t>
  </si>
  <si>
    <t>MLC3195946606</t>
  </si>
  <si>
    <t>Hervidor Thomas Th-4515n 2 Litros</t>
  </si>
  <si>
    <t>MLC1711881829</t>
  </si>
  <si>
    <t>MLC3195868696</t>
  </si>
  <si>
    <t>MLC3195933744</t>
  </si>
  <si>
    <t>Aspiradora Trineo Thomas Th-1415 3l Blanca 50hz/60hz</t>
  </si>
  <si>
    <t>MLC3195972578</t>
  </si>
  <si>
    <t>Aspiradora Thomas Th-1407 1400w Color Gris</t>
  </si>
  <si>
    <t>MLC3195894800</t>
  </si>
  <si>
    <t>MLC3195868836</t>
  </si>
  <si>
    <t>Aspiradora Thomas Th-2206bl Ciclónica</t>
  </si>
  <si>
    <t>MLC3195868856</t>
  </si>
  <si>
    <t>Freidora De Aire Th-af60mi Color Plateado</t>
  </si>
  <si>
    <t>MLC1711882097</t>
  </si>
  <si>
    <t>MLC3195933914</t>
  </si>
  <si>
    <t>Alisador Siegen Sg-4751 Placas Con Titanio</t>
  </si>
  <si>
    <t>MLC3195908052</t>
  </si>
  <si>
    <t>MLC3195972852</t>
  </si>
  <si>
    <t>MLC1715889737</t>
  </si>
  <si>
    <t>ESPACIO B</t>
  </si>
  <si>
    <t>MLC1611486875</t>
  </si>
  <si>
    <t>Shampoo Controlgx Control Gx Just For Men Tinte Shampoo Y Shampoo Matizador De Coco En Tubo Depresible De 118ml Por 1 Unidad</t>
  </si>
  <si>
    <t>$ 14,044</t>
  </si>
  <si>
    <t>$ 2,545</t>
  </si>
  <si>
    <t>$ 11,499</t>
  </si>
  <si>
    <t>$ 884</t>
  </si>
  <si>
    <t>8.33%</t>
  </si>
  <si>
    <t>MLC1611370149</t>
  </si>
  <si>
    <t>$ 5,070</t>
  </si>
  <si>
    <t>$ 862</t>
  </si>
  <si>
    <t>$ 4,208</t>
  </si>
  <si>
    <t>$ 1,094</t>
  </si>
  <si>
    <t>35.12%</t>
  </si>
  <si>
    <t>$ 11,025</t>
  </si>
  <si>
    <t>$ 1,764</t>
  </si>
  <si>
    <t>$ 9,261</t>
  </si>
  <si>
    <t>$ 687</t>
  </si>
  <si>
    <t>8.01%</t>
  </si>
  <si>
    <t>MLC1611318043</t>
  </si>
  <si>
    <t>$ 8,772</t>
  </si>
  <si>
    <t>$ 1,579</t>
  </si>
  <si>
    <t>$ 7,193</t>
  </si>
  <si>
    <t>$ 1,199</t>
  </si>
  <si>
    <t>20.00%</t>
  </si>
  <si>
    <t>$ 9,298</t>
  </si>
  <si>
    <t>$ 1,674</t>
  </si>
  <si>
    <t>$ 7,624</t>
  </si>
  <si>
    <t>$ 1,270</t>
  </si>
  <si>
    <t>19.98%</t>
  </si>
  <si>
    <t>$ 4,503</t>
  </si>
  <si>
    <t>$ 766</t>
  </si>
  <si>
    <t>$ 3,737</t>
  </si>
  <si>
    <t>$ 623</t>
  </si>
  <si>
    <t>20.01%</t>
  </si>
  <si>
    <t>MLC1616986129</t>
  </si>
  <si>
    <t>MLC1611344217</t>
  </si>
  <si>
    <t>$ 15,436</t>
  </si>
  <si>
    <t>$ 2,698</t>
  </si>
  <si>
    <t>$ 12,738</t>
  </si>
  <si>
    <t>$ 2,123</t>
  </si>
  <si>
    <t>MLC1617062667</t>
  </si>
  <si>
    <t>$ 5,981</t>
  </si>
  <si>
    <t>$ 1,196</t>
  </si>
  <si>
    <t>$ 4,785</t>
  </si>
  <si>
    <t>$ 834</t>
  </si>
  <si>
    <t>21.11%</t>
  </si>
  <si>
    <t>$ 10,990</t>
  </si>
  <si>
    <t>$ 8,232</t>
  </si>
  <si>
    <t>$ 1,218</t>
  </si>
  <si>
    <t>17.36%</t>
  </si>
  <si>
    <t>Crema Bálsamo Para Rozaduras De Pañal 100 Ml Mustela</t>
  </si>
  <si>
    <t>$ 7,653</t>
  </si>
  <si>
    <t>$ 1,301</t>
  </si>
  <si>
    <t>$ 6,352</t>
  </si>
  <si>
    <t>$ 1,522</t>
  </si>
  <si>
    <t>31.51%</t>
  </si>
  <si>
    <t>MLC1611330597</t>
  </si>
  <si>
    <t>$ 10,255</t>
  </si>
  <si>
    <t>$ 1,641</t>
  </si>
  <si>
    <t>$ 8,614</t>
  </si>
  <si>
    <t>$ 1,900</t>
  </si>
  <si>
    <t>28.30%</t>
  </si>
  <si>
    <t>MLC1611409059</t>
  </si>
  <si>
    <t>Just For Men Control Gradual Negro</t>
  </si>
  <si>
    <t>$ 9,980</t>
  </si>
  <si>
    <t>$ 1,898</t>
  </si>
  <si>
    <t>$ 8,082</t>
  </si>
  <si>
    <t>$ 288</t>
  </si>
  <si>
    <t>3.69%</t>
  </si>
  <si>
    <t>MLC1622981513</t>
  </si>
  <si>
    <t>MLC1623083335</t>
  </si>
  <si>
    <t>Organyc Protector Diario Envoltorio 24 Unidades</t>
  </si>
  <si>
    <t>$ 4,500</t>
  </si>
  <si>
    <t>$ 720</t>
  </si>
  <si>
    <t>$ 3,780</t>
  </si>
  <si>
    <t>$ 487</t>
  </si>
  <si>
    <t>14.80%</t>
  </si>
  <si>
    <t>$ 4,617</t>
  </si>
  <si>
    <t>$ 739</t>
  </si>
  <si>
    <t>$ 586</t>
  </si>
  <si>
    <t>17.78%</t>
  </si>
  <si>
    <t>$ 4,790</t>
  </si>
  <si>
    <t>$ 4,024</t>
  </si>
  <si>
    <t>$ 189</t>
  </si>
  <si>
    <t>4.94%</t>
  </si>
  <si>
    <t>MLC1623083375</t>
  </si>
  <si>
    <t>MLC1622916875</t>
  </si>
  <si>
    <t>$ 5,513</t>
  </si>
  <si>
    <t>$ 882</t>
  </si>
  <si>
    <t>$ 4,631</t>
  </si>
  <si>
    <t>$ 881</t>
  </si>
  <si>
    <t>23.50%</t>
  </si>
  <si>
    <t>$ 5,356</t>
  </si>
  <si>
    <t>$ 857</t>
  </si>
  <si>
    <t>$ 4,499</t>
  </si>
  <si>
    <t>$ 749</t>
  </si>
  <si>
    <t>$ 6,876</t>
  </si>
  <si>
    <t>$ 1,100</t>
  </si>
  <si>
    <t>$ 5,776</t>
  </si>
  <si>
    <t>$ 1,282</t>
  </si>
  <si>
    <t>28.54%</t>
  </si>
  <si>
    <t>MLC1623095205</t>
  </si>
  <si>
    <t>MLC1623107989</t>
  </si>
  <si>
    <t>$ 11,826</t>
  </si>
  <si>
    <t>$ 1,892</t>
  </si>
  <si>
    <t>$ 9,934</t>
  </si>
  <si>
    <t>$ 2,211</t>
  </si>
  <si>
    <t>28.63%</t>
  </si>
  <si>
    <t>$ 12,618</t>
  </si>
  <si>
    <t>$ 2,019</t>
  </si>
  <si>
    <t>$ 10,599</t>
  </si>
  <si>
    <t>$ 2,325</t>
  </si>
  <si>
    <t>28.10%</t>
  </si>
  <si>
    <t>MLC1623120933</t>
  </si>
  <si>
    <t>MLC1623083477</t>
  </si>
  <si>
    <t>$ 8,490</t>
  </si>
  <si>
    <t>$ 1,358</t>
  </si>
  <si>
    <t>$ 7,132</t>
  </si>
  <si>
    <t>$ 2,332</t>
  </si>
  <si>
    <t>48.60%</t>
  </si>
  <si>
    <t>MLC1623058243</t>
  </si>
  <si>
    <t>Cepillo Para Cabello Wetbrush Shine Enhacer Desenredante Col</t>
  </si>
  <si>
    <t>$ 2,559</t>
  </si>
  <si>
    <t>$ 9,431</t>
  </si>
  <si>
    <t>$ 988</t>
  </si>
  <si>
    <t>11.70%</t>
  </si>
  <si>
    <t>$ 6,490</t>
  </si>
  <si>
    <t>$ 1,038</t>
  </si>
  <si>
    <t>$ 5,452</t>
  </si>
  <si>
    <t>$ 443</t>
  </si>
  <si>
    <t>8.84%</t>
  </si>
  <si>
    <t>MLC1623095351</t>
  </si>
  <si>
    <t>$ 1,103</t>
  </si>
  <si>
    <t>$ 5,387</t>
  </si>
  <si>
    <t>$ 1,493</t>
  </si>
  <si>
    <t>38.34%</t>
  </si>
  <si>
    <t>$ 6,990</t>
  </si>
  <si>
    <t>$ 1,118</t>
  </si>
  <si>
    <t>$ 5,872</t>
  </si>
  <si>
    <t>$ 2,037</t>
  </si>
  <si>
    <t>53.14%</t>
  </si>
  <si>
    <t>MLC1632188237</t>
  </si>
  <si>
    <t>MLC1632123637</t>
  </si>
  <si>
    <t>$ 6,290</t>
  </si>
  <si>
    <t>$ 1,006</t>
  </si>
  <si>
    <t>$ 5,284</t>
  </si>
  <si>
    <t>$ 1,409</t>
  </si>
  <si>
    <t>36.36%</t>
  </si>
  <si>
    <t>$ 6,231</t>
  </si>
  <si>
    <t>$ 997</t>
  </si>
  <si>
    <t>$ 5,234</t>
  </si>
  <si>
    <t>$ 1,400</t>
  </si>
  <si>
    <t>36.51%</t>
  </si>
  <si>
    <t>MLC1632042297</t>
  </si>
  <si>
    <t>MUSCR525786</t>
  </si>
  <si>
    <t>Crema Antirozaduras 50 ml</t>
  </si>
  <si>
    <t>$ 5,243</t>
  </si>
  <si>
    <t>$ 891</t>
  </si>
  <si>
    <t>$ 4,352</t>
  </si>
  <si>
    <t>$ 1,178</t>
  </si>
  <si>
    <t>37.12%</t>
  </si>
  <si>
    <t>MLC2937023856</t>
  </si>
  <si>
    <t>MLC2942174758</t>
  </si>
  <si>
    <t>Organyc Toallitas Compactads De Algodon Baby 60 Un</t>
  </si>
  <si>
    <t>$ 1,791</t>
  </si>
  <si>
    <t>49.79%</t>
  </si>
  <si>
    <t>MLC2942213684</t>
  </si>
  <si>
    <t>$ 2,990</t>
  </si>
  <si>
    <t>$ 538</t>
  </si>
  <si>
    <t>$ 2,452</t>
  </si>
  <si>
    <t>$ 700</t>
  </si>
  <si>
    <t>39.97%</t>
  </si>
  <si>
    <t>$ 1,703</t>
  </si>
  <si>
    <t>34.00%</t>
  </si>
  <si>
    <t>MLC2942239634</t>
  </si>
  <si>
    <t>$ 8,290</t>
  </si>
  <si>
    <t>$ 1,326</t>
  </si>
  <si>
    <t>$ 6,964</t>
  </si>
  <si>
    <t>$ 1,989</t>
  </si>
  <si>
    <t>39.99%</t>
  </si>
  <si>
    <t>MLC2942213692</t>
  </si>
  <si>
    <t>$ 6,331</t>
  </si>
  <si>
    <t>$ 1,013</t>
  </si>
  <si>
    <t>$ 5,318</t>
  </si>
  <si>
    <t>$ 309</t>
  </si>
  <si>
    <t>6.18%</t>
  </si>
  <si>
    <t>MLC2942369716</t>
  </si>
  <si>
    <t>MLC2942213822</t>
  </si>
  <si>
    <t>MLC2950176156</t>
  </si>
  <si>
    <t>Aceite Mustela De Masaje 100 Ml</t>
  </si>
  <si>
    <t>$ (5,994)</t>
  </si>
  <si>
    <t>$ (4,799)</t>
  </si>
  <si>
    <t>MLC2976017074</t>
  </si>
  <si>
    <t>MLC2986750152</t>
  </si>
  <si>
    <t>Frosch Antigrasa Gatillo Pomelo 500 Cc</t>
  </si>
  <si>
    <t>$ (2,843)</t>
  </si>
  <si>
    <t>$ (5,844)</t>
  </si>
  <si>
    <t>MLC1675875181</t>
  </si>
  <si>
    <t>$ (6,498)</t>
  </si>
  <si>
    <t>MLC3067320460</t>
  </si>
  <si>
    <t>$ (5,460)</t>
  </si>
  <si>
    <t>MLC3067397828</t>
  </si>
  <si>
    <t>MLC3067333198</t>
  </si>
  <si>
    <t>$ (4,209)</t>
  </si>
  <si>
    <t>MLC3067320724</t>
  </si>
  <si>
    <t>$ (4,180)</t>
  </si>
  <si>
    <t>MLC1675888299</t>
  </si>
  <si>
    <t>EXTREMO SUR</t>
  </si>
  <si>
    <t>$ 8,455</t>
  </si>
  <si>
    <t>$ 6,933</t>
  </si>
  <si>
    <t>$ 3,542</t>
  </si>
  <si>
    <t>104.43%</t>
  </si>
  <si>
    <t>$ 23,680</t>
  </si>
  <si>
    <t>$ 3,078</t>
  </si>
  <si>
    <t>$ 3,000</t>
  </si>
  <si>
    <t>$ 17,602</t>
  </si>
  <si>
    <t>$ 5,166</t>
  </si>
  <si>
    <t>41.54%</t>
  </si>
  <si>
    <t>$ 19,040</t>
  </si>
  <si>
    <t>$ 3,427</t>
  </si>
  <si>
    <t>$ 15,613</t>
  </si>
  <si>
    <t>$ 6,569</t>
  </si>
  <si>
    <t>72.63%</t>
  </si>
  <si>
    <t>Suplemento En Cápsula Extremo Sur Citrato De Magnesio X 45g</t>
  </si>
  <si>
    <t>$ 18,960</t>
  </si>
  <si>
    <t>$ 3,413</t>
  </si>
  <si>
    <t>$ 15,547</t>
  </si>
  <si>
    <t>$ 5,373</t>
  </si>
  <si>
    <t>52.81%</t>
  </si>
  <si>
    <t>$ 3,783</t>
  </si>
  <si>
    <t>$ 681</t>
  </si>
  <si>
    <t>$ 3,102</t>
  </si>
  <si>
    <t>$ 163</t>
  </si>
  <si>
    <t>5.55%</t>
  </si>
  <si>
    <t>Pack 2 Magnesio Citrato 180 Cap Y 2 Potasio Citrato 180 Cap</t>
  </si>
  <si>
    <t>2 Bisglicinato De Magnesio 500mg X 60 Caps Vegetal Sabor Neu</t>
  </si>
  <si>
    <t>Zma Zinc + Magnesio + Vit B6 90 Capsulas 500mg Sabor Sin Sab</t>
  </si>
  <si>
    <t>Biotina + Colágeno Hidrolizado Con Vitamina C Extremo Sur</t>
  </si>
  <si>
    <t>$ 5,626</t>
  </si>
  <si>
    <t>$ 4,613</t>
  </si>
  <si>
    <t>$ 317</t>
  </si>
  <si>
    <t>7.39%</t>
  </si>
  <si>
    <t>$ 11,305</t>
  </si>
  <si>
    <t>$ 2,035</t>
  </si>
  <si>
    <t>$ 9,270</t>
  </si>
  <si>
    <t>$ 3,052</t>
  </si>
  <si>
    <t>49.09%</t>
  </si>
  <si>
    <t>$ 26,250</t>
  </si>
  <si>
    <t>$ 19,838</t>
  </si>
  <si>
    <t>$ 6,272</t>
  </si>
  <si>
    <t>46.23%</t>
  </si>
  <si>
    <t>7804651160358-1</t>
  </si>
  <si>
    <t>L-treonato De Magnesio 500mg 90 Cápsulas 100% Natural Extrem</t>
  </si>
  <si>
    <t>$ 10,000</t>
  </si>
  <si>
    <t>$ 2,300</t>
  </si>
  <si>
    <t>$ 7,700</t>
  </si>
  <si>
    <t>$ 4,309</t>
  </si>
  <si>
    <t>127.04%</t>
  </si>
  <si>
    <t>Pack De 3 Magnesio Malato 500mg 180 Cápsulas Vegetales Sabor</t>
  </si>
  <si>
    <t>$ (2,475)</t>
  </si>
  <si>
    <t>-24.32%</t>
  </si>
  <si>
    <t>MLC2905507358</t>
  </si>
  <si>
    <t>B Complex B1 B2 B3 B5 B6 B9 B12 Biotina 60 Capsulas Sabor Neutro</t>
  </si>
  <si>
    <t>$ 6,000</t>
  </si>
  <si>
    <t>$ 1,480</t>
  </si>
  <si>
    <t>$ 4,520</t>
  </si>
  <si>
    <t>$ 1,241</t>
  </si>
  <si>
    <t>37.85%</t>
  </si>
  <si>
    <t>B Complex B1 B2 B3 B5 B6 B9 B12 Biotina 60 Capsulas Sabor Ne</t>
  </si>
  <si>
    <t>FUNGI PHARMA</t>
  </si>
  <si>
    <t>$ 2,158</t>
  </si>
  <si>
    <t>$ 9,832</t>
  </si>
  <si>
    <t>$ 883</t>
  </si>
  <si>
    <t>9.87%</t>
  </si>
  <si>
    <t>$ 12,164</t>
  </si>
  <si>
    <t>$ 2,190</t>
  </si>
  <si>
    <t>$ 9,974</t>
  </si>
  <si>
    <t>$ 1,026</t>
  </si>
  <si>
    <t>11.46%</t>
  </si>
  <si>
    <t>MLC1616988691</t>
  </si>
  <si>
    <t>Fungi Pharma - Extracto De Hongo Melena De León 30ml</t>
  </si>
  <si>
    <t>$ 12,625</t>
  </si>
  <si>
    <t>$ 2,273</t>
  </si>
  <si>
    <t>$ 10,353</t>
  </si>
  <si>
    <t>$ 1,404</t>
  </si>
  <si>
    <t>15.69%</t>
  </si>
  <si>
    <t>MLC1617064631</t>
  </si>
  <si>
    <t>Fungi Pharma - Extracto De Hongo Reishi 30ml Sublingual</t>
  </si>
  <si>
    <t>Fungi Pharma Extracto De Hongo Chaga Inmunomodulador 30ml</t>
  </si>
  <si>
    <t>$ (8,876)</t>
  </si>
  <si>
    <t>MLC3005503866</t>
  </si>
  <si>
    <t>Fungi Pharma Extracto De Hongo Cordyceps Adaptogeno 30ml</t>
  </si>
  <si>
    <t>Suplemento Fungi Pharma Suplementos Alimenticios Cordyceps - False</t>
  </si>
  <si>
    <t>Fungi Pharma - Extracto De Hongo Shiitake 30 Ml</t>
  </si>
  <si>
    <t>MLC3005569042</t>
  </si>
  <si>
    <t>Fungi Pharma Extracto De Hongo Cola De Pavo Adaptogeno 30ml</t>
  </si>
  <si>
    <t>Fungi Pharma - Extracto De Hongo Maitake 30ml</t>
  </si>
  <si>
    <t>MLC3008124202</t>
  </si>
  <si>
    <t>Fungi Pharma Extracto De Hongo Maitake Adaptogeno Tonifica Sabor Sin Sabor</t>
  </si>
  <si>
    <t>MLC3108989094</t>
  </si>
  <si>
    <t>$ (8,949)</t>
  </si>
  <si>
    <t>GERMAN-ENERGY</t>
  </si>
  <si>
    <t>Vitamina C 1000 Mg Efervescente 20 Tabletas German Energy Sabor</t>
  </si>
  <si>
    <t>$ 3,500</t>
  </si>
  <si>
    <t>$ 630</t>
  </si>
  <si>
    <t>$ 2,870</t>
  </si>
  <si>
    <t>$ 1,210</t>
  </si>
  <si>
    <t>72.89%</t>
  </si>
  <si>
    <t>MLC1632040755</t>
  </si>
  <si>
    <t>Vitamina C + Zinc Efervescente X 20 German Energy Sabor Naranja</t>
  </si>
  <si>
    <t>$ 3,738</t>
  </si>
  <si>
    <t>$ 673</t>
  </si>
  <si>
    <t>$ 3,065</t>
  </si>
  <si>
    <t>25.89%</t>
  </si>
  <si>
    <t>MLC2934852156</t>
  </si>
  <si>
    <t>MLC2934826290</t>
  </si>
  <si>
    <t>$ 7,300</t>
  </si>
  <si>
    <t>$ 1,314</t>
  </si>
  <si>
    <t>$ 5,986</t>
  </si>
  <si>
    <t>$ (119)</t>
  </si>
  <si>
    <t>-1.94%</t>
  </si>
  <si>
    <t>MLC2934852242</t>
  </si>
  <si>
    <t>$ 5,990</t>
  </si>
  <si>
    <t>$ 1,078</t>
  </si>
  <si>
    <t>$ 4,912</t>
  </si>
  <si>
    <t>$ 164</t>
  </si>
  <si>
    <t>3.46%</t>
  </si>
  <si>
    <t>MLC1632040881</t>
  </si>
  <si>
    <t>$ 5,199</t>
  </si>
  <si>
    <t>$ 936</t>
  </si>
  <si>
    <t>$ 4,263</t>
  </si>
  <si>
    <t>$ 401</t>
  </si>
  <si>
    <t>10.38%</t>
  </si>
  <si>
    <t>GSM</t>
  </si>
  <si>
    <t>MLC1621317911</t>
  </si>
  <si>
    <t>Audífono Bluetooth Hoco W35 Air 45hrs Para iPhone O Android</t>
  </si>
  <si>
    <t>$ 13,774</t>
  </si>
  <si>
    <t>$ 2,791</t>
  </si>
  <si>
    <t>$ 10,983</t>
  </si>
  <si>
    <t>$ 2,425</t>
  </si>
  <si>
    <t>28.34%</t>
  </si>
  <si>
    <t>MLC1621331327</t>
  </si>
  <si>
    <t>Power Bank Hoco 10000mah 22.5w Cargador Carga Rápida Negro</t>
  </si>
  <si>
    <t>$ 10,800</t>
  </si>
  <si>
    <t>$ 2,620</t>
  </si>
  <si>
    <t>$ 8,180</t>
  </si>
  <si>
    <t>$ (820)</t>
  </si>
  <si>
    <t>-9.11%</t>
  </si>
  <si>
    <t>$ 49,990</t>
  </si>
  <si>
    <t>$ 4,999</t>
  </si>
  <si>
    <t>$ 41,991</t>
  </si>
  <si>
    <t>$ 4,992</t>
  </si>
  <si>
    <t>13.49%</t>
  </si>
  <si>
    <t>MLC2906168418</t>
  </si>
  <si>
    <t>Auriculares Inalámbricos Hoco W35 Air 45hrs Long Usage Time Color Azul Acero</t>
  </si>
  <si>
    <t>$ 13,700</t>
  </si>
  <si>
    <t>$ 2,781</t>
  </si>
  <si>
    <t>$ 10,919</t>
  </si>
  <si>
    <t>$ 569</t>
  </si>
  <si>
    <t>5.50%</t>
  </si>
  <si>
    <t>MLC2906181212</t>
  </si>
  <si>
    <t>Power Bank 20000 Bateria Portatil Super Carga 22.5w Hoco Col</t>
  </si>
  <si>
    <t>$ 19,990</t>
  </si>
  <si>
    <t>$ 2,999</t>
  </si>
  <si>
    <t>$ 2,560</t>
  </si>
  <si>
    <t>$ 14,432</t>
  </si>
  <si>
    <t>$ 932</t>
  </si>
  <si>
    <t>6.90%</t>
  </si>
  <si>
    <t>Auriculares Inalámbricos Hoco W35 Air 45hrs Long Usage Time</t>
  </si>
  <si>
    <t>$ 13,050</t>
  </si>
  <si>
    <t>$ 2,697</t>
  </si>
  <si>
    <t>$ 10,354</t>
  </si>
  <si>
    <t>$ 4</t>
  </si>
  <si>
    <t>0.03%</t>
  </si>
  <si>
    <t>MLC2906194082</t>
  </si>
  <si>
    <t>Audifonos Hoco W35 Air Triumph Over Ear Bluetooth Silver Col</t>
  </si>
  <si>
    <t>$ 1,796</t>
  </si>
  <si>
    <t>20.98%</t>
  </si>
  <si>
    <t>$ 13,992</t>
  </si>
  <si>
    <t>$ 492</t>
  </si>
  <si>
    <t>3.64%</t>
  </si>
  <si>
    <t>$ 12,993</t>
  </si>
  <si>
    <t>$ 2,689</t>
  </si>
  <si>
    <t>$ 10,304</t>
  </si>
  <si>
    <t>$ 1,746</t>
  </si>
  <si>
    <t>20.40%</t>
  </si>
  <si>
    <t>MLC2914816834</t>
  </si>
  <si>
    <t>Extensor De Alcance Wi-fi Xiaomi Mi Pro Repetidor Cn R03 Negro</t>
  </si>
  <si>
    <t>$ 42,990</t>
  </si>
  <si>
    <t>$ 5,589</t>
  </si>
  <si>
    <t>$ 34,301</t>
  </si>
  <si>
    <t>#¡DIV/0!</t>
  </si>
  <si>
    <t>Audifonos Bluetooth Tws Hoco Ew45 Gato Compatible iPhone Color Negro</t>
  </si>
  <si>
    <t>$ 13,990</t>
  </si>
  <si>
    <t>$ 2,819</t>
  </si>
  <si>
    <t>$ 11,171</t>
  </si>
  <si>
    <t>$ 3,071</t>
  </si>
  <si>
    <t>37.92%</t>
  </si>
  <si>
    <t>MLC2914725726</t>
  </si>
  <si>
    <t>Audifonos Bluetooth Tws Hoco Ew45 Gato Compatible iPhone Col</t>
  </si>
  <si>
    <t>Power Bank Hoco J101b 30.000 Mah 22.5w Fast Charge Color Negro</t>
  </si>
  <si>
    <t>$ 39,990</t>
  </si>
  <si>
    <t>$ 5,999</t>
  </si>
  <si>
    <t>$ 30,492</t>
  </si>
  <si>
    <t>$ 10,692</t>
  </si>
  <si>
    <t>54.00%</t>
  </si>
  <si>
    <t>MLC2943201298</t>
  </si>
  <si>
    <t>MLC2943577034</t>
  </si>
  <si>
    <t>$ 4,031</t>
  </si>
  <si>
    <t>74.65%</t>
  </si>
  <si>
    <t>MLC2942252882</t>
  </si>
  <si>
    <t>Auriculares W35 Max Joy Bt Color Gold Luz Plateado</t>
  </si>
  <si>
    <t>$ 18,490</t>
  </si>
  <si>
    <t>$ 3,404</t>
  </si>
  <si>
    <t>$ 15,086</t>
  </si>
  <si>
    <t>$ 3,387</t>
  </si>
  <si>
    <t>28.95%</t>
  </si>
  <si>
    <t>MLC2997532814</t>
  </si>
  <si>
    <t>Audifonos Bluetooth Marca Hoco / Modelo W35 Max Over Ear - Plata - 90 Horas De Uso</t>
  </si>
  <si>
    <t>$ (11,700)</t>
  </si>
  <si>
    <t>MLC2997519898</t>
  </si>
  <si>
    <t>Audifonos Bluetooth Marca Hoco Modelo W35 Max Over Ear Negros 90 Horas De Uso</t>
  </si>
  <si>
    <t>MLC1657828571</t>
  </si>
  <si>
    <t>Soporte Celular Rejilla Auto Resistente Hoco Ajustable 360</t>
  </si>
  <si>
    <t>$ (2,700)</t>
  </si>
  <si>
    <t>MLC3024819090</t>
  </si>
  <si>
    <t>$ (2,989)</t>
  </si>
  <si>
    <t>Auriculares Hoco M111 Para iPhone Lightning Alta Calidad Color Blanco</t>
  </si>
  <si>
    <t>$ (5,400)</t>
  </si>
  <si>
    <t>MLC3067305126</t>
  </si>
  <si>
    <t>JOSE</t>
  </si>
  <si>
    <t>Caja Panera De Madera Con Tapa Enrollable Multiuso Grande</t>
  </si>
  <si>
    <t>Mortero De Madera Moledor De Hierbas Semillas Cocina</t>
  </si>
  <si>
    <t>Tabla Para Picar De Madera Grande Gruesa 47x25x3,5 Lenga</t>
  </si>
  <si>
    <t>MLC1708628583</t>
  </si>
  <si>
    <t>Tabla de picar Amarilla</t>
  </si>
  <si>
    <t>Piso Bar De Madera Taburete De Madera Alto 69 Cm</t>
  </si>
  <si>
    <t>Taburete De Madera Piso Bar De Madera Bajo 49 Cm</t>
  </si>
  <si>
    <t>Tabla Para Picar De Madera Grande Gruesa 39x24,5x3,5 Pino</t>
  </si>
  <si>
    <t>Bandeja De Desayuno Madera Plegable Portavasos Cama Notebook</t>
  </si>
  <si>
    <t>KUNA</t>
  </si>
  <si>
    <t>Kuna Foods Puff - Mix Sabores 8u. 10g C/u +8meses Sin Gluten</t>
  </si>
  <si>
    <t>$ 1,359</t>
  </si>
  <si>
    <t>19.82%</t>
  </si>
  <si>
    <t>$ (2,303)</t>
  </si>
  <si>
    <t>MLC2942390944</t>
  </si>
  <si>
    <t>Puffs Cereal Infantil Kuna Foods Frutilla Betarraga - 50g</t>
  </si>
  <si>
    <t>MLC2942247960</t>
  </si>
  <si>
    <t>Cereales Kuna Foods Puffs Manzana Arándano En Bolsa 50 g</t>
  </si>
  <si>
    <t>LALOBERIA</t>
  </si>
  <si>
    <t>Charqui De Wayu La Loberia 40 Grs</t>
  </si>
  <si>
    <t>$ 5,490</t>
  </si>
  <si>
    <t>$ 878</t>
  </si>
  <si>
    <t>$ 4,612</t>
  </si>
  <si>
    <t>$ 838</t>
  </si>
  <si>
    <t>22.21%</t>
  </si>
  <si>
    <t>MASTERG</t>
  </si>
  <si>
    <t>MLC2914929332</t>
  </si>
  <si>
    <t>$ 34,990</t>
  </si>
  <si>
    <t>$ 5,249</t>
  </si>
  <si>
    <t>$ 26,642</t>
  </si>
  <si>
    <t>$ 10,423</t>
  </si>
  <si>
    <t>64.27%</t>
  </si>
  <si>
    <t>Batería Externa Power Bank 10000 Mah 22.5w Pd Master-g Color Azul</t>
  </si>
  <si>
    <t>$ 24,990</t>
  </si>
  <si>
    <t>$ 3,749</t>
  </si>
  <si>
    <t>$ 18,142</t>
  </si>
  <si>
    <t>$ 6,900</t>
  </si>
  <si>
    <t>61.37%</t>
  </si>
  <si>
    <t>MLC2915031022</t>
  </si>
  <si>
    <t>MULI</t>
  </si>
  <si>
    <t>MLC2855469106</t>
  </si>
  <si>
    <t>Pack 24 Burbujas - Juguete Sorpresa Cumpleaños Paseo Color Multicolor</t>
  </si>
  <si>
    <t>$ 1,818</t>
  </si>
  <si>
    <t>$ 5,172</t>
  </si>
  <si>
    <t>$ 972</t>
  </si>
  <si>
    <t>23.13%</t>
  </si>
  <si>
    <t>Separador De Servicios Organizador De Servicios O Cubiertos</t>
  </si>
  <si>
    <t>$ 5,733</t>
  </si>
  <si>
    <t>$ 1,503</t>
  </si>
  <si>
    <t>$ 4,230</t>
  </si>
  <si>
    <t>$ 2,382</t>
  </si>
  <si>
    <t>128.92%</t>
  </si>
  <si>
    <t>Pack 4 Goma Eva Piso Alfombra Antigolpes 50x50x1cm</t>
  </si>
  <si>
    <t>$ 5,800</t>
  </si>
  <si>
    <t>$ 928</t>
  </si>
  <si>
    <t>$ 4,872</t>
  </si>
  <si>
    <t>$ 2,142</t>
  </si>
  <si>
    <t>78.46%</t>
  </si>
  <si>
    <t>MLC1609863627</t>
  </si>
  <si>
    <t>Naipe Ingles Cartas Inglesa Baraja Ingles Plastificado Poker Multicolor Baraja Inglés</t>
  </si>
  <si>
    <t>$ 412</t>
  </si>
  <si>
    <t>$ 2,013</t>
  </si>
  <si>
    <t>$ 753</t>
  </si>
  <si>
    <t>59.74%</t>
  </si>
  <si>
    <t>MLC2856881232</t>
  </si>
  <si>
    <t>Porta Cupcake Porta Torta Porta Cupcakes Campana Vidrio 28cm Color Transparente</t>
  </si>
  <si>
    <t>$ 11,554</t>
  </si>
  <si>
    <t>$ 2,618</t>
  </si>
  <si>
    <t>$ 8,936</t>
  </si>
  <si>
    <t>$ 3,056</t>
  </si>
  <si>
    <t>51.98%</t>
  </si>
  <si>
    <t>Pack 4 Goma Eva Piso Alfombra Antigolpes 60x60x1cm Madera</t>
  </si>
  <si>
    <t>$ 15,354</t>
  </si>
  <si>
    <t>$ 2,457</t>
  </si>
  <si>
    <t>$ 12,897</t>
  </si>
  <si>
    <t>$ 6,177</t>
  </si>
  <si>
    <t>91.93%</t>
  </si>
  <si>
    <t>MLC1596248009</t>
  </si>
  <si>
    <t>Fuente Pileta Cascada De Agua Buda Con Luz 18 Cm Feng Shui Color Gris</t>
  </si>
  <si>
    <t>$ 14,493</t>
  </si>
  <si>
    <t>$ 2,319</t>
  </si>
  <si>
    <t>$ 12,174</t>
  </si>
  <si>
    <t>$ 6,294</t>
  </si>
  <si>
    <t>107.04%</t>
  </si>
  <si>
    <t>MLC1596775371</t>
  </si>
  <si>
    <t>Fuente Pileta Cascada De Agua Jesus Sagrado Con Luz 18 Cm Color Gris</t>
  </si>
  <si>
    <t>$ 14,993</t>
  </si>
  <si>
    <t>$ 2,399</t>
  </si>
  <si>
    <t>$ 12,594</t>
  </si>
  <si>
    <t>$ 6,714</t>
  </si>
  <si>
    <t>114.19%</t>
  </si>
  <si>
    <t>$ 3,128</t>
  </si>
  <si>
    <t>$ 1,138</t>
  </si>
  <si>
    <t>$ 1,990</t>
  </si>
  <si>
    <t>$ 756</t>
  </si>
  <si>
    <t>$ 1,234</t>
  </si>
  <si>
    <t>163.24%</t>
  </si>
  <si>
    <t>$ 15,457</t>
  </si>
  <si>
    <t>$ 2,700</t>
  </si>
  <si>
    <t>$ 12,757</t>
  </si>
  <si>
    <t>$ 6,037</t>
  </si>
  <si>
    <t>89.83%</t>
  </si>
  <si>
    <t>MLC1596960925</t>
  </si>
  <si>
    <t>Basurero Papelero Pedal 8 Lts Acero Inoxidable</t>
  </si>
  <si>
    <t>$ 11,041</t>
  </si>
  <si>
    <t>$ 2,215</t>
  </si>
  <si>
    <t>$ 8,826</t>
  </si>
  <si>
    <t>$ 2,106</t>
  </si>
  <si>
    <t>31.35%</t>
  </si>
  <si>
    <t>Fuente De Agua Pileta De Agua Jesus Sagrado Con Luz 18 Cm</t>
  </si>
  <si>
    <t>Pack 6 Platos Hondos Floreado Opal Templado 22cm</t>
  </si>
  <si>
    <t>$ 2,799</t>
  </si>
  <si>
    <t>$ 14,091</t>
  </si>
  <si>
    <t>$ 7,239</t>
  </si>
  <si>
    <t>105.65%</t>
  </si>
  <si>
    <t>MLC2892298602</t>
  </si>
  <si>
    <t>Pack 4 Goma Eva Piso Alfombra Antigolpes 60x60cm 1cm Grosor Color Beige</t>
  </si>
  <si>
    <t>$ 11,054</t>
  </si>
  <si>
    <t>$ 1,769</t>
  </si>
  <si>
    <t>$ 9,285</t>
  </si>
  <si>
    <t>$ 2,565</t>
  </si>
  <si>
    <t>38.18%</t>
  </si>
  <si>
    <t>MLC1584362379</t>
  </si>
  <si>
    <t>Pack 6 Platos Llanos Extendidos Floreado Opal Templado 27cm</t>
  </si>
  <si>
    <t>$ 19,375</t>
  </si>
  <si>
    <t>$ 3,713</t>
  </si>
  <si>
    <t>$ 15,663</t>
  </si>
  <si>
    <t>$ 7,953</t>
  </si>
  <si>
    <t>103.15%</t>
  </si>
  <si>
    <t>MLC2889296322</t>
  </si>
  <si>
    <t>Estatua Buda Cascada Pileta De Agua Con Luz Grande 28cm Color Gris</t>
  </si>
  <si>
    <t>$ 53,320</t>
  </si>
  <si>
    <t>$ 8,531</t>
  </si>
  <si>
    <t>$ 4,600</t>
  </si>
  <si>
    <t>$ 40,189</t>
  </si>
  <si>
    <t>$ 27,389</t>
  </si>
  <si>
    <t>213.98%</t>
  </si>
  <si>
    <t>Estatua Buda Pileta De Agua Fuente De Agua Buda 28cm Con Luz</t>
  </si>
  <si>
    <t>$ 31,992</t>
  </si>
  <si>
    <t>$ 5,119</t>
  </si>
  <si>
    <t>$ 22,273</t>
  </si>
  <si>
    <t>$ 9,673</t>
  </si>
  <si>
    <t>76.77%</t>
  </si>
  <si>
    <t>Colgante De Viento Campana De Viento Llamador De Angel 68cm</t>
  </si>
  <si>
    <t>$ 8,604</t>
  </si>
  <si>
    <t>$ 1,377</t>
  </si>
  <si>
    <t>$ 7,227</t>
  </si>
  <si>
    <t>$ 4,497</t>
  </si>
  <si>
    <t>164.74%</t>
  </si>
  <si>
    <t>MLC1598162879</t>
  </si>
  <si>
    <t>NH67914</t>
  </si>
  <si>
    <t>Plato De Ceramica Bandeja De Ceramica Frutilla 17 Cm</t>
  </si>
  <si>
    <t>$ 4,800</t>
  </si>
  <si>
    <t>$ 1,372</t>
  </si>
  <si>
    <t>$ 3,428</t>
  </si>
  <si>
    <t>$ 2,084</t>
  </si>
  <si>
    <t>155.06%</t>
  </si>
  <si>
    <t>28cm Portacupcake Porta Torta Porta Cupcakes Campana Vidrio</t>
  </si>
  <si>
    <t>$ 14,103</t>
  </si>
  <si>
    <t>$ 2,256</t>
  </si>
  <si>
    <t>$ 11,847</t>
  </si>
  <si>
    <t>$ 5,547</t>
  </si>
  <si>
    <t>88.04%</t>
  </si>
  <si>
    <t>Pileta Fuente Cascada Agua Religiosa Niño Jesus San Jose</t>
  </si>
  <si>
    <t>$ 5,850</t>
  </si>
  <si>
    <t>$ 21,023</t>
  </si>
  <si>
    <t>$ 6,023</t>
  </si>
  <si>
    <t>40.16%</t>
  </si>
  <si>
    <t>Pack 4 Vasos Con Bombilla Y Tapa 600 Ml Vidrio Shopero 600ml</t>
  </si>
  <si>
    <t>$ 2,097</t>
  </si>
  <si>
    <t>$ 7,883</t>
  </si>
  <si>
    <t>$ 3,851</t>
  </si>
  <si>
    <t>95.51%</t>
  </si>
  <si>
    <t>MLC1584601859</t>
  </si>
  <si>
    <t>Pack 4 Vasos Con Bombilla Y Tapa Shopero 600 Ml Vidrio Color Multicolor</t>
  </si>
  <si>
    <t>$ 12,204</t>
  </si>
  <si>
    <t>$ 8,172</t>
  </si>
  <si>
    <t>202.69%</t>
  </si>
  <si>
    <t>Naipe Ingles Cartas Inglesa Baraja Ingles Plastificado Poker</t>
  </si>
  <si>
    <t>$ 2,500</t>
  </si>
  <si>
    <t>$ 425</t>
  </si>
  <si>
    <t>$ 2,075</t>
  </si>
  <si>
    <t>$ 815</t>
  </si>
  <si>
    <t>64.68%</t>
  </si>
  <si>
    <t>MLC1598113807</t>
  </si>
  <si>
    <t>TH21562</t>
  </si>
  <si>
    <t>Lechero Con Mango De Ceramica Frutilla Lechero Con Asa 700ml</t>
  </si>
  <si>
    <t>$ 5,100</t>
  </si>
  <si>
    <t>$ 1,414</t>
  </si>
  <si>
    <t>$ 3,686</t>
  </si>
  <si>
    <t>$ 1,838</t>
  </si>
  <si>
    <t>99.46%</t>
  </si>
  <si>
    <t>Fuente Para Comida De Ceramica Frutilla 21cm</t>
  </si>
  <si>
    <t>$ 5,300</t>
  </si>
  <si>
    <t>$ 1,442</t>
  </si>
  <si>
    <t>$ 3,858</t>
  </si>
  <si>
    <t>$ 2,010</t>
  </si>
  <si>
    <t>108.77%</t>
  </si>
  <si>
    <t>Servilletero Ceramica Porta Servilletas De Frutilla 20 Cm</t>
  </si>
  <si>
    <t>$ 4,300</t>
  </si>
  <si>
    <t>$ 1,302</t>
  </si>
  <si>
    <t>$ 2,998</t>
  </si>
  <si>
    <t>$ 1,822</t>
  </si>
  <si>
    <t>154.93%</t>
  </si>
  <si>
    <t>Salero Y Pimentero Para Mesa De Ceramica Frutilla</t>
  </si>
  <si>
    <t>$ 1,330</t>
  </si>
  <si>
    <t>$ 3,170</t>
  </si>
  <si>
    <t>$ 1,490</t>
  </si>
  <si>
    <t>88.69%</t>
  </si>
  <si>
    <t>La Última Cena Jesus Figura Decorativa Religiosa Adorno</t>
  </si>
  <si>
    <t>$ 17,326</t>
  </si>
  <si>
    <t>$ 2,772</t>
  </si>
  <si>
    <t>$ 14,554</t>
  </si>
  <si>
    <t>$ 4,754</t>
  </si>
  <si>
    <t>48.51%</t>
  </si>
  <si>
    <t>Set Jarra Y 6 Vasos Conjunto Jarra 2 Litros 6 Vasos Vidrio</t>
  </si>
  <si>
    <t>$ 14,992</t>
  </si>
  <si>
    <t>$ 3,099</t>
  </si>
  <si>
    <t>$ 11,893</t>
  </si>
  <si>
    <t>$ 4,333</t>
  </si>
  <si>
    <t>57.32%</t>
  </si>
  <si>
    <t>Colgante De Viento Campana De Viento Llamador De Angel Turco</t>
  </si>
  <si>
    <t>$ 8,219</t>
  </si>
  <si>
    <t>$ 1,315</t>
  </si>
  <si>
    <t>$ 6,904</t>
  </si>
  <si>
    <t>$ 4,874</t>
  </si>
  <si>
    <t>240.10%</t>
  </si>
  <si>
    <t>MLC1586076387</t>
  </si>
  <si>
    <t>Florero Pecera De Vidrio 25 Cm 5lts Para Decoración</t>
  </si>
  <si>
    <t>$ 24,988</t>
  </si>
  <si>
    <t>$ 3,998</t>
  </si>
  <si>
    <t>$ 17,840</t>
  </si>
  <si>
    <t>$ 14,480</t>
  </si>
  <si>
    <t>430.95%</t>
  </si>
  <si>
    <t>Fuente De Agua Pileta De Agua Querubín 18cm Con Luz</t>
  </si>
  <si>
    <t>$ 19,989</t>
  </si>
  <si>
    <t>$ 3,198</t>
  </si>
  <si>
    <t>$ 16,791</t>
  </si>
  <si>
    <t>$ 10,491</t>
  </si>
  <si>
    <t>166.52%</t>
  </si>
  <si>
    <t>Fuente De Agua Pileta De Agua Elefantes 28 Cm Con Luz</t>
  </si>
  <si>
    <t>$ 28,490</t>
  </si>
  <si>
    <t>$ 4,558</t>
  </si>
  <si>
    <t>$ 4,400</t>
  </si>
  <si>
    <t>$ 19,532</t>
  </si>
  <si>
    <t>$ 2,732</t>
  </si>
  <si>
    <t>16.26%</t>
  </si>
  <si>
    <t>Set 3 Maletas De Viaje 23, 15, 10 Kg Maleta De Cabina Tela</t>
  </si>
  <si>
    <t>$ 76,790</t>
  </si>
  <si>
    <t>$ 13,054</t>
  </si>
  <si>
    <t>$ 9,700</t>
  </si>
  <si>
    <t>$ 54,036</t>
  </si>
  <si>
    <t>$ 13,336</t>
  </si>
  <si>
    <t>32.77%</t>
  </si>
  <si>
    <t>MLC1598104035</t>
  </si>
  <si>
    <t>SP201069</t>
  </si>
  <si>
    <t>Bowl De Cerámica Calabaza 1000 Ml Sin Tapa</t>
  </si>
  <si>
    <t>$ 4,700</t>
  </si>
  <si>
    <t>$ 3,342</t>
  </si>
  <si>
    <t>$ 1,494</t>
  </si>
  <si>
    <t>80.84%</t>
  </si>
  <si>
    <t>MLC1598174109</t>
  </si>
  <si>
    <t>Mantequillera Con Tapa Mantequillera De Ceramica Frutilla</t>
  </si>
  <si>
    <t>$ 5,278</t>
  </si>
  <si>
    <t>$ 1,439</t>
  </si>
  <si>
    <t>$ 3,839</t>
  </si>
  <si>
    <t>$ 1,319</t>
  </si>
  <si>
    <t>52.34%</t>
  </si>
  <si>
    <t>Bombonera Con Tapa Bombonera Para Bombones Ceramica Calabaza</t>
  </si>
  <si>
    <t>$ 8,700</t>
  </si>
  <si>
    <t>$ 6,782</t>
  </si>
  <si>
    <t>$ 3,002</t>
  </si>
  <si>
    <t>79.42%</t>
  </si>
  <si>
    <t>MLC1598222291</t>
  </si>
  <si>
    <t>SP201082</t>
  </si>
  <si>
    <t>Fuente Para Comida De Cerámica Calabaza 24 Cm</t>
  </si>
  <si>
    <t>$ 6,300</t>
  </si>
  <si>
    <t>$ 1,582</t>
  </si>
  <si>
    <t>$ 4,718</t>
  </si>
  <si>
    <t>$ 1,988</t>
  </si>
  <si>
    <t>72.82%</t>
  </si>
  <si>
    <t>Goma Eva Plegable Niños Bebes</t>
  </si>
  <si>
    <t>$ 20,000</t>
  </si>
  <si>
    <t>$ 3,200</t>
  </si>
  <si>
    <t>$ 5,500</t>
  </si>
  <si>
    <t>$ 11,300</t>
  </si>
  <si>
    <t>$ 1,220</t>
  </si>
  <si>
    <t>12.10%</t>
  </si>
  <si>
    <t>Pack 24 Burbujas Juguete Sorpresa Cumpleaños Regalo Paseo</t>
  </si>
  <si>
    <t>$ 8,713</t>
  </si>
  <si>
    <t>$ 1,394</t>
  </si>
  <si>
    <t>$ 7,319</t>
  </si>
  <si>
    <t>$ 3,119</t>
  </si>
  <si>
    <t>74.26%</t>
  </si>
  <si>
    <t>Fuente De Agua Pileta De Agua Buda Feng Shui 18 Cm Con Luz</t>
  </si>
  <si>
    <t>Estatua Figura Gato Adorno Interior Gata Regalo 30 Cm</t>
  </si>
  <si>
    <t>Tetera De Cerámica 850 Ml Calabaza</t>
  </si>
  <si>
    <t>$ 2,400</t>
  </si>
  <si>
    <t>$ 7,600</t>
  </si>
  <si>
    <t>$ 5,080</t>
  </si>
  <si>
    <t>201.59%</t>
  </si>
  <si>
    <t>MLC2872110714</t>
  </si>
  <si>
    <t>SP201076</t>
  </si>
  <si>
    <t>Azucarero Con Tapa Azucarera Con Tapa De Ceramica Calabaza</t>
  </si>
  <si>
    <t>$ 6,088</t>
  </si>
  <si>
    <t>402.65%</t>
  </si>
  <si>
    <t>Servilletero Ceramica Porta Servilletas De Calabaza 11 Cm</t>
  </si>
  <si>
    <t>Salero Y Pimentero Para Mesa De Ceramica Calabaza</t>
  </si>
  <si>
    <t>MLC2872154492</t>
  </si>
  <si>
    <t>SP201079</t>
  </si>
  <si>
    <t>Mantequillera Con Tapa Mantequillera De Ceramica Calabaza</t>
  </si>
  <si>
    <t>$ 4,240</t>
  </si>
  <si>
    <t>126.19%</t>
  </si>
  <si>
    <t>Mantequillera Cerámica Diseño Frutilla Rojo</t>
  </si>
  <si>
    <t>$ 6,100</t>
  </si>
  <si>
    <t>$ 976</t>
  </si>
  <si>
    <t>$ 5,124</t>
  </si>
  <si>
    <t>$ 2,394</t>
  </si>
  <si>
    <t>87.69%</t>
  </si>
  <si>
    <t>$ 7,017</t>
  </si>
  <si>
    <t>119.34%</t>
  </si>
  <si>
    <t>$ 16,782</t>
  </si>
  <si>
    <t>$ 5,022</t>
  </si>
  <si>
    <t>42.71%</t>
  </si>
  <si>
    <t>MLC1596935131</t>
  </si>
  <si>
    <t>Basurero Papelero Pedal 3 Lts Acero Inoxidable</t>
  </si>
  <si>
    <t>$ 5,200</t>
  </si>
  <si>
    <t>$ 1,272</t>
  </si>
  <si>
    <t>$ 3,928</t>
  </si>
  <si>
    <t>$ 148</t>
  </si>
  <si>
    <t>3.92%</t>
  </si>
  <si>
    <t>Tabla Planchar Tabla De Planchar Metal Y Tela 110 Cm Mangas</t>
  </si>
  <si>
    <t>$ 42,843</t>
  </si>
  <si>
    <t>$ 6,426</t>
  </si>
  <si>
    <t>$ 32,017</t>
  </si>
  <si>
    <t>$ 17,617</t>
  </si>
  <si>
    <t>122.34%</t>
  </si>
  <si>
    <t>$ 13,500</t>
  </si>
  <si>
    <t>$ 2,485</t>
  </si>
  <si>
    <t>$ 11,015</t>
  </si>
  <si>
    <t>$ 2,615</t>
  </si>
  <si>
    <t>31.13%</t>
  </si>
  <si>
    <t>Fuente De Agua Pileta De Agua Elefante Con Luz 18 Cm</t>
  </si>
  <si>
    <t>$ 7,014</t>
  </si>
  <si>
    <t>125.70%</t>
  </si>
  <si>
    <t>Basurero Metálico Con Pedal 12 Litros Plateado Acero Canasta</t>
  </si>
  <si>
    <t>$ 7,000</t>
  </si>
  <si>
    <t>$ 1,470</t>
  </si>
  <si>
    <t>$ 5,530</t>
  </si>
  <si>
    <t>$ 980</t>
  </si>
  <si>
    <t>21.54%</t>
  </si>
  <si>
    <t>Basurero Metálico Con Pedal 20 Litros Plateado Acero Canasta</t>
  </si>
  <si>
    <t>Estatua Dama De La Justicia Adorno Dama De La Justicia</t>
  </si>
  <si>
    <t>$ 5,023</t>
  </si>
  <si>
    <t>$ 5,000</t>
  </si>
  <si>
    <t>$ 850</t>
  </si>
  <si>
    <t>$ 4,150</t>
  </si>
  <si>
    <t>$ 456</t>
  </si>
  <si>
    <t>$ 3,694</t>
  </si>
  <si>
    <t>810.09%</t>
  </si>
  <si>
    <t>$ 8,382</t>
  </si>
  <si>
    <t>99.79%</t>
  </si>
  <si>
    <t>$ 18,741</t>
  </si>
  <si>
    <t>$ 3,186</t>
  </si>
  <si>
    <t>$ 15,555</t>
  </si>
  <si>
    <t>$ 8,835</t>
  </si>
  <si>
    <t>131.47%</t>
  </si>
  <si>
    <t>Fuente Pileta Cascada De Agua Jesus Grande 39 Cm Con Luz</t>
  </si>
  <si>
    <t>$ 6,398</t>
  </si>
  <si>
    <t>$ 28,092</t>
  </si>
  <si>
    <t>$ 11,292</t>
  </si>
  <si>
    <t>67.21%</t>
  </si>
  <si>
    <t>Basurero Metálico Con Pedal 3 Litros Plateado Acero Canasta</t>
  </si>
  <si>
    <t>MLC2870262782</t>
  </si>
  <si>
    <t>Basurero Papelero Pedal 5 L Acero Inoxidable</t>
  </si>
  <si>
    <t>Fuente De Agua Pileta De Agua Virgen Maria Con Luz 18 Cm</t>
  </si>
  <si>
    <t>$ 17,493</t>
  </si>
  <si>
    <t>$ 14,694</t>
  </si>
  <si>
    <t>$ 5,454</t>
  </si>
  <si>
    <t>59.03%</t>
  </si>
  <si>
    <t>Fuente Pileta Cascada De Agua Querubín Con Luz Grande 28cm</t>
  </si>
  <si>
    <t>$ 3,983</t>
  </si>
  <si>
    <t>31.12%</t>
  </si>
  <si>
    <t>MLC2855521136</t>
  </si>
  <si>
    <t>Pileta Y Cascada De Agua Buda Meditación Feng Shui Con Luz Color Gris</t>
  </si>
  <si>
    <t>$ 41,639</t>
  </si>
  <si>
    <t>$ 28,839</t>
  </si>
  <si>
    <t>225.30%</t>
  </si>
  <si>
    <t>Organizador Verdulero Frutero 3 Niveles Metálico Inoxidable</t>
  </si>
  <si>
    <t>$ 3,797</t>
  </si>
  <si>
    <t>$ 16,183</t>
  </si>
  <si>
    <t>$ 6,103</t>
  </si>
  <si>
    <t>60.54%</t>
  </si>
  <si>
    <t>Pileta Y Cascada De Agua Buda Meditación Feng Shui Con Luz</t>
  </si>
  <si>
    <t>$ 41,689</t>
  </si>
  <si>
    <t>$ 29,089</t>
  </si>
  <si>
    <t>230.86%</t>
  </si>
  <si>
    <t>Estatua Decorativa Pileta De Agua Fuente De Agua Grande 40cm</t>
  </si>
  <si>
    <t>$ 59,987</t>
  </si>
  <si>
    <t>$ 9,598</t>
  </si>
  <si>
    <t>$ 45,789</t>
  </si>
  <si>
    <t>$ 28,989</t>
  </si>
  <si>
    <t>172.55%</t>
  </si>
  <si>
    <t>Caja 48 Tazones Para Sublimacion Blanco Grado A 11oz Ceramic</t>
  </si>
  <si>
    <t>$ 61,320</t>
  </si>
  <si>
    <t>$ 8,585</t>
  </si>
  <si>
    <t>$ 47,235</t>
  </si>
  <si>
    <t>$ 21,027</t>
  </si>
  <si>
    <t>80.23%</t>
  </si>
  <si>
    <t>MLC1585124639</t>
  </si>
  <si>
    <t>FH49054</t>
  </si>
  <si>
    <t>Estatua Figura Adorno Jardín Loro Rojo Tropical Grande 27 Cm</t>
  </si>
  <si>
    <t>$ 29,400</t>
  </si>
  <si>
    <t>$ 4,704</t>
  </si>
  <si>
    <t>$ 21,196</t>
  </si>
  <si>
    <t>$ 12,796</t>
  </si>
  <si>
    <t>152.33%</t>
  </si>
  <si>
    <t>Figura Estatua Adorno Caballo Blanco Grande 29 Cm Elegante</t>
  </si>
  <si>
    <t>$ 31,238</t>
  </si>
  <si>
    <t>$ 4,998</t>
  </si>
  <si>
    <t>$ 23,140</t>
  </si>
  <si>
    <t>$ 11,380</t>
  </si>
  <si>
    <t>96.77%</t>
  </si>
  <si>
    <t>Estatua Figura Religiosa Angel Virgen Maria Familia Sagrada</t>
  </si>
  <si>
    <t>Fuente De Agua Pileta De Agua Ganesha Con Luz 18 Cm</t>
  </si>
  <si>
    <t>$ 17,890</t>
  </si>
  <si>
    <t>$ 12,010</t>
  </si>
  <si>
    <t>204.25%</t>
  </si>
  <si>
    <t>1 Candelabros Porta Velas Florero Eventos Boda Fiesta</t>
  </si>
  <si>
    <t>$ 1,600</t>
  </si>
  <si>
    <t>$ 8,400</t>
  </si>
  <si>
    <t>300.00%</t>
  </si>
  <si>
    <t>MLC1611467169</t>
  </si>
  <si>
    <t>3x Porta Vela Candelabro De Vidrio Diseño Flor De Loto</t>
  </si>
  <si>
    <t>$ 924</t>
  </si>
  <si>
    <t>$ 7,476</t>
  </si>
  <si>
    <t>809.09%</t>
  </si>
  <si>
    <t>Reloj De Cocina Análogo Grande Dorado Reloj De Pared 60cm</t>
  </si>
  <si>
    <t>$ 28,557</t>
  </si>
  <si>
    <t>$ 4,569</t>
  </si>
  <si>
    <t>$ 20,488</t>
  </si>
  <si>
    <t>$ 13,768</t>
  </si>
  <si>
    <t>204.88%</t>
  </si>
  <si>
    <t>Set Jarra Y 6 Vasos Conjunto Jarra 2 Litros Y 6 Vasos Vidrio</t>
  </si>
  <si>
    <t>$ 3,498</t>
  </si>
  <si>
    <t>$ 6,800</t>
  </si>
  <si>
    <t>$ 14,690</t>
  </si>
  <si>
    <t>$ 7,130</t>
  </si>
  <si>
    <t>94.31%</t>
  </si>
  <si>
    <t>Fuente De Agua Pileta De Agua 3 Vasijas Grande 37 Cm Con Luz</t>
  </si>
  <si>
    <t>$ 13,692</t>
  </si>
  <si>
    <t>81.50%</t>
  </si>
  <si>
    <t>Fuente De Agua Pileta De Agua Elefantes Grande 37 Cm Con Luz</t>
  </si>
  <si>
    <t>Fuente De Agua Pileta De Agua Ganesha Interior 18cm Con Luz</t>
  </si>
  <si>
    <t>$ 11,960</t>
  </si>
  <si>
    <t>203.40%</t>
  </si>
  <si>
    <t>Bombonera Con Tapa Bombonera Para Bombones Ceramica Frutilla</t>
  </si>
  <si>
    <t>$ 1,720</t>
  </si>
  <si>
    <t>29.25%</t>
  </si>
  <si>
    <t>Set 60 25x17 Alfombra Infantil Goma Eva Cuadros Bebes Niños</t>
  </si>
  <si>
    <t>$ 7,308</t>
  </si>
  <si>
    <t>669.23%</t>
  </si>
  <si>
    <t>Set 10 25x17 Alfombra Infantil Goma Eva Cuadros Bebes Niños</t>
  </si>
  <si>
    <t>$ 400</t>
  </si>
  <si>
    <t>$ 8,000</t>
  </si>
  <si>
    <t>2000.00%</t>
  </si>
  <si>
    <t>Set 29 25x17 Alfombra Infantil Goma Eva Cuadros Bebes Niños</t>
  </si>
  <si>
    <t>$ 7,056</t>
  </si>
  <si>
    <t>525.00%</t>
  </si>
  <si>
    <t>Set 27 25x17 Alfombra Infantil Goma Eva Cuadros Bebes Niños</t>
  </si>
  <si>
    <t>$ 500</t>
  </si>
  <si>
    <t>$ 7,900</t>
  </si>
  <si>
    <t>1580.00%</t>
  </si>
  <si>
    <t>Basurero Metálico Con Pedal 8 Litros Pedal Acabado Madera</t>
  </si>
  <si>
    <t>$ 16,650</t>
  </si>
  <si>
    <t>$ 2,832</t>
  </si>
  <si>
    <t>$ 13,819</t>
  </si>
  <si>
    <t>$ 5,419</t>
  </si>
  <si>
    <t>64.51%</t>
  </si>
  <si>
    <t>MLC2980636552</t>
  </si>
  <si>
    <t>Ganesha Estatua Pileta Fuente De Agua Interior Con Luz 18cm Color Dorado</t>
  </si>
  <si>
    <t>$ (5,880)</t>
  </si>
  <si>
    <t>Fuente Pileta Cascada De Agua Buda 41 Cm Feng Shui</t>
  </si>
  <si>
    <t>$ (16,680)</t>
  </si>
  <si>
    <t>MLC2984744820</t>
  </si>
  <si>
    <t>Fuente De Agua Pileta De Agua Virgen Maria Con Luz 18 Cm Color Gris</t>
  </si>
  <si>
    <t>MLC2992261372</t>
  </si>
  <si>
    <t>106499C</t>
  </si>
  <si>
    <t>Pack 3 45cm Bandeja Redonda Antideslizante Restaurant Garzón</t>
  </si>
  <si>
    <t>$ (8,820)</t>
  </si>
  <si>
    <t>MLC2992261374</t>
  </si>
  <si>
    <t>106499N</t>
  </si>
  <si>
    <t>MLC2992261378</t>
  </si>
  <si>
    <t>106498N</t>
  </si>
  <si>
    <t>Pack 4 40cm Bandeja Redonda Antideslizante Restaurant Garzón</t>
  </si>
  <si>
    <t>$ (8,064)</t>
  </si>
  <si>
    <t>MLC2992261376</t>
  </si>
  <si>
    <t>106498C</t>
  </si>
  <si>
    <t>Candelabro O Portavela De Vidrio 11cm 2,5cm Diámetro</t>
  </si>
  <si>
    <t>$ (1,176)</t>
  </si>
  <si>
    <t>Candelabro O Porta Vela De Vidrio 15cm 2,5cm Diametro</t>
  </si>
  <si>
    <t>$ (2,100)</t>
  </si>
  <si>
    <t>Candelabro O Porta Vela De Vidrio 16cm 2,5cm Diametro</t>
  </si>
  <si>
    <t>Candelabro O Porta Velas De Vidrio 14cm 2,5cm Diametro</t>
  </si>
  <si>
    <t>$ (1,344)</t>
  </si>
  <si>
    <t>Pack 3 Candelabro O Portavela De Vidrio Flor De Loto 12cm</t>
  </si>
  <si>
    <t>$ (2,772)</t>
  </si>
  <si>
    <t>$ (3,528)</t>
  </si>
  <si>
    <t>Pack 3 Candelabro O Portavela Flor De Loto Grande 15 Cm</t>
  </si>
  <si>
    <t>$ (5,544)</t>
  </si>
  <si>
    <t>Goma Eva Plegable 1,8m X 1,5m 6mm Resistente Niños Bebes</t>
  </si>
  <si>
    <t>$ (10,080)</t>
  </si>
  <si>
    <t>MLC3004433330</t>
  </si>
  <si>
    <t>Separador De Servicios Organizador De Servicios O Cubiertos Color Transparente</t>
  </si>
  <si>
    <t>$ (1,848)</t>
  </si>
  <si>
    <t>MLC3040325866</t>
  </si>
  <si>
    <t>$ (16,800)</t>
  </si>
  <si>
    <t>MLC3040016192</t>
  </si>
  <si>
    <t>MLC3040313278</t>
  </si>
  <si>
    <t>MLC3040326008</t>
  </si>
  <si>
    <t>Panera Redonda De Mimbre 24 Cm Amarillo Mimbre</t>
  </si>
  <si>
    <t>$ (1,092)</t>
  </si>
  <si>
    <t>MLC1583346817</t>
  </si>
  <si>
    <t>103047N</t>
  </si>
  <si>
    <t>Pack 6 Piso Deportivo Modular Goma Eva 60x60x1 Cm Fitness</t>
  </si>
  <si>
    <t>$ (7,000)</t>
  </si>
  <si>
    <t>MLC2853344370</t>
  </si>
  <si>
    <t>$ (9,000)</t>
  </si>
  <si>
    <t>103047B</t>
  </si>
  <si>
    <t>$ (4,550)</t>
  </si>
  <si>
    <t>$ (8,400)</t>
  </si>
  <si>
    <t>Panera Ovalada De Mimbre 27cm</t>
  </si>
  <si>
    <t>MLC3174762618</t>
  </si>
  <si>
    <t>Bombonera De Navidad Caramelera De Navidad 3 Litros</t>
  </si>
  <si>
    <t>Bombonera De Navidad Caramelera De Ceramica 3l Pascuero</t>
  </si>
  <si>
    <t>Soporte De Botella Navidad Viejo Pascuero Ceramica</t>
  </si>
  <si>
    <t>Canasto De Navidad Ceramica Viejito Pascuero</t>
  </si>
  <si>
    <t>MLC1712210619</t>
  </si>
  <si>
    <t>$ 840</t>
  </si>
  <si>
    <t>Bandeja Rectangular Decorativa Navidad Ceramica</t>
  </si>
  <si>
    <t>Bandeja Decorativa Navidad Viejo Pascuero Ceramica</t>
  </si>
  <si>
    <t>Bandeja Redonda Navideña Viejo Pascuero De Ceramica 33cm</t>
  </si>
  <si>
    <t>Bandeja Cuadrada De Navidad Decorativa De Ceramica 26cm</t>
  </si>
  <si>
    <t>Bandeja Redonda De Navidad Decorativa De Ceramica 31cm</t>
  </si>
  <si>
    <t>Bandeja Redonda De Navidad Decorativa De Ceramica 26cm</t>
  </si>
  <si>
    <t>MLC3215472964</t>
  </si>
  <si>
    <t>Bandeja Rectangular De Navidad Decorativa De Ceramica 33cm</t>
  </si>
  <si>
    <t>Bandeja Rectangular De Navidad Decorativa De Ceramica 32,5cm</t>
  </si>
  <si>
    <t>Servilletero De Navidad Decorativo De Ceramica 11,5cm</t>
  </si>
  <si>
    <t>Plato De Navidad Decorativo De Ceramica Grande 31,5cm</t>
  </si>
  <si>
    <t>Tetera De Navidad Decorativa De Ceramica 700ml</t>
  </si>
  <si>
    <t>ORTOMOLECULAR</t>
  </si>
  <si>
    <t>D-manosa + Cranberry + Probióticos 90 Cápsulas Ortomolecular Sin Sabor</t>
  </si>
  <si>
    <t>$ 36,687</t>
  </si>
  <si>
    <t>$ 4,769</t>
  </si>
  <si>
    <t>$ 28,918</t>
  </si>
  <si>
    <t>$ 3,123</t>
  </si>
  <si>
    <t>12.11%</t>
  </si>
  <si>
    <t>MLC2900097204</t>
  </si>
  <si>
    <t>Ultra Visión 399 Mg - 60 Cáps - Ortomolecular Chile</t>
  </si>
  <si>
    <t>$ 3,328</t>
  </si>
  <si>
    <t>$ 15,162</t>
  </si>
  <si>
    <t>$ 1,848</t>
  </si>
  <si>
    <t>13.88%</t>
  </si>
  <si>
    <t>Ultra Magnesio Triple 60 Cápsulas Ortomolecular Chile Suplemento Alimentario Con Minerales</t>
  </si>
  <si>
    <t>$ 1,473</t>
  </si>
  <si>
    <t>10.82%</t>
  </si>
  <si>
    <t>Ácido Caprílico 500 Mg 90 Cápsulas Vegetales Ortomolecular Chile Sin Sabor</t>
  </si>
  <si>
    <t>$ 2,568</t>
  </si>
  <si>
    <t>20.39%</t>
  </si>
  <si>
    <t>$ 10,684</t>
  </si>
  <si>
    <t>$ 1,923</t>
  </si>
  <si>
    <t>$ 8,761</t>
  </si>
  <si>
    <t>$ (45)</t>
  </si>
  <si>
    <t>-0.51%</t>
  </si>
  <si>
    <t>MLC2899985622</t>
  </si>
  <si>
    <t>Ácido Caprílico 500 Mg 90 Cápsulas Vegetales Ortomolecular C</t>
  </si>
  <si>
    <t>$ 17,990</t>
  </si>
  <si>
    <t>$ 3,238</t>
  </si>
  <si>
    <t>$ 14,752</t>
  </si>
  <si>
    <t>17.14%</t>
  </si>
  <si>
    <t>MLC2900071030</t>
  </si>
  <si>
    <t>$ 11,276</t>
  </si>
  <si>
    <t>$ 2,030</t>
  </si>
  <si>
    <t>$ 9,246</t>
  </si>
  <si>
    <t>$ 440</t>
  </si>
  <si>
    <t>5.00%</t>
  </si>
  <si>
    <t>MLC2900071444</t>
  </si>
  <si>
    <t>D-manosa + Cranberry + Probióticos 90 Cápsulas Ortomolecular</t>
  </si>
  <si>
    <t>$ 39,455</t>
  </si>
  <si>
    <t>$ 5,129</t>
  </si>
  <si>
    <t>$ 31,326</t>
  </si>
  <si>
    <t>$ 5,531</t>
  </si>
  <si>
    <t>21.44%</t>
  </si>
  <si>
    <t>MLC2900097400</t>
  </si>
  <si>
    <t>Ultra Magnesio Triple 60 Cápsulas Ortomolecular Chile Suplem</t>
  </si>
  <si>
    <t>$ 3,339</t>
  </si>
  <si>
    <t>$ 14,651</t>
  </si>
  <si>
    <t>7.62%</t>
  </si>
  <si>
    <t>$ 1,438</t>
  </si>
  <si>
    <t>10.80%</t>
  </si>
  <si>
    <t>PRATER</t>
  </si>
  <si>
    <t>MLC1613733673</t>
  </si>
  <si>
    <t>Bentley Gel Lubricante Chocolate Menta 50 Gr.</t>
  </si>
  <si>
    <t>$ 1,059</t>
  </si>
  <si>
    <t>$ 1,931</t>
  </si>
  <si>
    <t>$ (969)</t>
  </si>
  <si>
    <t>-33.41%</t>
  </si>
  <si>
    <t>MLC1613741927</t>
  </si>
  <si>
    <t>$ 3,790</t>
  </si>
  <si>
    <t>$ 1,155</t>
  </si>
  <si>
    <t>$ 2,635</t>
  </si>
  <si>
    <t>$ (201)</t>
  </si>
  <si>
    <t>-7.08%</t>
  </si>
  <si>
    <t>$ 3,594</t>
  </si>
  <si>
    <t>$ 611</t>
  </si>
  <si>
    <t>$ 2,983</t>
  </si>
  <si>
    <t>$ 147</t>
  </si>
  <si>
    <t>5.18%</t>
  </si>
  <si>
    <t>MLC2896190122</t>
  </si>
  <si>
    <t>$ 12,690</t>
  </si>
  <si>
    <t>$ 2,396</t>
  </si>
  <si>
    <t>$ 10,294</t>
  </si>
  <si>
    <t>$ (284)</t>
  </si>
  <si>
    <t>-2.68%</t>
  </si>
  <si>
    <t>MLC2896241788</t>
  </si>
  <si>
    <t>Preservativos Skyn Elite Ultra Delgado Libre De Látex X3un</t>
  </si>
  <si>
    <t>$ 688</t>
  </si>
  <si>
    <t>$ 3,612</t>
  </si>
  <si>
    <t>$ 361</t>
  </si>
  <si>
    <t>11.10%</t>
  </si>
  <si>
    <t>$ 4,990</t>
  </si>
  <si>
    <t>$ 798</t>
  </si>
  <si>
    <t>$ 4,192</t>
  </si>
  <si>
    <t>$ 941</t>
  </si>
  <si>
    <t>28.93%</t>
  </si>
  <si>
    <t>MLC2896280488</t>
  </si>
  <si>
    <t>Bentley Tropical Passion Gel Lubricante Intimo 50 Gr</t>
  </si>
  <si>
    <t>$ 3,990</t>
  </si>
  <si>
    <t>$ 1,179</t>
  </si>
  <si>
    <t>$ 2,811</t>
  </si>
  <si>
    <t>$ (89)</t>
  </si>
  <si>
    <t>-3.06%</t>
  </si>
  <si>
    <t>MLC2896280586</t>
  </si>
  <si>
    <t>Skyn Large X 6</t>
  </si>
  <si>
    <t>$ 9,490</t>
  </si>
  <si>
    <t>$ 1,518</t>
  </si>
  <si>
    <t>$ 7,972</t>
  </si>
  <si>
    <t>$ 1,256</t>
  </si>
  <si>
    <t>18.70%</t>
  </si>
  <si>
    <t>MLC2896293684</t>
  </si>
  <si>
    <t>$ 1,539</t>
  </si>
  <si>
    <t>$ 5,451</t>
  </si>
  <si>
    <t>$ 1,540</t>
  </si>
  <si>
    <t>39.38%</t>
  </si>
  <si>
    <t>MLC2896293694</t>
  </si>
  <si>
    <t>Bentley Classic Gel Lubricante Íntimo 50 Gr</t>
  </si>
  <si>
    <t>$ (25)</t>
  </si>
  <si>
    <t>-0.87%</t>
  </si>
  <si>
    <t>MLC2896306604</t>
  </si>
  <si>
    <t>$ 12,816</t>
  </si>
  <si>
    <t>$ 2,051</t>
  </si>
  <si>
    <t>$ 10,765</t>
  </si>
  <si>
    <t>$ 692</t>
  </si>
  <si>
    <t>6.87%</t>
  </si>
  <si>
    <t>$ 13,348</t>
  </si>
  <si>
    <t>$ 2,136</t>
  </si>
  <si>
    <t>$ 11,212</t>
  </si>
  <si>
    <t>$ 634</t>
  </si>
  <si>
    <t>6.00%</t>
  </si>
  <si>
    <t>MLC2896370886</t>
  </si>
  <si>
    <t>$ 11,331</t>
  </si>
  <si>
    <t>$ 2,473</t>
  </si>
  <si>
    <t>$ 8,858</t>
  </si>
  <si>
    <t>$ 2,477</t>
  </si>
  <si>
    <t>38.82%</t>
  </si>
  <si>
    <t>MLC2915223008</t>
  </si>
  <si>
    <t>$ 3,950</t>
  </si>
  <si>
    <t>$ 632</t>
  </si>
  <si>
    <t>$ 3,318</t>
  </si>
  <si>
    <t>$ 20</t>
  </si>
  <si>
    <t>0.61%</t>
  </si>
  <si>
    <t>$ 314</t>
  </si>
  <si>
    <t>9.53%</t>
  </si>
  <si>
    <t>MLC2936005026</t>
  </si>
  <si>
    <t>$ 5,090</t>
  </si>
  <si>
    <t>$ 814</t>
  </si>
  <si>
    <t>$ 4,276</t>
  </si>
  <si>
    <t>$ 1,333</t>
  </si>
  <si>
    <t>45.30%</t>
  </si>
  <si>
    <t>MLC2942173314</t>
  </si>
  <si>
    <t>Infor Pro Sport Creatina X 60 Gomitas Sabor Frutos Tropicale</t>
  </si>
  <si>
    <t>$ 13,022</t>
  </si>
  <si>
    <t>$ 2,344</t>
  </si>
  <si>
    <t>$ 10,678</t>
  </si>
  <si>
    <t>$ 2,339</t>
  </si>
  <si>
    <t>28.05%</t>
  </si>
  <si>
    <t>$ 16,990</t>
  </si>
  <si>
    <t>$ 2,718</t>
  </si>
  <si>
    <t>$ 14,272</t>
  </si>
  <si>
    <t>$ 2,883</t>
  </si>
  <si>
    <t>25.31%</t>
  </si>
  <si>
    <t>MLC2942238238</t>
  </si>
  <si>
    <t>$ 2,238</t>
  </si>
  <si>
    <t>$ 11,752</t>
  </si>
  <si>
    <t>$ 3,710</t>
  </si>
  <si>
    <t>46.14%</t>
  </si>
  <si>
    <t>MLC2942355196</t>
  </si>
  <si>
    <t>$ 1,406</t>
  </si>
  <si>
    <t>21.41%</t>
  </si>
  <si>
    <t>MLC2942212312</t>
  </si>
  <si>
    <t>MLC2942394250</t>
  </si>
  <si>
    <t>$ 4,190</t>
  </si>
  <si>
    <t>$ 670</t>
  </si>
  <si>
    <t>$ 3,520</t>
  </si>
  <si>
    <t>$ 676</t>
  </si>
  <si>
    <t>23.76%</t>
  </si>
  <si>
    <t>MLC2942290138</t>
  </si>
  <si>
    <t>$ 2,914</t>
  </si>
  <si>
    <t>$ 466</t>
  </si>
  <si>
    <t>$ 2,448</t>
  </si>
  <si>
    <t>$ 1</t>
  </si>
  <si>
    <t>15.95%</t>
  </si>
  <si>
    <t>MLC2942199330</t>
  </si>
  <si>
    <t>$ 3,190</t>
  </si>
  <si>
    <t>$ 510</t>
  </si>
  <si>
    <t>$ 2,680</t>
  </si>
  <si>
    <t>$ (180)</t>
  </si>
  <si>
    <t>-6.31%</t>
  </si>
  <si>
    <t>Gel Hidratante Clinic Acido Hialurónico Bentley 50gr</t>
  </si>
  <si>
    <t>$ 958</t>
  </si>
  <si>
    <t>$ 5,032</t>
  </si>
  <si>
    <t>MLC2942238308</t>
  </si>
  <si>
    <t>RITZY MASH</t>
  </si>
  <si>
    <t>Crema Aclarante Capilar - Ritzy Mash</t>
  </si>
  <si>
    <t>$ 12,341</t>
  </si>
  <si>
    <t>$ 2,098</t>
  </si>
  <si>
    <t>$ 10,243</t>
  </si>
  <si>
    <t>$ 451</t>
  </si>
  <si>
    <t>4.60%</t>
  </si>
  <si>
    <t>Crema Aclarante Vanilla Passion 105 Ml Ritzy Mash</t>
  </si>
  <si>
    <t>MLC3190473830</t>
  </si>
  <si>
    <t>MLC3190719304</t>
  </si>
  <si>
    <t>MLC1710581099</t>
  </si>
  <si>
    <t>MLC3191980970</t>
  </si>
  <si>
    <t>MLC1710854997</t>
  </si>
  <si>
    <t>MLC3192099632</t>
  </si>
  <si>
    <t>MLC3192534188</t>
  </si>
  <si>
    <t>MLC1715903335</t>
  </si>
  <si>
    <t>MLC2888551316</t>
  </si>
  <si>
    <t>Creatina Monohidratada Micronizada - 300gr, Strive Sabor Sin Sabor</t>
  </si>
  <si>
    <t>$ 25,300</t>
  </si>
  <si>
    <t>$ 3,289</t>
  </si>
  <si>
    <t>$ 19,451</t>
  </si>
  <si>
    <t>$ 2,657</t>
  </si>
  <si>
    <t>15.82%</t>
  </si>
  <si>
    <t>MLC1614051993</t>
  </si>
  <si>
    <t>$ 584</t>
  </si>
  <si>
    <t>4.12%</t>
  </si>
  <si>
    <t>Strive Magnesio + L Triptófano 60 Cápsulas Nutricional</t>
  </si>
  <si>
    <t>Creatina Monohidratada Micronizada - 300gr, Strive Sin Sabor</t>
  </si>
  <si>
    <t>$ 27,018</t>
  </si>
  <si>
    <t>$ 3,512</t>
  </si>
  <si>
    <t>$ 20,506</t>
  </si>
  <si>
    <t>$ 3,712</t>
  </si>
  <si>
    <t>22.10%</t>
  </si>
  <si>
    <t>Vitaminas Y Minerales Veganas 60 Cap Strive Vegan Essentials</t>
  </si>
  <si>
    <t>$ 3,596</t>
  </si>
  <si>
    <t>$ 16,384</t>
  </si>
  <si>
    <t>$ 4,069</t>
  </si>
  <si>
    <t>33.04%</t>
  </si>
  <si>
    <t>Cafeína En Polvo + Vitamina B6 62 Porciones Strive</t>
  </si>
  <si>
    <t>$ 3,509</t>
  </si>
  <si>
    <t>27.25%</t>
  </si>
  <si>
    <t>Omega 3 Epa 800 Dha 400 60 Cap - Strive</t>
  </si>
  <si>
    <t>$ 5,189</t>
  </si>
  <si>
    <t>46.35%</t>
  </si>
  <si>
    <t>Vitamina B12 Vegana 60 Capsulas - Strive Nutrition</t>
  </si>
  <si>
    <t>$ 10,510</t>
  </si>
  <si>
    <t>$ 8,618</t>
  </si>
  <si>
    <t>$ 1,849</t>
  </si>
  <si>
    <t>27.32%</t>
  </si>
  <si>
    <t>MLC2902305588</t>
  </si>
  <si>
    <t>Essentials Sport Vitaminas Y Minerales 60cápsulas Sin Sabor Strive</t>
  </si>
  <si>
    <t>799192418020-1</t>
  </si>
  <si>
    <t>Strive- Essentials Sport Vitaminas Y Minerales 60cápsulas Sa</t>
  </si>
  <si>
    <t>MLC2906039788</t>
  </si>
  <si>
    <t>$ 9,614</t>
  </si>
  <si>
    <t>142.04%</t>
  </si>
  <si>
    <t>MLC2906417334</t>
  </si>
  <si>
    <t>$ 18,990</t>
  </si>
  <si>
    <t>$ 3,418</t>
  </si>
  <si>
    <t>$ 15,572</t>
  </si>
  <si>
    <t>$ 3,257</t>
  </si>
  <si>
    <t>26.45%</t>
  </si>
  <si>
    <t>MLC2906417504</t>
  </si>
  <si>
    <t>$ 21,990</t>
  </si>
  <si>
    <t>$ 3,958</t>
  </si>
  <si>
    <t>$ 15,032</t>
  </si>
  <si>
    <t>$ 2,157</t>
  </si>
  <si>
    <t>16.75%</t>
  </si>
  <si>
    <t>MLC2906417538</t>
  </si>
  <si>
    <t>Suplemento En Cápsulas Blandas Strive Omega 3 X 2.8g</t>
  </si>
  <si>
    <t>$ 3,598</t>
  </si>
  <si>
    <t>$ 13,392</t>
  </si>
  <si>
    <t>$ 2,197</t>
  </si>
  <si>
    <t>19.62%</t>
  </si>
  <si>
    <t>MLC2906417482</t>
  </si>
  <si>
    <t>$ 1,913</t>
  </si>
  <si>
    <t>13.22%</t>
  </si>
  <si>
    <t>Suplemento Alimenticio Adulto Mayor Essentials 50+ 60cap</t>
  </si>
  <si>
    <t>$ 1,585</t>
  </si>
  <si>
    <t>10.71%</t>
  </si>
  <si>
    <t>Beta</t>
  </si>
  <si>
    <t>Beta Alanina Strive 60 Porciones Sin Sabor</t>
  </si>
  <si>
    <t>$ (13,155)</t>
  </si>
  <si>
    <t>Isolate Protein Strive 21 Porciones 42 Scoop</t>
  </si>
  <si>
    <t>$ (26,455)</t>
  </si>
  <si>
    <t>MLC3038184008</t>
  </si>
  <si>
    <t>MLC3042430604</t>
  </si>
  <si>
    <t>Suplemento En Polvo Strive Proteína Aislada X 700g</t>
  </si>
  <si>
    <t>Creatina Monohidratada Creapure 300g Strive</t>
  </si>
  <si>
    <t>$ (19,544)</t>
  </si>
  <si>
    <t>MLC3221654658</t>
  </si>
  <si>
    <t>Creapure- Creatina Monohidratada 100% 300g Strive Sabor Sin Sabor</t>
  </si>
  <si>
    <t>YOURGOAL</t>
  </si>
  <si>
    <t>$ 25,100</t>
  </si>
  <si>
    <t>$ 3,263</t>
  </si>
  <si>
    <t>$ 18,737</t>
  </si>
  <si>
    <t>$ (442)</t>
  </si>
  <si>
    <t>-2.31%</t>
  </si>
  <si>
    <t>MLC1608812577</t>
  </si>
  <si>
    <t>Barras De Proteinas Yourgoal Protein Bite 4u Caramel Peanuts</t>
  </si>
  <si>
    <t>$ 7,894</t>
  </si>
  <si>
    <t>$ 1,421</t>
  </si>
  <si>
    <t>$ 6,473</t>
  </si>
  <si>
    <t>$ 693</t>
  </si>
  <si>
    <t>11.99%</t>
  </si>
  <si>
    <t>MLC1608980449</t>
  </si>
  <si>
    <t>Barras De Proteina Protein Bite Black &amp; White Pack 4 Barritas 55g C/u Yourgoal Nutrition Suplemento Con Proteina</t>
  </si>
  <si>
    <t>$ 7,505</t>
  </si>
  <si>
    <t>$ 1,826</t>
  </si>
  <si>
    <t>$ 5,679</t>
  </si>
  <si>
    <t>$ (101)</t>
  </si>
  <si>
    <t>-1.74%</t>
  </si>
  <si>
    <t>MLC2895530748</t>
  </si>
  <si>
    <t>Barras De Proteina Yourgoal Twentys 12u Lemon Cheesecake</t>
  </si>
  <si>
    <t>$ 24,000</t>
  </si>
  <si>
    <t>$ 3,120</t>
  </si>
  <si>
    <t>$ 2,640</t>
  </si>
  <si>
    <t>$ 18,240</t>
  </si>
  <si>
    <t>$ (939)</t>
  </si>
  <si>
    <t>-4.90%</t>
  </si>
  <si>
    <t>$ 24,948</t>
  </si>
  <si>
    <t>$ 3,243</t>
  </si>
  <si>
    <t>$ 18,605</t>
  </si>
  <si>
    <t>$ (574)</t>
  </si>
  <si>
    <t>-3.00%</t>
  </si>
  <si>
    <t>Barras De Proteina Twenty's Sabor Chocolate Brownie Pack 12 Barritas 60g C/u Yourgoal Nutrition Suplemento Con Proteina</t>
  </si>
  <si>
    <t>$ 25,401</t>
  </si>
  <si>
    <t>$ 3,302</t>
  </si>
  <si>
    <t>$ 18,999</t>
  </si>
  <si>
    <t>-0.94%</t>
  </si>
  <si>
    <t>MLC2895607974</t>
  </si>
  <si>
    <t>Barras De Proteina Protein Snack Sabor Chocolate &amp; Crispis Pack 5 Barritas 42g C/u Yourgoal Nutrition Suplemento Con Proteina</t>
  </si>
  <si>
    <t>$ 6,330</t>
  </si>
  <si>
    <t>$ 949</t>
  </si>
  <si>
    <t>$ 5,380</t>
  </si>
  <si>
    <t>10.25%</t>
  </si>
  <si>
    <t>$ 950</t>
  </si>
  <si>
    <t>$ 5,381</t>
  </si>
  <si>
    <t>$ 501</t>
  </si>
  <si>
    <t>10.26%</t>
  </si>
  <si>
    <t>$ 6,780</t>
  </si>
  <si>
    <t>$ 5,560</t>
  </si>
  <si>
    <t>$ 680</t>
  </si>
  <si>
    <t>13.93%</t>
  </si>
  <si>
    <t>$ 1,740</t>
  </si>
  <si>
    <t>$ 6,260</t>
  </si>
  <si>
    <t>$ 1,380</t>
  </si>
  <si>
    <t>28.28%</t>
  </si>
  <si>
    <t>$ 5,870</t>
  </si>
  <si>
    <t>$ 1,581</t>
  </si>
  <si>
    <t>$ 4,290</t>
  </si>
  <si>
    <t>$ (591)</t>
  </si>
  <si>
    <t>-12.10%</t>
  </si>
  <si>
    <t>MLC2895764124</t>
  </si>
  <si>
    <t>Barras De Proteina Protein Sanck Sabor Snack Berries &amp; White</t>
  </si>
  <si>
    <t>$ 5,993</t>
  </si>
  <si>
    <t>$ 1,599</t>
  </si>
  <si>
    <t>$ 4,394</t>
  </si>
  <si>
    <t>$ (486)</t>
  </si>
  <si>
    <t>-9.96%</t>
  </si>
  <si>
    <t>MLC2895842164</t>
  </si>
  <si>
    <t>MLC2895881460</t>
  </si>
  <si>
    <t>Barras De Proteina Twenty's Sabor Chocolate Brownie Pack 12</t>
  </si>
  <si>
    <t>$ 24,137</t>
  </si>
  <si>
    <t>$ 3,138</t>
  </si>
  <si>
    <t>$ 17,899</t>
  </si>
  <si>
    <t>$ (1,280)</t>
  </si>
  <si>
    <t>-6.67%</t>
  </si>
  <si>
    <t>$ 26,313</t>
  </si>
  <si>
    <t>$ 3,421</t>
  </si>
  <si>
    <t>$ 19,792</t>
  </si>
  <si>
    <t>$ 613</t>
  </si>
  <si>
    <t>3.20%</t>
  </si>
  <si>
    <t>MLC2999253390</t>
  </si>
  <si>
    <t>$ (4,289)</t>
  </si>
  <si>
    <t>Box 5 Barras Mini Twentys 8g - Your Goal Sabor Chocolate Brownie</t>
  </si>
  <si>
    <t>MLC2999305100</t>
  </si>
  <si>
    <t>Box 5 Barras Mini Twentys 8g - Your Goal Sabor Lemon Cheesecake</t>
  </si>
  <si>
    <t>MLC2999253474</t>
  </si>
  <si>
    <t>Barras De Proteina Twenty's Sabor Chocolate Brownie Pack 4 Barritas 60g C/u Yourgoal Nutrition Suplemento Con Proteina</t>
  </si>
  <si>
    <t>$ (6,778)</t>
  </si>
  <si>
    <t>MLC1686875147</t>
  </si>
  <si>
    <t>MLC1686913839</t>
  </si>
  <si>
    <t>Citrato De Magnesio + L Triptófano 90 Capsulas Zero Sport</t>
  </si>
  <si>
    <t>$ 1,258</t>
  </si>
  <si>
    <t>$ 5,732</t>
  </si>
  <si>
    <t>$ 1,924</t>
  </si>
  <si>
    <t>50.52%</t>
  </si>
  <si>
    <t>$ 7,811</t>
  </si>
  <si>
    <t>$ 6,405</t>
  </si>
  <si>
    <t>$ 2,847</t>
  </si>
  <si>
    <t>80.01%</t>
  </si>
  <si>
    <t>$ 33,436</t>
  </si>
  <si>
    <t>$ 4,347</t>
  </si>
  <si>
    <t>$ 25,939</t>
  </si>
  <si>
    <t>$ 9,279</t>
  </si>
  <si>
    <t>55.70%</t>
  </si>
  <si>
    <t>Bisglicinato / Glicinato De Magnesio 1 Frasco 90 Capsulas Sabor Sin Sabor (90 Capsulas)</t>
  </si>
  <si>
    <t>$ 9,627</t>
  </si>
  <si>
    <t>$ 1,733</t>
  </si>
  <si>
    <t>$ 3,134</t>
  </si>
  <si>
    <t>65.84%</t>
  </si>
  <si>
    <t>Citrato De Magnesio Puro En Polvo X 300 Gramos Sabor Sin Sa</t>
  </si>
  <si>
    <t>$ 12,400</t>
  </si>
  <si>
    <t>$ 2,232</t>
  </si>
  <si>
    <t>$ 10,168</t>
  </si>
  <si>
    <t>$ 3,028</t>
  </si>
  <si>
    <t>42.41%</t>
  </si>
  <si>
    <t>MLC1623099049</t>
  </si>
  <si>
    <t>MLC1623167021</t>
  </si>
  <si>
    <t>Creatina Monohidrato Pura 1 K. Zeo Sport. 200 Mesh. Premium</t>
  </si>
  <si>
    <t>$ 31,000</t>
  </si>
  <si>
    <t>$ 4,030</t>
  </si>
  <si>
    <t>$ 23,870</t>
  </si>
  <si>
    <t>$ 6,032</t>
  </si>
  <si>
    <t>33.81%</t>
  </si>
  <si>
    <t>MLC1623156015</t>
  </si>
  <si>
    <t>Pack Citrato De Magnesio + Cit. Potasio (polvo 300 Grs.) Sab</t>
  </si>
  <si>
    <t>$ 10,500</t>
  </si>
  <si>
    <t>$ 1,890</t>
  </si>
  <si>
    <t>$ 8,610</t>
  </si>
  <si>
    <t>20.59%</t>
  </si>
  <si>
    <t>Betarraga Pura 500 Mg 90 Caps Promueve Oxido Nitroso Lp Sabo</t>
  </si>
  <si>
    <t>$ 1,254</t>
  </si>
  <si>
    <t>$ 5,710</t>
  </si>
  <si>
    <t>$ 2,140</t>
  </si>
  <si>
    <t>59.96%</t>
  </si>
  <si>
    <t>MLC1623156171</t>
  </si>
  <si>
    <t>$ 7,954</t>
  </si>
  <si>
    <t>$ 4,384</t>
  </si>
  <si>
    <t>122.80%</t>
  </si>
  <si>
    <t>Vitamina C Liposomal Calidad Premium X 90 Capsulas Vegetales</t>
  </si>
  <si>
    <t>$ 12,800</t>
  </si>
  <si>
    <t>$ 2,304</t>
  </si>
  <si>
    <t>$ 10,496</t>
  </si>
  <si>
    <t>$ 2,166</t>
  </si>
  <si>
    <t>26.00%</t>
  </si>
  <si>
    <t>MLC2909049512</t>
  </si>
  <si>
    <t>MLC1626630879</t>
  </si>
  <si>
    <t>$ 1,044</t>
  </si>
  <si>
    <t>$ 4,756</t>
  </si>
  <si>
    <t>$ 472</t>
  </si>
  <si>
    <t>11.02%</t>
  </si>
  <si>
    <t>$ 1,224</t>
  </si>
  <si>
    <t>$ 5,576</t>
  </si>
  <si>
    <t>$ 1,292</t>
  </si>
  <si>
    <t>30.16%</t>
  </si>
  <si>
    <t>Citrato De Magensio + Citrato De Potasio 1 Kilo En Polvo Sabor Propio</t>
  </si>
  <si>
    <t>$ (16,660)</t>
  </si>
  <si>
    <t>MLC3108057824</t>
  </si>
  <si>
    <t>Cafeina Anhidra Sin Sabor 30 Caps 30 Porciones Zeo Sport</t>
  </si>
  <si>
    <t>Citrato De Magnesio Puro En Polvo Doypack 100 Grs Sin Sabor</t>
  </si>
  <si>
    <t>MLC3177874818</t>
  </si>
  <si>
    <t>MLC1710892881</t>
  </si>
  <si>
    <t>Frasco De Almacenaje Navideño Ceramica 3,5 L Decorativo</t>
  </si>
  <si>
    <t>Lechero Navideño Lechero De Navidad Ceramica 1 Litro</t>
  </si>
  <si>
    <t>Jarra Navideña Jarra Decorativa De Navidad 2l Ceramica</t>
  </si>
  <si>
    <t>Caramelera Navideña Galletero Navideño Pascuero Ceramica</t>
  </si>
  <si>
    <t>Estatua Dama De La Justicia Adorno Dama De La Justicia 35cm</t>
  </si>
  <si>
    <t>Bola De Nieve Bola De Cristal Navideño Con Luces Led 14cm</t>
  </si>
  <si>
    <t>Bola De Nieve Bola De Cristal Navideño Con Luces Led 15cm</t>
  </si>
  <si>
    <t>Caramelera Navideña Galletero Navideño Pascuero Ceramica 21c</t>
  </si>
  <si>
    <t>Tazon De Navidad 800 Ml De Ceramica Merry Christmas</t>
  </si>
  <si>
    <t>Caramelera Navideña Galletero Navideño Pascuero Ceramica 18c</t>
  </si>
  <si>
    <t>Caramelera Navideña Galletero Navideño Pascuero Ceramica 27c</t>
  </si>
  <si>
    <t>$ (7,200)</t>
  </si>
  <si>
    <t>Bandeja Rectangular Navideña 28cm Ceramica Decorativa</t>
  </si>
  <si>
    <t>Caramelera Navideña Galletero Navideño Pascuero Ceramica 20c</t>
  </si>
  <si>
    <t>Conjunto De Tazas Con Plato Navideño 6 Pzas 600ml</t>
  </si>
  <si>
    <t>$ (1,512)</t>
  </si>
  <si>
    <t>MLC3288070090</t>
  </si>
  <si>
    <t>Dispositivo Inteligente Anti Pérdida Smart Tag Hoco iPhone</t>
  </si>
  <si>
    <t>$ (6,000)</t>
  </si>
  <si>
    <t>Audifonos Inalambricos Para Niños Gato Bluetooth Hoco Ew46 Color Gris</t>
  </si>
  <si>
    <t>$ (8,000)</t>
  </si>
  <si>
    <t>MLC3287021876</t>
  </si>
  <si>
    <r>
      <rPr>
        <rFont val="Arial, sans-serif"/>
        <color rgb="FF1155CC"/>
        <u/>
      </rPr>
      <t>Audifonos Inalambricos Para Niños Gato Bluetooth Hoco Ew46 Color Gris</t>
    </r>
  </si>
  <si>
    <t>MLC1738316623</t>
  </si>
  <si>
    <t>Audifonos Hoco Ew46 Tws In Ear Bluetooth Khaki Cat Amarillo</t>
  </si>
  <si>
    <t>Audifonos Hoco Ew45 In Ear Bluetooth Tws Forest Cat Verde</t>
  </si>
  <si>
    <t>MLC3288405278</t>
  </si>
  <si>
    <t>Soporte De Celular Para Moto Hoco H31 Wild Wolf Negro</t>
  </si>
  <si>
    <t>$ (4,400)</t>
  </si>
  <si>
    <t>MLC1738316643</t>
  </si>
  <si>
    <t>MLC3288070166</t>
  </si>
  <si>
    <t>$ (2,400)</t>
  </si>
  <si>
    <t>MLC3288521680</t>
  </si>
  <si>
    <t>$ (6,400)</t>
  </si>
  <si>
    <t>Hoco®j115 Mini Batería Portátil 5000mah Para iPhone/ Android Color Negro</t>
  </si>
  <si>
    <t>$ (4,800)</t>
  </si>
  <si>
    <t>MLC3288070180</t>
  </si>
  <si>
    <t>Audifonos Hoco Eq5 Energy Anc Tws In Ear Bluetooth Negro</t>
  </si>
  <si>
    <t>$ (12,000)</t>
  </si>
  <si>
    <t>MLC3288392442</t>
  </si>
  <si>
    <t>MLC3288397022</t>
  </si>
  <si>
    <t>$ (48,000)</t>
  </si>
  <si>
    <t>MLC3288409828</t>
  </si>
  <si>
    <t>MLC3288397062</t>
  </si>
  <si>
    <t>$ (36,000)</t>
  </si>
  <si>
    <t>$ (2,800)</t>
  </si>
  <si>
    <t>MLC3288539476</t>
  </si>
  <si>
    <t>MLC1738648587</t>
  </si>
  <si>
    <t>Soporte Para Auto Hoco Ca76 Para Tablero Porta Celular</t>
  </si>
  <si>
    <t>$ (2,240)</t>
  </si>
  <si>
    <t>Hoco Audifono Tws Con Cancelacion Ruido+enc Comp iPhone Eq16 Color Morado</t>
  </si>
  <si>
    <t>$ (10,400)</t>
  </si>
  <si>
    <t>MLC3288409870</t>
  </si>
  <si>
    <t>MLC1738648611</t>
  </si>
  <si>
    <t>$ (5,600)</t>
  </si>
  <si>
    <t>Audifonos Hoco Eq16 Cancelacion Ruido+enc Color Azul Acero</t>
  </si>
  <si>
    <t>MLC1738648619</t>
  </si>
  <si>
    <t>MLC3288074778</t>
  </si>
  <si>
    <t>Bandeja Rectangular De Navidad Decorativa De Ceramica 32cm</t>
  </si>
  <si>
    <t>$ (4,200)</t>
  </si>
  <si>
    <t>GAMA</t>
  </si>
  <si>
    <t>Balanza Digital Gama Negra Scg 430 Vidrio Templado Black Color Negro</t>
  </si>
  <si>
    <t>$ (6,045)</t>
  </si>
  <si>
    <t>MLC1744573041</t>
  </si>
  <si>
    <t>MLC1744547453</t>
  </si>
  <si>
    <t>$ (8,245)</t>
  </si>
  <si>
    <t>MLC1744534475</t>
  </si>
  <si>
    <t>$ (21,995)</t>
  </si>
  <si>
    <t>MLC1744510619</t>
  </si>
  <si>
    <t>#N/D</t>
  </si>
  <si>
    <t>MLC1744325747</t>
  </si>
  <si>
    <t>Olla Cera Depilatoria Gama Dep 500 Cc Blanca</t>
  </si>
  <si>
    <t>$ (10,995)</t>
  </si>
  <si>
    <t>MLC1744560225</t>
  </si>
  <si>
    <t>MLC1744325759</t>
  </si>
  <si>
    <t>MLC1744560251</t>
  </si>
  <si>
    <t>Gama Alisador Elegance Keration Std Negro</t>
  </si>
  <si>
    <t>$ (18,145)</t>
  </si>
  <si>
    <t>MLC1744547589</t>
  </si>
  <si>
    <t>Cortapelo Clipper Multistyler Gama Gc 625 Inalámbrico Color Gris</t>
  </si>
  <si>
    <t>MLC1744573161</t>
  </si>
  <si>
    <t>MLC1744510723</t>
  </si>
  <si>
    <t>$ (38,495)</t>
  </si>
  <si>
    <t>MLC1744510733</t>
  </si>
  <si>
    <t>MLC1744497809</t>
  </si>
  <si>
    <t>MLC3309264862</t>
  </si>
  <si>
    <t>MLC1744512881</t>
  </si>
  <si>
    <t>Puffs Cereal Infantil Kuna Foods Sabor Cacao - 50g</t>
  </si>
  <si>
    <t>MLC1745126649</t>
  </si>
  <si>
    <t>Gomita Kuna Foods Snack Infantil Piña Con Fruta Sin Gluten 16 g 4 u</t>
  </si>
  <si>
    <t>$ (2,850)</t>
  </si>
  <si>
    <t>MLC3312900288</t>
  </si>
  <si>
    <t>MLC3312848852</t>
  </si>
  <si>
    <t>MLC1745126781</t>
  </si>
  <si>
    <t>Galletas Saludables Cookids Maní Kuna Foods 30 Gr</t>
  </si>
  <si>
    <t>$ 524</t>
  </si>
  <si>
    <t>$ (524)</t>
  </si>
  <si>
    <t>MLC1745175667</t>
  </si>
  <si>
    <t>MLC1745126813</t>
  </si>
  <si>
    <t>MLC1745126873</t>
  </si>
  <si>
    <t>Galletas Saludables Cookids Cacao Kuna Foods 30 Gr</t>
  </si>
  <si>
    <t>MLC1745175937</t>
  </si>
  <si>
    <t>Cereal Kuna Snack Saludable Sufle Bombas Maní 100g</t>
  </si>
  <si>
    <t>$ (1,777)</t>
  </si>
  <si>
    <t>Cookids Tradicional</t>
  </si>
  <si>
    <t>Galletas Saludables Cookids Para Niños De Kuna - Bolsa 30 Gr</t>
  </si>
  <si>
    <t>MLC1745321335</t>
  </si>
  <si>
    <t>Servilletero De Navidad Decorativo De Ceramica 11,5cm - Rojo</t>
  </si>
  <si>
    <t>$ (1,260)</t>
  </si>
  <si>
    <t>MLC3314092756</t>
  </si>
  <si>
    <t>Bandeja Rectangular De Navidad Decorativa De Ceramica 32cm - Rojo</t>
  </si>
  <si>
    <t>MLC3314222342</t>
  </si>
  <si>
    <t>Bombonera De Navidad Caramelera De Ceramica 3l Pascuero - Rojo</t>
  </si>
  <si>
    <t>$ (6,720)</t>
  </si>
  <si>
    <t>MLC3314184312</t>
  </si>
  <si>
    <t>Lechero Navideño Lechero De Navidad Ceramica 1 Litro - Rojo</t>
  </si>
  <si>
    <t>$ (3,600)</t>
  </si>
  <si>
    <t>MLC3314324000</t>
  </si>
  <si>
    <t>MLC3314184428</t>
  </si>
  <si>
    <t>Bandeja Redonda Navideña Viejo Pascuero De Ceramica 33cm - Rojo</t>
  </si>
  <si>
    <t>MLC3314311740</t>
  </si>
  <si>
    <t>Caja Panera De Madera Con Tapa Enrollable Multiuso Grande - Madera - Pino</t>
  </si>
  <si>
    <t>$ (6,902)</t>
  </si>
  <si>
    <t>MLC1745324801</t>
  </si>
  <si>
    <t>Bandeja Rectangular De Navidad Decorativa De Ceramica 33cm - Rojo</t>
  </si>
  <si>
    <t>$ (3,360)</t>
  </si>
  <si>
    <t>MLC1745337031</t>
  </si>
  <si>
    <t>Bombonera De Navidad Caramelera De Navidad 3 Litros - Rojo</t>
  </si>
  <si>
    <t>MLC3314388344</t>
  </si>
  <si>
    <t>Tetera De Navidad Decorativa De Ceramica 700ml - Rojo</t>
  </si>
  <si>
    <t>$ (2,520)</t>
  </si>
  <si>
    <t>MLC3313941568</t>
  </si>
  <si>
    <t>Jarra Navideña Jarra Decorativa De Navidad 2l Ceramica - Rojo</t>
  </si>
  <si>
    <t>MLC3313979920</t>
  </si>
  <si>
    <t>Bandeja Redonda De Navidad Decorativa De Ceramica 31cm - Rojo</t>
  </si>
  <si>
    <t>$ (5,040)</t>
  </si>
  <si>
    <t>MLC3314363014</t>
  </si>
  <si>
    <t>Bandeja Redonda De Navidad Decorativa De Ceramica 26cm - Rojo</t>
  </si>
  <si>
    <t>$ (2,940)</t>
  </si>
  <si>
    <t>MLC3314375806</t>
  </si>
  <si>
    <t>Bandeja Cuadrada De Navidad Decorativa De Ceramica 26cm - Rojo</t>
  </si>
  <si>
    <t>MLC3314018818</t>
  </si>
  <si>
    <t>Caramelera Navideña Galletero Navideño Pascuero Ceramica - Rojo</t>
  </si>
  <si>
    <t>MLC1745431389</t>
  </si>
  <si>
    <t>Bandeja Rectangular Decorativa Navidad Ceramica - Rojo</t>
  </si>
  <si>
    <t>$ (3,780)</t>
  </si>
  <si>
    <t>MLC3314019222</t>
  </si>
  <si>
    <t>MLC3314687064</t>
  </si>
  <si>
    <t>Caramelera Navideña Galletero Navideño Pascuero Ceramica 20c - Rojo</t>
  </si>
  <si>
    <t>MLC3314791410</t>
  </si>
  <si>
    <t>Tazon De Navidad 800 Ml De Ceramica Merry Christmas - Rojo</t>
  </si>
  <si>
    <t>$ (1,980)</t>
  </si>
  <si>
    <t>MLC3313930262</t>
  </si>
  <si>
    <t>Caramelera Navideña Galletero Navideño Pascuero Ceramica 18c - Rojo</t>
  </si>
  <si>
    <t>$ (2,925)</t>
  </si>
  <si>
    <t>MLC3314986278</t>
  </si>
  <si>
    <t>Bandeja Decorativa Navidad Viejo Pascuero Ceramica - Rojo</t>
  </si>
  <si>
    <t>MLC3314908462</t>
  </si>
  <si>
    <t>Caramelera Navideña Galletero Navideño Pascuero Ceramica 21c - Rojo</t>
  </si>
  <si>
    <t>MLC1745707631</t>
  </si>
  <si>
    <t>Frasco De Almacenaje Navideño Ceramica 3,5 L Decorativo - Rojo</t>
  </si>
  <si>
    <t>$ (5,850)</t>
  </si>
  <si>
    <t>Pack 4 40cm Bandeja Antideslizante Garzon Restaurante</t>
  </si>
  <si>
    <t>Pack 3 45cm Bandeja Antideslizante Garzon Restaurant Servir</t>
  </si>
  <si>
    <t>Creatina Monohidratada Micronizada 200 Mesh 60 Porciones</t>
  </si>
  <si>
    <t>$ (16,794)</t>
  </si>
  <si>
    <t>Proteina Aisalada Vainilla 735g 21 Porciones Strive</t>
  </si>
  <si>
    <t>Pre Entreno Kicker 540g 30 Porciones Piña - Maracuya Strive</t>
  </si>
  <si>
    <t>$ (18,195)</t>
  </si>
  <si>
    <t>Pre Entreno Kicker 540g 30 Porciones Frambuesa - Uva Strive</t>
  </si>
  <si>
    <t>LA LOBERIA</t>
  </si>
  <si>
    <t>MLC1754293429</t>
  </si>
  <si>
    <t>$ (3,797)</t>
  </si>
  <si>
    <t>$ (3,094)</t>
  </si>
  <si>
    <t>MLC1754447731</t>
  </si>
  <si>
    <t>$ (3,511)</t>
  </si>
  <si>
    <t>MLC1754293977</t>
  </si>
  <si>
    <t>Balanza Pesa Deluxe Scf 2000 Gama Imc Muscular Grasa Oseo Color Negro</t>
  </si>
  <si>
    <t>$ (9,812)</t>
  </si>
  <si>
    <t>MLC1758539117</t>
  </si>
  <si>
    <t>Gama Tensiometro Muñeca Bp2116 Neutro</t>
  </si>
  <si>
    <t>MLC1758600183</t>
  </si>
  <si>
    <t>$ (8,503)</t>
  </si>
  <si>
    <t>MLC1758424729</t>
  </si>
  <si>
    <t>Secador De Pelo Gama Brilliant Ceramic Ion Aqua Therapy Color Verde Claro</t>
  </si>
  <si>
    <t>$ (13,084)</t>
  </si>
  <si>
    <t>MLC1758361263</t>
  </si>
  <si>
    <t>$ (10,793)</t>
  </si>
  <si>
    <t>MLC1758361293</t>
  </si>
  <si>
    <t>MLC1758489351</t>
  </si>
  <si>
    <t>$ (7,194)</t>
  </si>
  <si>
    <t>Crema Oxidante Suprema Color 1000 Ml - Farmavita Tono 20vol</t>
  </si>
  <si>
    <t>$ (3,070)</t>
  </si>
  <si>
    <t>MLC1758424809</t>
  </si>
  <si>
    <t>MLC1758361439</t>
  </si>
  <si>
    <t>$ 426</t>
  </si>
  <si>
    <t>$ (426)</t>
  </si>
  <si>
    <t>Gama Plancha Elegance Coconut Almond Color Blanco</t>
  </si>
  <si>
    <t>$ (16,357)</t>
  </si>
  <si>
    <t>MLC1758527247</t>
  </si>
  <si>
    <t>$ (10,705)</t>
  </si>
  <si>
    <t>MLC3343450388</t>
  </si>
  <si>
    <t>Gama Termómetro Ifr Xl-f03 Neutro</t>
  </si>
  <si>
    <t>MLC1758425143</t>
  </si>
  <si>
    <t>MLC1758477325</t>
  </si>
  <si>
    <t>MLC3343503610</t>
  </si>
  <si>
    <t>MLC3343551410</t>
  </si>
  <si>
    <t>MLC1758591875</t>
  </si>
  <si>
    <t>Suplemento En Polvo Strive Creatina Monohidratada X 320g</t>
  </si>
  <si>
    <t>Revelador Wella Color Touch Emulsión Color Touch 1,9% 6vol 120ml</t>
  </si>
  <si>
    <t>$ (2,023)</t>
  </si>
  <si>
    <t>MLC1758923363</t>
  </si>
  <si>
    <t>MLC1760755829</t>
  </si>
  <si>
    <t>Set 2 Tazas Navideñas 400 Ml Con Cucharilla De Ceramica</t>
  </si>
  <si>
    <t>Bombonera De Navidad Caramelera De Navidad 2.5 Litros</t>
  </si>
  <si>
    <t>Bandeja Triple Navideña Viejito Pascuero</t>
  </si>
  <si>
    <t>Tetera Decorativa Navideña Ceramica</t>
  </si>
  <si>
    <t>$ (4,050)</t>
  </si>
  <si>
    <t>Lechero Navideño De Ceramica 450 Ml</t>
  </si>
  <si>
    <t>$ (1,620)</t>
  </si>
  <si>
    <t>Servilletero Navideño De Ceramica</t>
  </si>
  <si>
    <t>$ (1,350)</t>
  </si>
  <si>
    <t>Pocillo Navideño De Ceramica Viejito</t>
  </si>
  <si>
    <t>Frasco De Almacenaje Navideño De Ceramica</t>
  </si>
  <si>
    <t>Pocillo Navideño De Ceramica Viejito Pascuero 450 Ml</t>
  </si>
  <si>
    <t>Pocillo De Navidad 1 Litro Viejito Pascuero Triple</t>
  </si>
  <si>
    <t>Lechero Navideño De Ceramica Viejito Pascuero 3</t>
  </si>
  <si>
    <t>Lechero Navideño 450 Ml Ceramica</t>
  </si>
  <si>
    <t>Bandeja Triple Navideña</t>
  </si>
  <si>
    <t>$ (3,150)</t>
  </si>
  <si>
    <t>Bandeja Doble Navideña</t>
  </si>
  <si>
    <t>Bandeja Rectangular Navideña Viejo Pascuero 3</t>
  </si>
  <si>
    <t>$ (4,500)</t>
  </si>
  <si>
    <t>Salero Y Pimentero Navideño Viejito Pascuero</t>
  </si>
  <si>
    <t>Pocillo Triple Navideño Viejo Pascuero 300 Ml</t>
  </si>
  <si>
    <t>Pocillo Navideño De Ceramica Viejo Pascuero 4</t>
  </si>
  <si>
    <t>$ (6,300)</t>
  </si>
  <si>
    <t>Pocillo De Navidad Cuenco Ceramica Viejo Pascuero</t>
  </si>
  <si>
    <t>Bombonera Navideña Viejo Pascuero Osito</t>
  </si>
  <si>
    <t>Bombonera Navideña Viejo Pascuero Ceramica 7</t>
  </si>
  <si>
    <t>MLC1766323507</t>
  </si>
  <si>
    <t>Reloj De Cocina Análogo Grande Dorado Reloj De Pared 60cm - Dorado - Blanco</t>
  </si>
  <si>
    <t>Sandwichera Thomas Th-952 750w, Capacidad Para 2 Panes Color Blanco</t>
  </si>
  <si>
    <t>$ (11,892)</t>
  </si>
  <si>
    <t>MLC3362779668</t>
  </si>
  <si>
    <t>MLC1769022343</t>
  </si>
  <si>
    <t>MLC1769054329</t>
  </si>
  <si>
    <t>Lechero Navideño De Ceramica Viejito Pascuero 3 Rojo</t>
  </si>
  <si>
    <t>MLC3366596834</t>
  </si>
  <si>
    <t>Pocillo De Navidad 1 Litro Viejito Pascuero Triple Rojo</t>
  </si>
  <si>
    <t>MLC3366674244</t>
  </si>
  <si>
    <t>Bombonera Navideña Viejo Pascuero Osito Rojo</t>
  </si>
  <si>
    <t>MLC3366584606</t>
  </si>
  <si>
    <t>MLC3366559850</t>
  </si>
  <si>
    <t>Frasco De Almacenaje Navideño De Ceramica Rojo</t>
  </si>
  <si>
    <t>MLC3366584750</t>
  </si>
  <si>
    <t>Lechero Navideño De Ceramica 450 Ml Rojo</t>
  </si>
  <si>
    <t>MLC3366948074</t>
  </si>
  <si>
    <t>Pocillo Navideño De Ceramica Viejito Pascuero 450 Ml Rojo</t>
  </si>
  <si>
    <t>MLC3366846252</t>
  </si>
  <si>
    <t>Salero Y Pimentero Navideño Viejito Pascuero Rojo</t>
  </si>
  <si>
    <t>MLC3366938210</t>
  </si>
  <si>
    <t>Bandeja Triple Navideña Rojo</t>
  </si>
  <si>
    <t>MLC3366888854</t>
  </si>
  <si>
    <t>Bandeja Rectangular Navideña Viejo Pascuero 3 Blanco</t>
  </si>
  <si>
    <t>MLC3367104564</t>
  </si>
  <si>
    <t>2 Tazas Navideñas 400 Ml Con Cucharilla De Ceramica Rojo Viejito Pascuero</t>
  </si>
  <si>
    <t>MLC3366903004</t>
  </si>
  <si>
    <t>Servilletero Navideño De Ceramica Rojo</t>
  </si>
  <si>
    <t>MLC3366890824</t>
  </si>
  <si>
    <t>Bandeja Doble Navideña Blanco</t>
  </si>
  <si>
    <t>MLC3367325594</t>
  </si>
  <si>
    <t>MLC3367378438</t>
  </si>
  <si>
    <t>MLC1770059229</t>
  </si>
  <si>
    <t>$ (3,524)</t>
  </si>
  <si>
    <t>MLC1771396317</t>
  </si>
  <si>
    <t>MLC1771784939</t>
  </si>
  <si>
    <t>MLC1771974261</t>
  </si>
  <si>
    <t>MLC3374268294</t>
  </si>
  <si>
    <t>MLC1774136611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</si>
</sst>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[$$]#,##0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</font>
    <font>
      <b/>
      <color rgb="FFFFFFFF"/>
      <name val="Arial"/>
    </font>
    <font>
      <color theme="1"/>
      <name val="Arial"/>
    </font>
    <font>
      <color rgb="FF9C0006"/>
      <name val="Arial"/>
    </font>
    <font>
      <u/>
      <color rgb="FF1155CC"/>
      <name val="Arial"/>
    </font>
    <font>
      <u/>
      <color theme="1"/>
      <name val="Arial"/>
    </font>
    <font>
      <u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000000"/>
        <bgColor rgb="FF000000"/>
      </patternFill>
    </fill>
    <fill>
      <patternFill patternType="solid">
        <fgColor rgb="FFD9E7FD"/>
        <bgColor rgb="FFD9E7FD"/>
      </patternFill>
    </fill>
    <fill>
      <patternFill patternType="solid">
        <fgColor rgb="FFFFC7CE"/>
        <bgColor rgb="FFFFC7CE"/>
      </patternFill>
    </fill>
  </fills>
  <borders count="7">
    <border/>
    <border>
      <left style="thin">
        <color rgb="FF8CB5F9"/>
      </left>
      <top style="thin">
        <color rgb="FF8CB5F9"/>
      </top>
      <bottom style="thin">
        <color rgb="FF000000"/>
      </bottom>
    </border>
    <border>
      <top style="thin">
        <color rgb="FF8CB5F9"/>
      </top>
      <bottom style="thin">
        <color rgb="FF000000"/>
      </bottom>
    </border>
    <border>
      <right style="thin">
        <color rgb="FF8CB5F9"/>
      </right>
      <top style="thin">
        <color rgb="FF8CB5F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CB5F9"/>
      </bottom>
    </border>
    <border>
      <top style="thin">
        <color rgb="FF8CB5F9"/>
      </top>
      <bottom style="thin">
        <color rgb="FF8CB5F9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Font="1"/>
    <xf borderId="0" fillId="2" fontId="1" numFmtId="164" xfId="0" applyFont="1" applyNumberFormat="1"/>
    <xf borderId="0" fillId="2" fontId="1" numFmtId="165" xfId="0" applyFont="1" applyNumberForma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5" xfId="0" applyFont="1" applyNumberFormat="1"/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1" fillId="2" fontId="3" numFmtId="0" xfId="0" applyAlignment="1" applyBorder="1" applyFont="1">
      <alignment horizontal="center" vertical="bottom"/>
    </xf>
    <xf borderId="2" fillId="2" fontId="3" numFmtId="0" xfId="0" applyAlignment="1" applyBorder="1" applyFont="1">
      <alignment horizontal="center" vertical="bottom"/>
    </xf>
    <xf borderId="2" fillId="2" fontId="3" numFmtId="0" xfId="0" applyAlignment="1" applyBorder="1" applyFont="1">
      <alignment horizontal="center" vertical="bottom"/>
    </xf>
    <xf borderId="2" fillId="3" fontId="3" numFmtId="0" xfId="0" applyAlignment="1" applyBorder="1" applyFill="1" applyFont="1">
      <alignment horizontal="center" vertical="bottom"/>
    </xf>
    <xf borderId="2" fillId="4" fontId="4" numFmtId="0" xfId="0" applyAlignment="1" applyBorder="1" applyFill="1" applyFont="1">
      <alignment horizontal="center" vertical="bottom"/>
    </xf>
    <xf borderId="2" fillId="3" fontId="4" numFmtId="0" xfId="0" applyAlignment="1" applyBorder="1" applyFont="1">
      <alignment horizontal="center" vertical="bottom"/>
    </xf>
    <xf borderId="3" fillId="5" fontId="4" numFmtId="0" xfId="0" applyAlignment="1" applyBorder="1" applyFill="1" applyFont="1">
      <alignment horizontal="center" vertical="bottom"/>
    </xf>
    <xf borderId="0" fillId="0" fontId="5" numFmtId="0" xfId="0" applyAlignment="1" applyFont="1">
      <alignment vertical="bottom"/>
    </xf>
    <xf borderId="4" fillId="6" fontId="5" numFmtId="0" xfId="0" applyAlignment="1" applyBorder="1" applyFill="1" applyFont="1">
      <alignment vertical="bottom"/>
    </xf>
    <xf borderId="4" fillId="7" fontId="6" numFmtId="0" xfId="0" applyAlignment="1" applyBorder="1" applyFill="1" applyFont="1">
      <alignment vertical="bottom"/>
    </xf>
    <xf borderId="4" fillId="6" fontId="5" numFmtId="0" xfId="0" applyAlignment="1" applyBorder="1" applyFont="1">
      <alignment horizontal="center" vertical="bottom"/>
    </xf>
    <xf borderId="4" fillId="6" fontId="5" numFmtId="9" xfId="0" applyAlignment="1" applyBorder="1" applyFont="1" applyNumberFormat="1">
      <alignment horizontal="center" vertical="bottom"/>
    </xf>
    <xf borderId="4" fillId="6" fontId="5" numFmtId="164" xfId="0" applyAlignment="1" applyBorder="1" applyFont="1" applyNumberFormat="1">
      <alignment horizontal="center" readingOrder="0" vertical="bottom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horizontal="center" vertical="bottom"/>
    </xf>
    <xf borderId="4" fillId="0" fontId="5" numFmtId="9" xfId="0" applyAlignment="1" applyBorder="1" applyFont="1" applyNumberFormat="1">
      <alignment horizontal="center" vertical="bottom"/>
    </xf>
    <xf borderId="4" fillId="0" fontId="5" numFmtId="164" xfId="0" applyAlignment="1" applyBorder="1" applyFont="1" applyNumberFormat="1">
      <alignment horizontal="center" readingOrder="0" vertical="bottom"/>
    </xf>
    <xf borderId="4" fillId="0" fontId="5" numFmtId="0" xfId="0" applyAlignment="1" applyBorder="1" applyFont="1">
      <alignment vertical="bottom"/>
    </xf>
    <xf borderId="4" fillId="6" fontId="5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5" fillId="6" fontId="5" numFmtId="0" xfId="0" applyAlignment="1" applyBorder="1" applyFont="1">
      <alignment vertical="bottom"/>
    </xf>
    <xf borderId="5" fillId="6" fontId="5" numFmtId="0" xfId="0" applyAlignment="1" applyBorder="1" applyFont="1">
      <alignment horizontal="center" vertical="bottom"/>
    </xf>
    <xf borderId="5" fillId="6" fontId="5" numFmtId="9" xfId="0" applyAlignment="1" applyBorder="1" applyFont="1" applyNumberFormat="1">
      <alignment horizontal="center" vertical="bottom"/>
    </xf>
    <xf borderId="5" fillId="6" fontId="5" numFmtId="164" xfId="0" applyAlignment="1" applyBorder="1" applyFont="1" applyNumberFormat="1">
      <alignment horizontal="center" readingOrder="0" vertical="bottom"/>
    </xf>
    <xf borderId="5" fillId="0" fontId="5" numFmtId="9" xfId="0" applyAlignment="1" applyBorder="1" applyFont="1" applyNumberForma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164" xfId="0" applyAlignment="1" applyBorder="1" applyFont="1" applyNumberFormat="1">
      <alignment horizontal="center" readingOrder="0" vertical="bottom"/>
    </xf>
    <xf borderId="5" fillId="0" fontId="5" numFmtId="0" xfId="0" applyAlignment="1" applyBorder="1" applyFont="1">
      <alignment vertical="bottom"/>
    </xf>
    <xf borderId="5" fillId="0" fontId="8" numFmtId="0" xfId="0" applyAlignment="1" applyBorder="1" applyFont="1">
      <alignment horizontal="center" vertical="bottom"/>
    </xf>
    <xf borderId="5" fillId="7" fontId="6" numFmtId="0" xfId="0" applyAlignment="1" applyBorder="1" applyFont="1">
      <alignment vertical="bottom"/>
    </xf>
    <xf borderId="6" fillId="6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6" fontId="5" numFmtId="0" xfId="0" applyAlignment="1" applyBorder="1" applyFont="1">
      <alignment vertical="bottom"/>
    </xf>
    <xf borderId="5" fillId="7" fontId="6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628650</xdr:colOff>
      <xdr:row>3</xdr:row>
      <xdr:rowOff>114300</xdr:rowOff>
    </xdr:from>
    <xdr:ext cx="6562725" cy="1895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articulo.mercadolibre.cl/MLC-2943498966-kativa-hyaluronic-shampoo-hidratacion-profunda-vegano-pelo-_JM" TargetMode="External"/><Relationship Id="rId194" Type="http://schemas.openxmlformats.org/officeDocument/2006/relationships/hyperlink" Target="https://articulo.mercadolibre.cl/MLC-2943110254-acondicionador-kativa-reconstruccion-coconut-x355ml-_JM" TargetMode="External"/><Relationship Id="rId193" Type="http://schemas.openxmlformats.org/officeDocument/2006/relationships/hyperlink" Target="https://articulo.mercadolibre.cl/MLC-2943199608-preservativo-orgazmax-con-textura-retardante-3-und-_JM" TargetMode="External"/><Relationship Id="rId192" Type="http://schemas.openxmlformats.org/officeDocument/2006/relationships/hyperlink" Target="https://articulo.mercadolibre.cl/MLC-2943201012-toallitas-compactadas-organyc-baby-care-algodon-100-organico-60-unidades-_JM" TargetMode="External"/><Relationship Id="rId191" Type="http://schemas.openxmlformats.org/officeDocument/2006/relationships/hyperlink" Target="https://articulo.mercadolibre.cl/MLC-2943251496-endulzante-tableta-naturalist-stevia-y-sucralosa-900-un-_JM" TargetMode="External"/><Relationship Id="rId187" Type="http://schemas.openxmlformats.org/officeDocument/2006/relationships/hyperlink" Target="https://articulo.mercadolibre.cl/MLC-2943784068-kativa-hyaluronic-acondicionador-hidratacion-profunda-vegano-_JM" TargetMode="External"/><Relationship Id="rId186" Type="http://schemas.openxmlformats.org/officeDocument/2006/relationships/hyperlink" Target="https://articulo.mercadolibre.cl/MLC-2938085790-golden-milk-200-gr-blends-tea-_JM" TargetMode="External"/><Relationship Id="rId185" Type="http://schemas.openxmlformats.org/officeDocument/2006/relationships/hyperlink" Target="https://articulo.mercadolibre.cl/MLC-2937484970-crema-antirozaduras-50-ml-mustela-bebe-vitamina-_JM" TargetMode="External"/><Relationship Id="rId184" Type="http://schemas.openxmlformats.org/officeDocument/2006/relationships/hyperlink" Target="https://articulo.mercadolibre.cl/MLC-2936400616-endulzante-liquido-naturalist-stevia-y-sucralosa-450-ml-_JM" TargetMode="External"/><Relationship Id="rId189" Type="http://schemas.openxmlformats.org/officeDocument/2006/relationships/hyperlink" Target="https://articulo.mercadolibre.cl/MLC-2943577026-power-bank-hoco-j101b-30000-mah-225w-fast-charge-color-neg-negro-_JM" TargetMode="External"/><Relationship Id="rId188" Type="http://schemas.openxmlformats.org/officeDocument/2006/relationships/hyperlink" Target="https://articulo.mercadolibre.cl/MLC-2943641728-audifonos-para-iphone-lightning-con-microfono-hoco-color-blanco-luz-blanco-_JM" TargetMode="External"/><Relationship Id="rId183" Type="http://schemas.openxmlformats.org/officeDocument/2006/relationships/hyperlink" Target="https://articulo.mercadolibre.cl/MLC-1632040883-bioplus-probioticos-multivitaminico-tab-efervescentes-x-20-_JM" TargetMode="External"/><Relationship Id="rId182" Type="http://schemas.openxmlformats.org/officeDocument/2006/relationships/hyperlink" Target="https://articulo.mercadolibre.cl/MLC-1632071979-aceite-tratamiento-kativa-keratina-60-ml-_JM" TargetMode="External"/><Relationship Id="rId181" Type="http://schemas.openxmlformats.org/officeDocument/2006/relationships/hyperlink" Target="https://articulo.mercadolibre.cl/MLC-1632201247-kativa-coconut-oil-serum-reparador-brillo-pelo-danado-x-60ml-_JM" TargetMode="External"/><Relationship Id="rId180" Type="http://schemas.openxmlformats.org/officeDocument/2006/relationships/hyperlink" Target="https://articulo.mercadolibre.cl/MLC-2934865086-vitamina-c-1000-mg-efervescente-20-tabletas-german-energy-sa-naranja-_JM" TargetMode="External"/><Relationship Id="rId176" Type="http://schemas.openxmlformats.org/officeDocument/2006/relationships/hyperlink" Target="https://articulo.mercadolibre.cl/MLC-2934968888-vitamina-c-zinc-efervescente-x-20-german-energy-sabor-nara-naranja-_JM" TargetMode="External"/><Relationship Id="rId297" Type="http://schemas.openxmlformats.org/officeDocument/2006/relationships/hyperlink" Target="https://articulo.mercadolibre.cl/MLC-3117115248-te-blanco-manzana-y-frutilla-100g-recarga-blends-and-tea-_JM" TargetMode="External"/><Relationship Id="rId175" Type="http://schemas.openxmlformats.org/officeDocument/2006/relationships/hyperlink" Target="https://articulo.mercadolibre.cl/MLC-2935063826-lustra-mueble-liquido-frosch-aseo-ecologico-_JM" TargetMode="External"/><Relationship Id="rId296" Type="http://schemas.openxmlformats.org/officeDocument/2006/relationships/hyperlink" Target="https://articulo.mercadolibre.cl/MLC-3117141510-te-fucsia-100g-blends-and-tea-_JM" TargetMode="External"/><Relationship Id="rId174" Type="http://schemas.openxmlformats.org/officeDocument/2006/relationships/hyperlink" Target="https://articulo.mercadolibre.cl/MLC-1626756093-vitamina-c-pura-premium-3-meses-linea-premium-vegana-sabor-sin-sabor-_JM" TargetMode="External"/><Relationship Id="rId295" Type="http://schemas.openxmlformats.org/officeDocument/2006/relationships/hyperlink" Target="https://articulo.mercadolibre.cl/MLC-1687893833-infusion-sirio-dulces-suenos-100g-blends-and-tea-_JM" TargetMode="External"/><Relationship Id="rId173" Type="http://schemas.openxmlformats.org/officeDocument/2006/relationships/hyperlink" Target="https://articulo.mercadolibre.cl/MLC-2914842624-bateria-externa-power-bank-10000-mah-225w-powerdelivery-master-g-color-azul-_JM" TargetMode="External"/><Relationship Id="rId294" Type="http://schemas.openxmlformats.org/officeDocument/2006/relationships/hyperlink" Target="https://articulo.mercadolibre.cl/MLC-1687932313-matcha-blue-50g-recarga-blends-and-tea-_JM" TargetMode="External"/><Relationship Id="rId179" Type="http://schemas.openxmlformats.org/officeDocument/2006/relationships/hyperlink" Target="https://articulo.mercadolibre.cl/MLC-2934865872-charqui-de-wagyu-la-loberia-40-grs-charqui-de-wayu-_JM" TargetMode="External"/><Relationship Id="rId178" Type="http://schemas.openxmlformats.org/officeDocument/2006/relationships/hyperlink" Target="https://articulo.mercadolibre.cl/MLC-2934878026-multivitaminas-biotina-efervescente-german-energy-x-3-unid-sabor-naranja-_JM" TargetMode="External"/><Relationship Id="rId299" Type="http://schemas.openxmlformats.org/officeDocument/2006/relationships/hyperlink" Target="https://articulo.mercadolibre.cl/MLC-3117050472-te-blanco-manzana-y-frutilla-50g-blends-and-tea-_JM" TargetMode="External"/><Relationship Id="rId177" Type="http://schemas.openxmlformats.org/officeDocument/2006/relationships/hyperlink" Target="https://articulo.mercadolibre.cl/MLC-2934878074-pre-entreno-xtreme-boost-tubo-20-tabletas-sabor-guarana-_JM" TargetMode="External"/><Relationship Id="rId298" Type="http://schemas.openxmlformats.org/officeDocument/2006/relationships/hyperlink" Target="https://articulo.mercadolibre.cl/MLC-3117051682-te-fucsia-100g-recarga-blends-and-tea-_JM" TargetMode="External"/><Relationship Id="rId198" Type="http://schemas.openxmlformats.org/officeDocument/2006/relationships/hyperlink" Target="https://articulo.mercadolibre.cl/MLC-2942381276-lifestyles-preservativos-studded-rough-rider-x-21-_JM" TargetMode="External"/><Relationship Id="rId197" Type="http://schemas.openxmlformats.org/officeDocument/2006/relationships/hyperlink" Target="https://articulo.mercadolibre.cl/MLC-2942382684-kativa-crema-coconut-300ml-ml-_JM" TargetMode="External"/><Relationship Id="rId196" Type="http://schemas.openxmlformats.org/officeDocument/2006/relationships/hyperlink" Target="https://articulo.mercadolibre.cl/MLC-2942394228-preservativos-condones-lifestyles-x15un-skyn-feel-sin-latex-_JM" TargetMode="External"/><Relationship Id="rId195" Type="http://schemas.openxmlformats.org/officeDocument/2006/relationships/hyperlink" Target="https://articulo.mercadolibre.cl/MLC-2942407268-endulzante-liquido-naturalist-stevia-y-sucralosa-270-ml-_JM" TargetMode="External"/><Relationship Id="rId199" Type="http://schemas.openxmlformats.org/officeDocument/2006/relationships/hyperlink" Target="https://articulo.mercadolibre.cl/MLC-2942355276-gel-hidratante-clinic-acido-hialuronico-bentley-50gr-neutro-_JM" TargetMode="External"/><Relationship Id="rId150" Type="http://schemas.openxmlformats.org/officeDocument/2006/relationships/hyperlink" Target="https://articulo.mercadolibre.cl/MLC-2906155236-telefono-senior-mlab-9204-shell-4g-sos-28-pulgadas-negro-_JM" TargetMode="External"/><Relationship Id="rId271" Type="http://schemas.openxmlformats.org/officeDocument/2006/relationships/hyperlink" Target="https://articulo.mercadolibre.cl/MLC-3114563012-hibisco-sueno-profundo-100g-blends-and-tea-_JM" TargetMode="External"/><Relationship Id="rId392" Type="http://schemas.openxmlformats.org/officeDocument/2006/relationships/hyperlink" Target="https://articulo.mercadolibre.cl/MLC-3215474142-tetera-de-navidad-decorativa-de-ceramica-700ml-rojo-_JM" TargetMode="External"/><Relationship Id="rId270" Type="http://schemas.openxmlformats.org/officeDocument/2006/relationships/hyperlink" Target="https://articulo.mercadolibre.cl/MLC-3114576206-indigo-estrella-nocturna-60g-blends-and-tea-_JM" TargetMode="External"/><Relationship Id="rId391" Type="http://schemas.openxmlformats.org/officeDocument/2006/relationships/hyperlink" Target="https://articulo.mercadolibre.cl/MLC-3215511730-plato-de-navidad-decorativo-de-ceramica-grande-315cm-rojo-viejo-pascuero-_JM" TargetMode="External"/><Relationship Id="rId390" Type="http://schemas.openxmlformats.org/officeDocument/2006/relationships/hyperlink" Target="https://articulo.mercadolibre.cl/MLC-3215511822-bandeja-rectangular-de-navidad-decorativa-de-ceramica-33cm-rojo-_JM" TargetMode="External"/><Relationship Id="rId1" Type="http://schemas.openxmlformats.org/officeDocument/2006/relationships/hyperlink" Target="https://articulo.mercadolibre.cl/MLC-2853724594-espejo-para-maquillaje-espejo-doble-de-mesa-con-aumento-36cm-_JM" TargetMode="External"/><Relationship Id="rId2" Type="http://schemas.openxmlformats.org/officeDocument/2006/relationships/hyperlink" Target="https://articulo.mercadolibre.cl/MLC-1604270301-organizador-y-separador-de-cubiertos-_JM" TargetMode="External"/><Relationship Id="rId3" Type="http://schemas.openxmlformats.org/officeDocument/2006/relationships/hyperlink" Target="https://articulo.mercadolibre.cl/MLC-1582676309-tabla-planchar-tabla-de-planchar-metal-y-tela-110-cm-mangas-al-azar-multicolor-_JM" TargetMode="External"/><Relationship Id="rId149" Type="http://schemas.openxmlformats.org/officeDocument/2006/relationships/hyperlink" Target="https://articulo.mercadolibre.cl/MLC-2906181506-auriculares-inalambricos-hoco-w35-air-45hrs-long-usage-time-azul-acero-_JM" TargetMode="External"/><Relationship Id="rId4" Type="http://schemas.openxmlformats.org/officeDocument/2006/relationships/hyperlink" Target="https://articulo.mercadolibre.cl/MLC-1582663459-organizador-verdulero-frutero-3-niveles-metalico-inoxidable-plateado-_JM" TargetMode="External"/><Relationship Id="rId148" Type="http://schemas.openxmlformats.org/officeDocument/2006/relationships/hyperlink" Target="https://articulo.mercadolibre.cl/MLC-2906248372-golden-milk-100-gr-blends-tea-_JM" TargetMode="External"/><Relationship Id="rId269" Type="http://schemas.openxmlformats.org/officeDocument/2006/relationships/hyperlink" Target="https://articulo.mercadolibre.cl/MLC-3114588654-infusion-azul-relajante-150g-blends-and-tea-_JM" TargetMode="External"/><Relationship Id="rId9" Type="http://schemas.openxmlformats.org/officeDocument/2006/relationships/hyperlink" Target="https://articulo.mercadolibre.cl/MLC-3092101060-pack-6-piso-deportivo-modular-goma-eva-60x60x1-cm-fitness-blanco-blanco-industrial-_JM" TargetMode="External"/><Relationship Id="rId143" Type="http://schemas.openxmlformats.org/officeDocument/2006/relationships/hyperlink" Target="https://articulo.mercadolibre.cl/MLC-2905644946-b-complex-b1-b2-b3-b5-b6-b9-b12-biotina-60-capsulas-sabor-ne-neutro-_JM" TargetMode="External"/><Relationship Id="rId264" Type="http://schemas.openxmlformats.org/officeDocument/2006/relationships/hyperlink" Target="https://articulo.mercadolibre.cl/MLC-3114640314-pink-detox-50g-blends-and-tea-_JM" TargetMode="External"/><Relationship Id="rId385" Type="http://schemas.openxmlformats.org/officeDocument/2006/relationships/hyperlink" Target="https://articulo.mercadolibre.cl/MLC-3195894838-freidora-de-aire-th-af60mi-color-plateado-acero-inoxidable-_JM" TargetMode="External"/><Relationship Id="rId142" Type="http://schemas.openxmlformats.org/officeDocument/2006/relationships/hyperlink" Target="https://articulo.mercadolibre.cl/MLC-2902130004-vitaminas-y-minerales-veganas-60-cap-strive-vegan-essentials-sin-sabor-_JM" TargetMode="External"/><Relationship Id="rId263" Type="http://schemas.openxmlformats.org/officeDocument/2006/relationships/hyperlink" Target="https://articulo.mercadolibre.cl/MLC-1686939469-pack-4-barras-de-proteina-twenty-chocolate-brownie-_JM" TargetMode="External"/><Relationship Id="rId384" Type="http://schemas.openxmlformats.org/officeDocument/2006/relationships/hyperlink" Target="https://articulo.mercadolibre.cl/MLC-3195907650-hervidor-thomas-th-4515n-2-litros-negroplateado-_JM" TargetMode="External"/><Relationship Id="rId141" Type="http://schemas.openxmlformats.org/officeDocument/2006/relationships/hyperlink" Target="https://articulo.mercadolibre.cl/MLC-2902155492-cafeina-en-polvo-vitamina-b6-62-porciones-strive-sin-sabor-_JM" TargetMode="External"/><Relationship Id="rId262" Type="http://schemas.openxmlformats.org/officeDocument/2006/relationships/hyperlink" Target="https://articulo.mercadolibre.cl/MLC-1686952543-box-4-barras-twentys-lemon-cheesecake-your-goal-_JM" TargetMode="External"/><Relationship Id="rId383" Type="http://schemas.openxmlformats.org/officeDocument/2006/relationships/hyperlink" Target="https://articulo.mercadolibre.cl/MLC-3195946546-secador-de-pelo-siegen-sg-3035-color-negro-_JM" TargetMode="External"/><Relationship Id="rId140" Type="http://schemas.openxmlformats.org/officeDocument/2006/relationships/hyperlink" Target="https://articulo.mercadolibre.cl/MLC-2902194028-omega-3-epa-800-dha-400-60-cap-strive-sin-sabor-_JM" TargetMode="External"/><Relationship Id="rId261" Type="http://schemas.openxmlformats.org/officeDocument/2006/relationships/hyperlink" Target="https://articulo.mercadolibre.cl/MLC-1686965677-box-4-barras-twentys-chocolate-fudge-your-goal-_JM" TargetMode="External"/><Relationship Id="rId382" Type="http://schemas.openxmlformats.org/officeDocument/2006/relationships/hyperlink" Target="https://articulo.mercadolibre.cl/MLC-3195946972-secador-de-pelo-siegen-sg-3049c01-color-fucsia-_JM" TargetMode="External"/><Relationship Id="rId5" Type="http://schemas.openxmlformats.org/officeDocument/2006/relationships/hyperlink" Target="https://articulo.mercadolibre.cl/MLC-1582589593-fuente-pileta-cascada-de-agua-jesus-grande-39-cm-con-luz-gris-_JM" TargetMode="External"/><Relationship Id="rId147" Type="http://schemas.openxmlformats.org/officeDocument/2006/relationships/hyperlink" Target="https://articulo.mercadolibre.cl/MLC-2906268046-power-bank-hoco-10000mah-225w-cargador-carga-rapida-negro-negro-_JM" TargetMode="External"/><Relationship Id="rId268" Type="http://schemas.openxmlformats.org/officeDocument/2006/relationships/hyperlink" Target="https://articulo.mercadolibre.cl/MLC-3114588972-purpura-detox-100g-blends-and-tea-_JM" TargetMode="External"/><Relationship Id="rId389" Type="http://schemas.openxmlformats.org/officeDocument/2006/relationships/hyperlink" Target="https://articulo.mercadolibre.cl/MLC-3210459358-bandeja-de-desayuno-madera-plegable-portavasos-cama-notebook-marron-_JM" TargetMode="External"/><Relationship Id="rId6" Type="http://schemas.openxmlformats.org/officeDocument/2006/relationships/hyperlink" Target="https://articulo.mercadolibre.cl/MLC-1582563757-fuente-pileta-cascada-de-agua-querubin-con-luz-grande-28cm-gris-_JM" TargetMode="External"/><Relationship Id="rId146" Type="http://schemas.openxmlformats.org/officeDocument/2006/relationships/hyperlink" Target="https://articulo.mercadolibre.cl/MLC-2906271834-pack-8-puffs-kuna-foods-10g-mix-4-sabores-2-cu-sin-gluten-_JM" TargetMode="External"/><Relationship Id="rId267" Type="http://schemas.openxmlformats.org/officeDocument/2006/relationships/hyperlink" Target="https://articulo.mercadolibre.cl/MLC-3114601822-infusion-azul-relajante-50g-_JM" TargetMode="External"/><Relationship Id="rId388" Type="http://schemas.openxmlformats.org/officeDocument/2006/relationships/hyperlink" Target="https://articulo.mercadolibre.cl/MLC-1716836157-separador-de-servicios-organizador-de-servicios-o-cubiertos-blanco-_JM" TargetMode="External"/><Relationship Id="rId7" Type="http://schemas.openxmlformats.org/officeDocument/2006/relationships/hyperlink" Target="https://articulo.mercadolibre.cl/MLC-1582563657-pack-4-vasos-con-bombilla-y-tapa-600-ml-vidrio-shopero-600ml-multicolor-_JM" TargetMode="External"/><Relationship Id="rId145" Type="http://schemas.openxmlformats.org/officeDocument/2006/relationships/hyperlink" Target="https://articulo.mercadolibre.cl/MLC-2906301858-goldenmilk-tradicional-240-g-alma-golden-food-leche-dorada-_JM" TargetMode="External"/><Relationship Id="rId266" Type="http://schemas.openxmlformats.org/officeDocument/2006/relationships/hyperlink" Target="https://articulo.mercadolibre.cl/MLC-3114603244-rooibos-relax-150g-blends-and-tea-_JM" TargetMode="External"/><Relationship Id="rId387" Type="http://schemas.openxmlformats.org/officeDocument/2006/relationships/hyperlink" Target="https://articulo.mercadolibre.cl/MLC-1715850997-te-oolong-manzana-canela-150g-blends-and-tea-_JM" TargetMode="External"/><Relationship Id="rId8" Type="http://schemas.openxmlformats.org/officeDocument/2006/relationships/hyperlink" Target="https://articulo.mercadolibre.cl/MLC-1582511883-pack-6-platos-hondos-floreado-opal-templado-22cm-blanco-_JM" TargetMode="External"/><Relationship Id="rId144" Type="http://schemas.openxmlformats.org/officeDocument/2006/relationships/hyperlink" Target="https://articulo.mercadolibre.cl/MLC-2906348734-te-hibisco-detox-vitalidad-100-gr-blends-tea-_JM" TargetMode="External"/><Relationship Id="rId265" Type="http://schemas.openxmlformats.org/officeDocument/2006/relationships/hyperlink" Target="https://articulo.mercadolibre.cl/MLC-3114640244-indigo-estrella-nocturna-100g-blends-and-tea-_JM" TargetMode="External"/><Relationship Id="rId386" Type="http://schemas.openxmlformats.org/officeDocument/2006/relationships/hyperlink" Target="https://articulo.mercadolibre.cl/MLC-1716155885-horno-de-mesa-electrico-thomas-25litros-cocina-th-25n01-_JM" TargetMode="External"/><Relationship Id="rId260" Type="http://schemas.openxmlformats.org/officeDocument/2006/relationships/hyperlink" Target="https://articulo.mercadolibre.cl/MLC-1687055461-pack-4-barra-de-proteina-twenty-hazelnut-praline-yourgoal-_JM" TargetMode="External"/><Relationship Id="rId381" Type="http://schemas.openxmlformats.org/officeDocument/2006/relationships/hyperlink" Target="https://articulo.mercadolibre.cl/MLC-3195947074-alisador-siegen-sg-4751-placas-con-titanio-marron-_JM" TargetMode="External"/><Relationship Id="rId380" Type="http://schemas.openxmlformats.org/officeDocument/2006/relationships/hyperlink" Target="https://articulo.mercadolibre.cl/MLC-3195959602-aspiradora-thomas-th-1407-1400w-color-gris-gris-oscuronegro-_JM" TargetMode="External"/><Relationship Id="rId139" Type="http://schemas.openxmlformats.org/officeDocument/2006/relationships/hyperlink" Target="https://articulo.mercadolibre.cl/MLC-2902293504-vitamina-b12-vegana-60-capsulas-strive-nutrition-sin-sabor-_JM" TargetMode="External"/><Relationship Id="rId138" Type="http://schemas.openxmlformats.org/officeDocument/2006/relationships/hyperlink" Target="https://articulo.mercadolibre.cl/MLC-2902317794-strive-essentials-sport-vitaminas-y-minerales-60capsulas-sa-na-_JM" TargetMode="External"/><Relationship Id="rId259" Type="http://schemas.openxmlformats.org/officeDocument/2006/relationships/hyperlink" Target="https://articulo.mercadolibre.cl/MLC-3108109514-citrato-de-magensio-citrato-de-potasio-1-kilo-en-polvo-sab-propio-_JM" TargetMode="External"/><Relationship Id="rId137" Type="http://schemas.openxmlformats.org/officeDocument/2006/relationships/hyperlink" Target="https://articulo.mercadolibre.cl/MLC-2902317974-suplemento-alimenticio-adulto-mayor-essentials-50-60cap-sin-sabor-_JM" TargetMode="External"/><Relationship Id="rId258" Type="http://schemas.openxmlformats.org/officeDocument/2006/relationships/hyperlink" Target="https://articulo.mercadolibre.cl/MLC-1678034875-trimmer-siegen-sg-8011-2en-1-color-negro-_JM" TargetMode="External"/><Relationship Id="rId379" Type="http://schemas.openxmlformats.org/officeDocument/2006/relationships/hyperlink" Target="https://articulo.mercadolibre.cl/MLC-3195972344-licuadora-portatil-thomas-personal-blender-th-300pb-600-ml-inox-con-jarra-de-plastico-_JM" TargetMode="External"/><Relationship Id="rId132" Type="http://schemas.openxmlformats.org/officeDocument/2006/relationships/hyperlink" Target="https://articulo.mercadolibre.cl/MLC-2900961600-crema-aclarante-capilar-aclarante-para-cabello-ritzy-mash-sin-tono-_JM" TargetMode="External"/><Relationship Id="rId253" Type="http://schemas.openxmlformats.org/officeDocument/2006/relationships/hyperlink" Target="https://articulo.mercadolibre.cl/MLC-3086129984-batidora-electrica-thomas-th-910pr-color-rojo-rojo-_JM" TargetMode="External"/><Relationship Id="rId374" Type="http://schemas.openxmlformats.org/officeDocument/2006/relationships/hyperlink" Target="https://articulo.mercadolibre.cl/MLC-3195985646-multimixer-thomas-th-8725-color-blanco-_JM" TargetMode="External"/><Relationship Id="rId495" Type="http://schemas.openxmlformats.org/officeDocument/2006/relationships/hyperlink" Target="https://articulo.mercadolibre.cl/MLC-3355829718-bombonera-navidena-viejo-pascuero-osito-45-litros-ceramica-rojo-_JM" TargetMode="External"/><Relationship Id="rId131" Type="http://schemas.openxmlformats.org/officeDocument/2006/relationships/hyperlink" Target="https://articulo.mercadolibre.cl/MLC-2900071446-d-manosa-cranberry-probioticos-90-capsulas-ortomolecular-_JM" TargetMode="External"/><Relationship Id="rId252" Type="http://schemas.openxmlformats.org/officeDocument/2006/relationships/hyperlink" Target="https://articulo.mercadolibre.cl/MLC-3067307584-kativa-shampoo-keratina-nutricion-suavidad-y-brillo-355ml-_JM" TargetMode="External"/><Relationship Id="rId373" Type="http://schemas.openxmlformats.org/officeDocument/2006/relationships/hyperlink" Target="https://articulo.mercadolibre.cl/MLC-3195998306-microondas-thomas-th-20s01-manual-20-litros-_JM" TargetMode="External"/><Relationship Id="rId494" Type="http://schemas.openxmlformats.org/officeDocument/2006/relationships/hyperlink" Target="https://articulo.mercadolibre.cl/MLC-3355918292-pocillo-navideno-viejito-pascuero-12cm-ceramica-navidad-rojo-_JM" TargetMode="External"/><Relationship Id="rId130" Type="http://schemas.openxmlformats.org/officeDocument/2006/relationships/hyperlink" Target="https://articulo.mercadolibre.cl/MLC-2900097404-ultra-magnesio-triple-60-capsulas-ortomolecular-chile-_JM" TargetMode="External"/><Relationship Id="rId251" Type="http://schemas.openxmlformats.org/officeDocument/2006/relationships/hyperlink" Target="https://articulo.mercadolibre.cl/MLC-3067320464-curl-activator-cream-x240ml-ml-_JM" TargetMode="External"/><Relationship Id="rId372" Type="http://schemas.openxmlformats.org/officeDocument/2006/relationships/hyperlink" Target="https://articulo.mercadolibre.cl/MLC-3196011656-alisador-siegen-sg-4651-placas-con-titanio-_JM" TargetMode="External"/><Relationship Id="rId493" Type="http://schemas.openxmlformats.org/officeDocument/2006/relationships/hyperlink" Target="https://articulo.mercadolibre.cl/MLC-3355994114-bandeja-triple-navidena-viejo-pascuero-38cm-navidad-ceramica-rojo-_JM" TargetMode="External"/><Relationship Id="rId250" Type="http://schemas.openxmlformats.org/officeDocument/2006/relationships/hyperlink" Target="https://articulo.mercadolibre.cl/MLC-3067333060-shampoo-kativa-curly-plex-355-ml-_JM" TargetMode="External"/><Relationship Id="rId371" Type="http://schemas.openxmlformats.org/officeDocument/2006/relationships/hyperlink" Target="https://articulo.mercadolibre.cl/MLC-3196037030-aspiradora-de-tacho-thomas-junior-th-1516-16l-_JM" TargetMode="External"/><Relationship Id="rId492" Type="http://schemas.openxmlformats.org/officeDocument/2006/relationships/hyperlink" Target="https://articulo.mercadolibre.cl/MLC-3355995388-pocillo-navideno-de-ceramica-viejo-pascuero-4-rojo-_JM" TargetMode="External"/><Relationship Id="rId136" Type="http://schemas.openxmlformats.org/officeDocument/2006/relationships/hyperlink" Target="https://articulo.mercadolibre.cl/MLC-1617050221-mustela-hydra-bebe-leche-hidratante-corporal-300ml-_JM" TargetMode="External"/><Relationship Id="rId257" Type="http://schemas.openxmlformats.org/officeDocument/2006/relationships/hyperlink" Target="https://articulo.mercadolibre.cl/MLC-1678111779-ondulador-siegen-sg-2420-cilindro-33mm-color-negro-negro-_JM" TargetMode="External"/><Relationship Id="rId378" Type="http://schemas.openxmlformats.org/officeDocument/2006/relationships/hyperlink" Target="https://articulo.mercadolibre.cl/MLC-3195972448-horno-electrico-thomas-th-100i-100-litros-color-plateado-_JM" TargetMode="External"/><Relationship Id="rId499" Type="http://schemas.openxmlformats.org/officeDocument/2006/relationships/hyperlink" Target="https://articulo.mercadolibre.cl/MLC-1765090943-frasco-de-almacenaje-navideno-viejo-pascuero-ceramica-rojo-_JM" TargetMode="External"/><Relationship Id="rId135" Type="http://schemas.openxmlformats.org/officeDocument/2006/relationships/hyperlink" Target="https://articulo.mercadolibre.cl/MLC-1617088743-breathe-right-tiras-nasales-anti-ronquido-piel-normal-10u-_JM" TargetMode="External"/><Relationship Id="rId256" Type="http://schemas.openxmlformats.org/officeDocument/2006/relationships/hyperlink" Target="https://articulo.mercadolibre.cl/MLC-1678124523-secador-de-pelo-siegen-sg-3005-pocket-color-negro-_JM" TargetMode="External"/><Relationship Id="rId377" Type="http://schemas.openxmlformats.org/officeDocument/2006/relationships/hyperlink" Target="https://articulo.mercadolibre.cl/MLC-3195985306-alisador-siegen-sg-3540-ceramica-tourmalina-purpura-_JM" TargetMode="External"/><Relationship Id="rId498" Type="http://schemas.openxmlformats.org/officeDocument/2006/relationships/hyperlink" Target="https://articulo.mercadolibre.cl/MLC-1765091121-lechero-navideno-viejito-pascuero-ceramica-navidad-rojo-_JM" TargetMode="External"/><Relationship Id="rId134" Type="http://schemas.openxmlformats.org/officeDocument/2006/relationships/hyperlink" Target="https://articulo.mercadolibre.cl/MLC-1617117683-fungi-pharma-extracto-de-hongo-melena-de-leon-adaptogeno-30-ml-_JM" TargetMode="External"/><Relationship Id="rId255" Type="http://schemas.openxmlformats.org/officeDocument/2006/relationships/hyperlink" Target="https://articulo.mercadolibre.cl/MLC-1678226311-alisador-siegen-sg-b4758-vapor-ultrasonico-luz-infrarroja-blanco-_JM" TargetMode="External"/><Relationship Id="rId376" Type="http://schemas.openxmlformats.org/officeDocument/2006/relationships/hyperlink" Target="https://articulo.mercadolibre.cl/MLC-3195985562-parrilla-electrica-thomas-th-224-1650w-color-negro-_JM" TargetMode="External"/><Relationship Id="rId497" Type="http://schemas.openxmlformats.org/officeDocument/2006/relationships/hyperlink" Target="https://articulo.mercadolibre.cl/MLC-1765092081-pocillo-triple-navideno-viejo-pascuero-300-ml-ceramica-rojo-_JM" TargetMode="External"/><Relationship Id="rId133" Type="http://schemas.openxmlformats.org/officeDocument/2006/relationships/hyperlink" Target="https://articulo.mercadolibre.cl/MLC-1617148621-fungi-pharma-extracto-de-hongo-reishi-antioxidante-potente-30-ml-_JM" TargetMode="External"/><Relationship Id="rId254" Type="http://schemas.openxmlformats.org/officeDocument/2006/relationships/hyperlink" Target="https://articulo.mercadolibre.cl/MLC-3086129970-batidora-pedestal-planetaria-th-911b-color-blanco-blanco-_JM" TargetMode="External"/><Relationship Id="rId375" Type="http://schemas.openxmlformats.org/officeDocument/2006/relationships/hyperlink" Target="https://articulo.mercadolibre.cl/MLC-3195985586-aspiradora-trineo-thomas-th-1415-3l-blanca-50hz60hz-blanco-_JM" TargetMode="External"/><Relationship Id="rId496" Type="http://schemas.openxmlformats.org/officeDocument/2006/relationships/hyperlink" Target="https://articulo.mercadolibre.cl/MLC-1765104441-bombonera-navidena-viejo-pascuero-ceramica-7-rojo-_JM" TargetMode="External"/><Relationship Id="rId172" Type="http://schemas.openxmlformats.org/officeDocument/2006/relationships/hyperlink" Target="https://articulo.mercadolibre.cl/MLC-2914955196-extensor-de-alcance-wi-fi-xiaomi-mi-pro-repetidor-cn-r03-neg-_JM" TargetMode="External"/><Relationship Id="rId293" Type="http://schemas.openxmlformats.org/officeDocument/2006/relationships/hyperlink" Target="https://articulo.mercadolibre.cl/MLC-1687962995-te-blanco-chai-50g-blends-and-tea-_JM" TargetMode="External"/><Relationship Id="rId171" Type="http://schemas.openxmlformats.org/officeDocument/2006/relationships/hyperlink" Target="https://articulo.mercadolibre.cl/MLC-2915031158-bateria-externa-power-bank-20000-mah-225w-pd-master-g-_JM" TargetMode="External"/><Relationship Id="rId292" Type="http://schemas.openxmlformats.org/officeDocument/2006/relationships/hyperlink" Target="https://articulo.mercadolibre.cl/MLC-1687989255-te-blanco-chai-100g-recarga-blends-and-tea-_JM" TargetMode="External"/><Relationship Id="rId170" Type="http://schemas.openxmlformats.org/officeDocument/2006/relationships/hyperlink" Target="https://articulo.mercadolibre.cl/MLC-2915043526-audifonos-inalambricos-con-funda-de-gato-hoco-ew45-negro-_JM" TargetMode="External"/><Relationship Id="rId291" Type="http://schemas.openxmlformats.org/officeDocument/2006/relationships/hyperlink" Target="https://articulo.mercadolibre.cl/MLC-1688053665-te-blanco-chai-100g-blends-and-tea-_JM" TargetMode="External"/><Relationship Id="rId290" Type="http://schemas.openxmlformats.org/officeDocument/2006/relationships/hyperlink" Target="https://articulo.mercadolibre.cl/MLC-1688079279-te-blanco-chai-150g-blends-and-tea-_JM" TargetMode="External"/><Relationship Id="rId165" Type="http://schemas.openxmlformats.org/officeDocument/2006/relationships/hyperlink" Target="https://articulo.mercadolibre.cl/MLC-1623120763-just-for-men-control-gradual-negro-t-55-moreno-negro-_JM" TargetMode="External"/><Relationship Id="rId286" Type="http://schemas.openxmlformats.org/officeDocument/2006/relationships/hyperlink" Target="https://articulo.mercadolibre.cl/MLC-3114472532-hibisco-sueno-profundo-100g-recarga-blends-and-tea-_JM" TargetMode="External"/><Relationship Id="rId164" Type="http://schemas.openxmlformats.org/officeDocument/2006/relationships/hyperlink" Target="https://articulo.mercadolibre.cl/MLC-1623120909-kit-tratamiento-reconstruccion-capilar-kativa-total-plex-_JM" TargetMode="External"/><Relationship Id="rId285" Type="http://schemas.openxmlformats.org/officeDocument/2006/relationships/hyperlink" Target="https://articulo.mercadolibre.cl/MLC-3114472620-indigo-estrella-nocturna-35g-recarga-blends-and-tea-_JM" TargetMode="External"/><Relationship Id="rId163" Type="http://schemas.openxmlformats.org/officeDocument/2006/relationships/hyperlink" Target="https://articulo.mercadolibre.cl/MLC-1623120955-dermo-vagisil-jabon-liquido-odor-block-354ml-_JM" TargetMode="External"/><Relationship Id="rId284" Type="http://schemas.openxmlformats.org/officeDocument/2006/relationships/hyperlink" Target="https://articulo.mercadolibre.cl/MLC-3114473772-rooibos-relax-100g-recarga-blends-and-tea-_JM" TargetMode="External"/><Relationship Id="rId162" Type="http://schemas.openxmlformats.org/officeDocument/2006/relationships/hyperlink" Target="https://articulo.mercadolibre.cl/MLC-1623133639-mustela-shampoo-suave-200-ml-_JM" TargetMode="External"/><Relationship Id="rId283" Type="http://schemas.openxmlformats.org/officeDocument/2006/relationships/hyperlink" Target="https://articulo.mercadolibre.cl/MLC-3114485416-infusion-armonia-fase-menstrual-150g-blends-and-tea-_JM" TargetMode="External"/><Relationship Id="rId169" Type="http://schemas.openxmlformats.org/officeDocument/2006/relationships/hyperlink" Target="https://articulo.mercadolibre.cl/MLC-2915327008-preservativo-sin-latex-lifestyles-skyn-large-3-unidades-_JM" TargetMode="External"/><Relationship Id="rId168" Type="http://schemas.openxmlformats.org/officeDocument/2006/relationships/hyperlink" Target="https://articulo.mercadolibre.cl/MLC-1622955543-limpiador-anti-grasa-frosch-pomelo-500ml-_JM" TargetMode="External"/><Relationship Id="rId289" Type="http://schemas.openxmlformats.org/officeDocument/2006/relationships/hyperlink" Target="https://articulo.mercadolibre.cl/MLC-3114447200-infusion-armonia-fase-menstrual-50g-blends-and-tea-_JM" TargetMode="External"/><Relationship Id="rId167" Type="http://schemas.openxmlformats.org/officeDocument/2006/relationships/hyperlink" Target="https://articulo.mercadolibre.cl/MLC-1623095101-protectores-diarios-organyc-organica-con-envoltorio-regular-24u-_JM" TargetMode="External"/><Relationship Id="rId288" Type="http://schemas.openxmlformats.org/officeDocument/2006/relationships/hyperlink" Target="https://articulo.mercadolibre.cl/MLC-3114472312-infusion-armonia-fase-menstrual-100g-recarga-_JM" TargetMode="External"/><Relationship Id="rId166" Type="http://schemas.openxmlformats.org/officeDocument/2006/relationships/hyperlink" Target="https://articulo.mercadolibre.cl/MLC-1623108121-mustela-agua-limpiadora-en-seco-300-ml-_JM" TargetMode="External"/><Relationship Id="rId287" Type="http://schemas.openxmlformats.org/officeDocument/2006/relationships/hyperlink" Target="https://articulo.mercadolibre.cl/MLC-3114472506-hibisco-sueno-profundo-50g-blends-and-tea-_JM" TargetMode="External"/><Relationship Id="rId161" Type="http://schemas.openxmlformats.org/officeDocument/2006/relationships/hyperlink" Target="https://articulo.mercadolibre.cl/MLC-1623137477-citrato-de-magnesio-puro-en-polvo-x-300-gramos-sabor-sin-sa-sin-sabor-_JM" TargetMode="External"/><Relationship Id="rId282" Type="http://schemas.openxmlformats.org/officeDocument/2006/relationships/hyperlink" Target="https://articulo.mercadolibre.cl/MLC-3114486880-rooibos-relax-100g-blends-and-tea-_JM" TargetMode="External"/><Relationship Id="rId160" Type="http://schemas.openxmlformats.org/officeDocument/2006/relationships/hyperlink" Target="https://articulo.mercadolibre.cl/MLC-1623167023-creatina-monohidrato-pura-1-k-zeo-sport-200-mesh-premium-sabor-sin-sabor-_JM" TargetMode="External"/><Relationship Id="rId281" Type="http://schemas.openxmlformats.org/officeDocument/2006/relationships/hyperlink" Target="https://articulo.mercadolibre.cl/MLC-3114486934-infusion-sirio-dulces-suenos-60g-blends-and-tea-_JM" TargetMode="External"/><Relationship Id="rId280" Type="http://schemas.openxmlformats.org/officeDocument/2006/relationships/hyperlink" Target="https://articulo.mercadolibre.cl/MLC-3114486952-infusion-sirio-dulces-suenos-35g-recarga-blends-and-tea-_JM" TargetMode="External"/><Relationship Id="rId159" Type="http://schemas.openxmlformats.org/officeDocument/2006/relationships/hyperlink" Target="https://articulo.mercadolibre.cl/MLC-2908930024-protector-termico-12-beneficios-brillo-reparacion-kativa-cvl-_JM" TargetMode="External"/><Relationship Id="rId154" Type="http://schemas.openxmlformats.org/officeDocument/2006/relationships/hyperlink" Target="https://articulo.mercadolibre.cl/MLC-2908976794-pack-citrato-de-magnesio-cit-potasio-polvo-300-grs-sabor-sin-sabor-_JM" TargetMode="External"/><Relationship Id="rId275" Type="http://schemas.openxmlformats.org/officeDocument/2006/relationships/hyperlink" Target="https://articulo.mercadolibre.cl/MLC-3114537386-purpura-detox-150g-blends-and-tea-_JM" TargetMode="External"/><Relationship Id="rId396" Type="http://schemas.openxmlformats.org/officeDocument/2006/relationships/hyperlink" Target="https://articulo.mercadolibre.cl/MLC-3215037224-servilletero-de-navidad-decorativo-de-ceramica-115cm-rojo-_JM" TargetMode="External"/><Relationship Id="rId153" Type="http://schemas.openxmlformats.org/officeDocument/2006/relationships/hyperlink" Target="https://articulo.mercadolibre.cl/MLC-2909023670-betarraga-pura-500-mg-90-caps-promueve-oxido-nitroso-lp-sabo-sin-sabor-_JM" TargetMode="External"/><Relationship Id="rId274" Type="http://schemas.openxmlformats.org/officeDocument/2006/relationships/hyperlink" Target="https://articulo.mercadolibre.cl/MLC-3114537446-purpura-detox-100g-recarga-blends-and-tea-_JM" TargetMode="External"/><Relationship Id="rId395" Type="http://schemas.openxmlformats.org/officeDocument/2006/relationships/hyperlink" Target="https://articulo.mercadolibre.cl/MLC-3215073938-bandeja-redonda-navidena-viejo-pascuero-de-ceramica-33cm-rojo-_JM" TargetMode="External"/><Relationship Id="rId152" Type="http://schemas.openxmlformats.org/officeDocument/2006/relationships/hyperlink" Target="https://articulo.mercadolibre.cl/MLC-2909062362-vitamina-c-liposomal-calidad-premium-x-90-capsulas-vegetales-sin-sabor-_JM" TargetMode="External"/><Relationship Id="rId273" Type="http://schemas.openxmlformats.org/officeDocument/2006/relationships/hyperlink" Target="https://articulo.mercadolibre.cl/MLC-3114538510-rooibos-relax-50g-blends-and-tea-_JM" TargetMode="External"/><Relationship Id="rId394" Type="http://schemas.openxmlformats.org/officeDocument/2006/relationships/hyperlink" Target="https://articulo.mercadolibre.cl/MLC-3215472364-bandeja-redonda-de-navidad-decorativa-de-ceramica-31cm-rojo-_JM" TargetMode="External"/><Relationship Id="rId151" Type="http://schemas.openxmlformats.org/officeDocument/2006/relationships/hyperlink" Target="https://articulo.mercadolibre.cl/MLC-1621478293-pack-10-sobres-twopack-villano-heroe-superzings-serie-3-_JM" TargetMode="External"/><Relationship Id="rId272" Type="http://schemas.openxmlformats.org/officeDocument/2006/relationships/hyperlink" Target="https://articulo.mercadolibre.cl/MLC-3114549828-infusion-azul-relajante-100g-blends-and-tea-_JM" TargetMode="External"/><Relationship Id="rId393" Type="http://schemas.openxmlformats.org/officeDocument/2006/relationships/hyperlink" Target="https://articulo.mercadolibre.cl/MLC-3215473556-bandeja-rectangular-de-navidad-decorativa-de-ceramica-325cm-rojo-_JM" TargetMode="External"/><Relationship Id="rId158" Type="http://schemas.openxmlformats.org/officeDocument/2006/relationships/hyperlink" Target="https://articulo.mercadolibre.cl/MLC-2908954280-cepillo-para-cabello-wetbrush-shine-enhacer-desenredante-color-violeta-_JM" TargetMode="External"/><Relationship Id="rId279" Type="http://schemas.openxmlformats.org/officeDocument/2006/relationships/hyperlink" Target="https://articulo.mercadolibre.cl/MLC-3114523712-golden-milk-150g-recarga-blends-and-tea-curcuma-_JM" TargetMode="External"/><Relationship Id="rId157" Type="http://schemas.openxmlformats.org/officeDocument/2006/relationships/hyperlink" Target="https://articulo.mercadolibre.cl/MLC-2908954318-shampoo-kativa-coconut-355-ml-_JM" TargetMode="External"/><Relationship Id="rId278" Type="http://schemas.openxmlformats.org/officeDocument/2006/relationships/hyperlink" Target="https://articulo.mercadolibre.cl/MLC-3114524222-indigo-estrella-nocturna-40g-blends-and-tea-_JM" TargetMode="External"/><Relationship Id="rId399" Type="http://schemas.openxmlformats.org/officeDocument/2006/relationships/hyperlink" Target="https://articulo.mercadolibre.cl/MLC-1720274527-bandeja-cuadrada-de-navidad-decorativa-de-ceramica-26cm-rojo-_JM" TargetMode="External"/><Relationship Id="rId156" Type="http://schemas.openxmlformats.org/officeDocument/2006/relationships/hyperlink" Target="https://articulo.mercadolibre.cl/MLC-2908960908-kativa-argan-oil-serum-reparador-brillo-cabello-seco-x-60ml-_JM" TargetMode="External"/><Relationship Id="rId277" Type="http://schemas.openxmlformats.org/officeDocument/2006/relationships/hyperlink" Target="https://articulo.mercadolibre.cl/MLC-3114537112-infusion-azul-relajante-100g-recarga-blends-and-tea-_JM" TargetMode="External"/><Relationship Id="rId398" Type="http://schemas.openxmlformats.org/officeDocument/2006/relationships/hyperlink" Target="https://articulo.mercadolibre.cl/MLC-3214993650-bandeja-rectangular-decorativa-navidad-ceramica-rojo-_JM" TargetMode="External"/><Relationship Id="rId155" Type="http://schemas.openxmlformats.org/officeDocument/2006/relationships/hyperlink" Target="https://articulo.mercadolibre.cl/MLC-2908972996-alisado-kativa-sin-plancha-xtreme-care-150ml-reconstruye-_JM" TargetMode="External"/><Relationship Id="rId276" Type="http://schemas.openxmlformats.org/officeDocument/2006/relationships/hyperlink" Target="https://articulo.mercadolibre.cl/MLC-3114537172-hibisco-sueno-profundo-150g-blends-and-tea-_JM" TargetMode="External"/><Relationship Id="rId397" Type="http://schemas.openxmlformats.org/officeDocument/2006/relationships/hyperlink" Target="https://articulo.mercadolibre.cl/MLC-3215036008-bandeja-redonda-de-navidad-decorativa-de-ceramica-26cm-rojo-_JM" TargetMode="External"/><Relationship Id="rId40" Type="http://schemas.openxmlformats.org/officeDocument/2006/relationships/hyperlink" Target="https://articulo.mercadolibre.cl/MLC-2856788222-fuente-de-agua-pileta-de-agua-3-vasijas-grande-37-cm-con-luz-gris-_JM" TargetMode="External"/><Relationship Id="rId42" Type="http://schemas.openxmlformats.org/officeDocument/2006/relationships/hyperlink" Target="https://articulo.mercadolibre.cl/MLC-1586318489-fuente-de-agua-pileta-de-agua-jesus-sagrado-con-luz-18-cm-gris-_JM" TargetMode="External"/><Relationship Id="rId41" Type="http://schemas.openxmlformats.org/officeDocument/2006/relationships/hyperlink" Target="https://articulo.mercadolibre.cl/MLC-1586344127-fuente-de-agua-pileta-de-agua-ganesha-con-luz-18-cm-dorado-_JM" TargetMode="External"/><Relationship Id="rId44" Type="http://schemas.openxmlformats.org/officeDocument/2006/relationships/hyperlink" Target="https://articulo.mercadolibre.cl/MLC-1586204807-fuente-de-agua-pileta-de-agua-querubin-18cm-con-luz-gris-_JM" TargetMode="External"/><Relationship Id="rId43" Type="http://schemas.openxmlformats.org/officeDocument/2006/relationships/hyperlink" Target="https://articulo.mercadolibre.cl/MLC-1586264401-fuente-de-agua-pileta-de-agua-elefantes-28-cm-con-luz-gris-_JM" TargetMode="External"/><Relationship Id="rId46" Type="http://schemas.openxmlformats.org/officeDocument/2006/relationships/hyperlink" Target="https://articulo.mercadolibre.cl/MLC-1585891979-estatua-figura-religiosa-angel-virgen-maria-familia-sagrada-roble-_JM" TargetMode="External"/><Relationship Id="rId45" Type="http://schemas.openxmlformats.org/officeDocument/2006/relationships/hyperlink" Target="https://articulo.mercadolibre.cl/MLC-1586176079-fuente-de-agua-pileta-de-agua-elefante-con-luz-18-cm-gris-_JM" TargetMode="External"/><Relationship Id="rId509" Type="http://schemas.openxmlformats.org/officeDocument/2006/relationships/hyperlink" Target="https://articulo.mercadolibre.cl/MLC-2997337764-auriculares-gamer-inalambricos-hoco-bluetooth-w35-max-plateado-_JM" TargetMode="External"/><Relationship Id="rId508" Type="http://schemas.openxmlformats.org/officeDocument/2006/relationships/hyperlink" Target="https://articulo.mercadolibre.cl/MLC-1669011133-hervidor-thomas-th-4340-17-litros-color-blanco-_JM" TargetMode="External"/><Relationship Id="rId503" Type="http://schemas.openxmlformats.org/officeDocument/2006/relationships/hyperlink" Target="https://articulo.mercadolibre.cl/MLC-1764987263-bandeja-triple-navidena-viejito-pascuero-285cm-ceramica-rojo-_JM" TargetMode="External"/><Relationship Id="rId502" Type="http://schemas.openxmlformats.org/officeDocument/2006/relationships/hyperlink" Target="https://articulo.mercadolibre.cl/MLC-1765051811-bombonera-de-navidad-caramelera-de-navidad-25-litros-rojo-_JM" TargetMode="External"/><Relationship Id="rId501" Type="http://schemas.openxmlformats.org/officeDocument/2006/relationships/hyperlink" Target="https://articulo.mercadolibre.cl/MLC-1765052453-servilletero-navideno-viejito-pascuero-ceramica-12cm-navidad-rojo-_JM" TargetMode="External"/><Relationship Id="rId500" Type="http://schemas.openxmlformats.org/officeDocument/2006/relationships/hyperlink" Target="https://articulo.mercadolibre.cl/MLC-1765089819-set-2-tazas-navidenas-400-ml-con-cucharilla-de-ceramica-rojo-viejito-pascuero-_JM" TargetMode="External"/><Relationship Id="rId507" Type="http://schemas.openxmlformats.org/officeDocument/2006/relationships/hyperlink" Target="https://articulo.mercadolibre.cl/MLC-3369683590-manillar-hoco-ca73-para-motocicleta-soporte-para-vehiculo-negrorojo-_JM" TargetMode="External"/><Relationship Id="rId506" Type="http://schemas.openxmlformats.org/officeDocument/2006/relationships/hyperlink" Target="https://articulo.mercadolibre.cl/MLC-3362804440-sandwichera-thomas-th-952-750w-capacidad-para-2-panesblanco-blanco-_JM" TargetMode="External"/><Relationship Id="rId505" Type="http://schemas.openxmlformats.org/officeDocument/2006/relationships/hyperlink" Target="https://articulo.mercadolibre.cl/MLC-1764909625-tetera-decorativa-navidena-viejo-pascuero-12-l-ceramica-rojo-_JM" TargetMode="External"/><Relationship Id="rId504" Type="http://schemas.openxmlformats.org/officeDocument/2006/relationships/hyperlink" Target="https://articulo.mercadolibre.cl/MLC-1764910759-bandeja-rectangular-38-cm-viejo-pascuero-3-navidad-ceramica-blanco-_JM" TargetMode="External"/><Relationship Id="rId48" Type="http://schemas.openxmlformats.org/officeDocument/2006/relationships/hyperlink" Target="https://articulo.mercadolibre.cl/MLC-2857300512-fuente-de-agua-pileta-de-agua-elefantes-grande-37-cm-con-luz-gris-_JM" TargetMode="External"/><Relationship Id="rId47" Type="http://schemas.openxmlformats.org/officeDocument/2006/relationships/hyperlink" Target="https://articulo.mercadolibre.cl/MLC-2857327110-fuente-de-agua-pileta-de-agua-ganesha-interior-18cm-con-luz-dorado-_JM" TargetMode="External"/><Relationship Id="rId49" Type="http://schemas.openxmlformats.org/officeDocument/2006/relationships/hyperlink" Target="https://articulo.mercadolibre.cl/MLC-1589044173-pack-4-goma-eva-piso-alfombra-antigolpes-50x50x1cm-multicolor-liso-_JM" TargetMode="External"/><Relationship Id="rId31" Type="http://schemas.openxmlformats.org/officeDocument/2006/relationships/hyperlink" Target="https://articulo.mercadolibre.cl/MLC-1585279683-colgante-de-viento-campana-de-viento-llamador-de-angel-68cm-plateado-_JM" TargetMode="External"/><Relationship Id="rId30" Type="http://schemas.openxmlformats.org/officeDocument/2006/relationships/hyperlink" Target="https://articulo.mercadolibre.cl/MLC-1585279801-estatua-buda-pileta-de-agua-fuente-de-agua-buda-28cm-con-luz-gris-_JM" TargetMode="External"/><Relationship Id="rId33" Type="http://schemas.openxmlformats.org/officeDocument/2006/relationships/hyperlink" Target="https://articulo.mercadolibre.cl/MLC-1585173079-figura-estatua-adorno-caballo-blanco-grande-29-cm-elegante-blanco-_JM" TargetMode="External"/><Relationship Id="rId32" Type="http://schemas.openxmlformats.org/officeDocument/2006/relationships/hyperlink" Target="https://articulo.mercadolibre.cl/MLC-1585189105-colgante-de-viento-campana-de-viento-llamador-de-angel-turco-plateado-_JM" TargetMode="External"/><Relationship Id="rId35" Type="http://schemas.openxmlformats.org/officeDocument/2006/relationships/hyperlink" Target="https://articulo.mercadolibre.cl/MLC-1585098747-estatua-decorativa-pileta-de-agua-fuente-de-agua-grande-40cm-gris-_JM" TargetMode="External"/><Relationship Id="rId34" Type="http://schemas.openxmlformats.org/officeDocument/2006/relationships/hyperlink" Target="https://articulo.mercadolibre.cl/MLC-1585111423-caja-48-tazones-para-sublimacion-blanco-grado-a-11oz-ceramic-blanco-_JM" TargetMode="External"/><Relationship Id="rId37" Type="http://schemas.openxmlformats.org/officeDocument/2006/relationships/hyperlink" Target="https://articulo.mercadolibre.cl/MLC-1585093281-separador-de-servicios-organizador-de-servicios-o-cubiertos-blanco-_JM" TargetMode="External"/><Relationship Id="rId36" Type="http://schemas.openxmlformats.org/officeDocument/2006/relationships/hyperlink" Target="https://articulo.mercadolibre.cl/MLC-1585094821-set-jarra-y-6-vasos-conjunto-jarra-2-litros-6-vasos-vidrio-transparente-_JM" TargetMode="External"/><Relationship Id="rId39" Type="http://schemas.openxmlformats.org/officeDocument/2006/relationships/hyperlink" Target="https://articulo.mercadolibre.cl/MLC-2855996872-estatua-dama-de-la-justicia-adorno-dama-de-la-justicia-plateado-_JM" TargetMode="External"/><Relationship Id="rId38" Type="http://schemas.openxmlformats.org/officeDocument/2006/relationships/hyperlink" Target="https://articulo.mercadolibre.cl/MLC-2856205088-estatua-figura-gato-adorno-interior-gata-regalo-30-cm-blanco-_JM" TargetMode="External"/><Relationship Id="rId20" Type="http://schemas.openxmlformats.org/officeDocument/2006/relationships/hyperlink" Target="https://articulo.mercadolibre.cl/MLC-1583327473-basurero-metalico-con-pedal-20-litros-plateado-acero-canasta-acero-inox-brillante-_JM" TargetMode="External"/><Relationship Id="rId22" Type="http://schemas.openxmlformats.org/officeDocument/2006/relationships/hyperlink" Target="https://articulo.mercadolibre.cl/MLC-3086615010-espejo-para-maquillaje-espejo-doble-de-mesa-con-aumento-36cm-rosado-_JM" TargetMode="External"/><Relationship Id="rId21" Type="http://schemas.openxmlformats.org/officeDocument/2006/relationships/hyperlink" Target="https://articulo.mercadolibre.cl/MLC-3086615012-espejo-para-maquillaje-espejo-doble-de-mesa-con-aumento-36cm-blanco-_JM" TargetMode="External"/><Relationship Id="rId24" Type="http://schemas.openxmlformats.org/officeDocument/2006/relationships/hyperlink" Target="https://articulo.mercadolibre.cl/MLC-1583743561-pileta-y-cascada-de-agua-buda-meditacion-feng-shui-con-luz-gris-_JM" TargetMode="External"/><Relationship Id="rId23" Type="http://schemas.openxmlformats.org/officeDocument/2006/relationships/hyperlink" Target="https://articulo.mercadolibre.cl/MLC-2853699866-reloj-de-cocina-analogo-grande-dorado-reloj-de-pared-60cm-dorado-blanco-_JM" TargetMode="External"/><Relationship Id="rId409" Type="http://schemas.openxmlformats.org/officeDocument/2006/relationships/hyperlink" Target="https://articulo.mercadolibre.cl/MLC-3288552316-powerbank-carga-rapida-225w-hoco-j142-100000mah-linterna-negro-_JM" TargetMode="External"/><Relationship Id="rId404" Type="http://schemas.openxmlformats.org/officeDocument/2006/relationships/hyperlink" Target="https://articulo.mercadolibre.cl/MLC-3284432666-frasco-de-almacenaje-navideno-ceramica-35-l-decorativo-rojo-_JM" TargetMode="External"/><Relationship Id="rId525" Type="http://schemas.openxmlformats.org/officeDocument/2006/relationships/hyperlink" Target="https://articulo.mercadolibre.cl/MLC-2928522652-set-jarra-y-6-vasos-conjunto-jarra-2-litros-6-vasos-vidrio-color-transparente-_JM" TargetMode="External"/><Relationship Id="rId403" Type="http://schemas.openxmlformats.org/officeDocument/2006/relationships/hyperlink" Target="https://articulo.mercadolibre.cl/MLC-1669000313-secador-de-pelo-siegen-sg-3031-color-purpura-_JM" TargetMode="External"/><Relationship Id="rId524" Type="http://schemas.openxmlformats.org/officeDocument/2006/relationships/hyperlink" Target="https://articulo.mercadolibre.cl/MLC-2869610082-estatua-figura-gato-adorno-interior-color-blanco-_JM" TargetMode="External"/><Relationship Id="rId402" Type="http://schemas.openxmlformats.org/officeDocument/2006/relationships/hyperlink" Target="https://articulo.mercadolibre.cl/MLC-2997779812-auriculares-gamer-inalambricos-hoco-bluetooth-w35-max-negro-_JM" TargetMode="External"/><Relationship Id="rId523" Type="http://schemas.openxmlformats.org/officeDocument/2006/relationships/hyperlink" Target="https://articulo.mercadolibre.cl/MLC-2869610082-estatua-figura-gato-adorno-interior-color-blanco-_JM" TargetMode="External"/><Relationship Id="rId401" Type="http://schemas.openxmlformats.org/officeDocument/2006/relationships/hyperlink" Target="https://articulo.mercadolibre.cl/MLC-3221949790-tabla-para-picar-de-madera-grande-gruesa-39x245x35-pino-liso-_JM" TargetMode="External"/><Relationship Id="rId522" Type="http://schemas.openxmlformats.org/officeDocument/2006/relationships/hyperlink" Target="https://articulo.mercadolibre.cl/MLC-2855289622-separador-de-servicios-organizador-de-servicios-o-cubiertos-transparente-_JM" TargetMode="External"/><Relationship Id="rId408" Type="http://schemas.openxmlformats.org/officeDocument/2006/relationships/hyperlink" Target="https://articulo.mercadolibre.cl/MLC-3288558284-conjunto-de-tazas-con-plato-navideno-6-pzas-600ml-rojo-viejito-pascuero-_JM" TargetMode="External"/><Relationship Id="rId529" Type="http://schemas.openxmlformats.org/officeDocument/2006/relationships/hyperlink" Target="https://articulo.mercadolibre.cl/MLC-1686913869-box-4-barras-twentys-chocolate-fudge-your-goal-chocolate-fudge-_JM" TargetMode="External"/><Relationship Id="rId407" Type="http://schemas.openxmlformats.org/officeDocument/2006/relationships/hyperlink" Target="https://articulo.mercadolibre.cl/MLC-3288564952-cargador-portatil-hoco-j100-10000mah-powerbank-negro-_JM" TargetMode="External"/><Relationship Id="rId528" Type="http://schemas.openxmlformats.org/officeDocument/2006/relationships/hyperlink" Target="https://articulo.mercadolibre.cl/MLC-1686875221-barras-de-proteina-twentys-sabor-avellana-hazelnut-praline-pack-4-barritas-60g-cu-yourgoal-nutrition-suplemento-con-proteina-_JM" TargetMode="External"/><Relationship Id="rId406" Type="http://schemas.openxmlformats.org/officeDocument/2006/relationships/hyperlink" Target="https://articulo.mercadolibre.cl/MLC-3289741356-soporte-de-coche-para-smartphone-tipo-garra-con-ventosa-_JM" TargetMode="External"/><Relationship Id="rId527" Type="http://schemas.openxmlformats.org/officeDocument/2006/relationships/hyperlink" Target="https://articulo.mercadolibre.cl/MLC-1686875221-barras-de-proteina-twentys-sabor-avellana-hazelnut-praline-pack-4-barritas-60g-cu-yourgoal-nutrition-suplemento-con-proteina-_JM" TargetMode="External"/><Relationship Id="rId405" Type="http://schemas.openxmlformats.org/officeDocument/2006/relationships/hyperlink" Target="https://articulo.mercadolibre.cl/MLC-3284380788-lechero-navideno-lechero-de-navidad-ceramica-1-litro-rojo-_JM" TargetMode="External"/><Relationship Id="rId526" Type="http://schemas.openxmlformats.org/officeDocument/2006/relationships/hyperlink" Target="https://articulo.mercadolibre.cl/MLC-2928522652-set-jarra-y-6-vasos-conjunto-jarra-2-litros-6-vasos-vidrio-color-transparente-_JM" TargetMode="External"/><Relationship Id="rId26" Type="http://schemas.openxmlformats.org/officeDocument/2006/relationships/hyperlink" Target="https://articulo.mercadolibre.cl/MLC-2855681612-set-jarra-y-6-vasos-conjunto-jarra-2-litros-y-6-vasos-vidrio-transparente-_JM" TargetMode="External"/><Relationship Id="rId25" Type="http://schemas.openxmlformats.org/officeDocument/2006/relationships/hyperlink" Target="https://articulo.mercadolibre.cl/MLC-2855683304-set-4-libros-para-colorear-antiestres-64-paginas-extraibles-_JM" TargetMode="External"/><Relationship Id="rId28" Type="http://schemas.openxmlformats.org/officeDocument/2006/relationships/hyperlink" Target="https://articulo.mercadolibre.cl/MLC-2855615494-fuente-de-agua-pileta-de-agua-buda-feng-shui-18-cm-con-luz-gris-_JM" TargetMode="External"/><Relationship Id="rId27" Type="http://schemas.openxmlformats.org/officeDocument/2006/relationships/hyperlink" Target="https://articulo.mercadolibre.cl/MLC-2855651866-28cm-portacupcake-porta-torta-porta-cupcakes-campana-vidrio-transparente-_JM" TargetMode="External"/><Relationship Id="rId400" Type="http://schemas.openxmlformats.org/officeDocument/2006/relationships/hyperlink" Target="https://articulo.mercadolibre.cl/MLC-1720233209-bandeja-decorativa-navidad-viejo-pascuero-ceramica-rojo-_JM" TargetMode="External"/><Relationship Id="rId521" Type="http://schemas.openxmlformats.org/officeDocument/2006/relationships/hyperlink" Target="https://articulo.mercadolibre.cl/MLC-2855289622-separador-de-servicios-organizador-de-servicios-o-cubiertos-transparente-_JM" TargetMode="External"/><Relationship Id="rId29" Type="http://schemas.openxmlformats.org/officeDocument/2006/relationships/hyperlink" Target="https://articulo.mercadolibre.cl/MLC-2855521002-basurero-metalico-con-pedal-8-litros-pedal-acabado-madera-color-gris-_JM" TargetMode="External"/><Relationship Id="rId520" Type="http://schemas.openxmlformats.org/officeDocument/2006/relationships/hyperlink" Target="https://articulo.mercadolibre.cl/MLC-1596922347-basurero-20-litros-pedal-de-acero-inoxidable-taumm-color-acero-inox-brillante-_JM" TargetMode="External"/><Relationship Id="rId11" Type="http://schemas.openxmlformats.org/officeDocument/2006/relationships/hyperlink" Target="https://articulo.mercadolibre.cl/MLC-2933761314-basurero-metalico-con-pedal-8-litros-pedal-acabado-madera-gris-_JM" TargetMode="External"/><Relationship Id="rId10" Type="http://schemas.openxmlformats.org/officeDocument/2006/relationships/hyperlink" Target="https://articulo.mercadolibre.cl/MLC-3092101058-pack-6-piso-deportivo-modular-goma-eva-60x60x1-cm-fitness-negro-negro-industrial-_JM" TargetMode="External"/><Relationship Id="rId13" Type="http://schemas.openxmlformats.org/officeDocument/2006/relationships/hyperlink" Target="https://articulo.mercadolibre.cl/MLC-2863704914-pack-4-goma-eva-piso-alfombra-antigolpes-60x60x1cm-madera-marron-piso-flotante-_JM" TargetMode="External"/><Relationship Id="rId12" Type="http://schemas.openxmlformats.org/officeDocument/2006/relationships/hyperlink" Target="https://articulo.mercadolibre.cl/MLC-2933761312-basurero-metalico-con-pedal-8-litros-pedal-acabado-madera-marron-_JM" TargetMode="External"/><Relationship Id="rId519" Type="http://schemas.openxmlformats.org/officeDocument/2006/relationships/hyperlink" Target="https://articulo.mercadolibre.cl/MLC-1596922347-basurero-20-litros-pedal-de-acero-inoxidable-taumm-color-acero-inox-brillante-_JM" TargetMode="External"/><Relationship Id="rId514" Type="http://schemas.openxmlformats.org/officeDocument/2006/relationships/hyperlink" Target="https://articulo.mercadolibre.cl/MLC-3137731242-separador-de-servicios-organizador-de-servicios-o-cubiertos-color-blanco-_JM" TargetMode="External"/><Relationship Id="rId513" Type="http://schemas.openxmlformats.org/officeDocument/2006/relationships/hyperlink" Target="https://articulo.mercadolibre.cl/MLC-3213493958-kuna-foods-cereales-puffs-manzana-arandano-sin-tacc-sin-azucar-50g-_JM" TargetMode="External"/><Relationship Id="rId512" Type="http://schemas.openxmlformats.org/officeDocument/2006/relationships/hyperlink" Target="https://articulo.mercadolibre.cl/MLC-3213493958-kuna-foods-cereales-puffs-manzana-arandano-sin-tacc-sin-azucar-50g-_JM" TargetMode="External"/><Relationship Id="rId511" Type="http://schemas.openxmlformats.org/officeDocument/2006/relationships/hyperlink" Target="https://articulo.mercadolibre.cl/MLC-2906280818-audifonos-hoco-w35-air-triumph-over-ear-bluetooth-silver-color-plata-_JM" TargetMode="External"/><Relationship Id="rId518" Type="http://schemas.openxmlformats.org/officeDocument/2006/relationships/hyperlink" Target="https://articulo.mercadolibre.cl/MLC-2870405916-basurero-papelero-pedal-12-lts-acero-inoxidable-_JM" TargetMode="External"/><Relationship Id="rId517" Type="http://schemas.openxmlformats.org/officeDocument/2006/relationships/hyperlink" Target="https://articulo.mercadolibre.cl/MLC-2870405916-basurero-papelero-pedal-12-lts-acero-inoxidable-_JM" TargetMode="External"/><Relationship Id="rId516" Type="http://schemas.openxmlformats.org/officeDocument/2006/relationships/hyperlink" Target="https://articulo.mercadolibre.cl/MLC-3195425012-panera-redonda-de-mimbre-24-cm-amarillo-_JM" TargetMode="External"/><Relationship Id="rId515" Type="http://schemas.openxmlformats.org/officeDocument/2006/relationships/hyperlink" Target="https://articulo.mercadolibre.cl/MLC-3195425012-panera-redonda-de-mimbre-24-cm-amarillo-_JM" TargetMode="External"/><Relationship Id="rId15" Type="http://schemas.openxmlformats.org/officeDocument/2006/relationships/hyperlink" Target="https://articulo.mercadolibre.cl/MLC-2853425396-basurero-metalico-con-pedal-12-litros-plateado-acero-canasta-gris-_JM" TargetMode="External"/><Relationship Id="rId14" Type="http://schemas.openxmlformats.org/officeDocument/2006/relationships/hyperlink" Target="https://articulo.mercadolibre.cl/MLC-2863704912-pack-4-goma-eva-piso-alfombra-antigolpes-60x60x1cm-madera-beige-lisa-_JM" TargetMode="External"/><Relationship Id="rId17" Type="http://schemas.openxmlformats.org/officeDocument/2006/relationships/hyperlink" Target="https://articulo.mercadolibre.cl/MLC-2853171858-set-10-30x30-alfombra-infantil-goma-eva-cuadros-bebes-ninos-_JM" TargetMode="External"/><Relationship Id="rId16" Type="http://schemas.openxmlformats.org/officeDocument/2006/relationships/hyperlink" Target="https://articulo.mercadolibre.cl/MLC-2853290088-pack-24-burbujas-juguete-sorpresa-cumpleanos-regalo-paseo-multicolor-_JM" TargetMode="External"/><Relationship Id="rId19" Type="http://schemas.openxmlformats.org/officeDocument/2006/relationships/hyperlink" Target="https://articulo.mercadolibre.cl/MLC-1583337113-basurero-metalico-con-pedal-8-litros-plateado-acero-canasta-_JM" TargetMode="External"/><Relationship Id="rId510" Type="http://schemas.openxmlformats.org/officeDocument/2006/relationships/hyperlink" Target="https://articulo.mercadolibre.cl/MLC-2906319330-audifono-bluetooth-hoco-w35-air-45hrs-para-iphone-o-android-color-negro-luz-bl-_JM" TargetMode="External"/><Relationship Id="rId18" Type="http://schemas.openxmlformats.org/officeDocument/2006/relationships/hyperlink" Target="https://articulo.mercadolibre.cl/MLC-1583375395-basurero-metalico-con-pedal-3-litros-plateado-acero-canasta-gris-_JM" TargetMode="External"/><Relationship Id="rId84" Type="http://schemas.openxmlformats.org/officeDocument/2006/relationships/hyperlink" Target="https://articulo.mercadolibre.cl/MLC-2884173342-bisglicinato-de-magnesio-zeo-sport-1000mg-90-capsulas-veganas-sin-sabor-sin-sabor-90-capsulas-_JM" TargetMode="External"/><Relationship Id="rId83" Type="http://schemas.openxmlformats.org/officeDocument/2006/relationships/hyperlink" Target="https://articulo.mercadolibre.cl/MLC-2884186274-citrato-de-magnesio-zeo-sport-1-kilo-en-polvo-linea-premium-_JM" TargetMode="External"/><Relationship Id="rId86" Type="http://schemas.openxmlformats.org/officeDocument/2006/relationships/hyperlink" Target="https://articulo.mercadolibre.cl/MLC-2886979324-super-zings-serie-3-pack-10-sobres-1-figura-por-sobre-_JM" TargetMode="External"/><Relationship Id="rId85" Type="http://schemas.openxmlformats.org/officeDocument/2006/relationships/hyperlink" Target="https://articulo.mercadolibre.cl/MLC-2884550352-mantequillera-con-tapa-mantequillera-de-ceramica-frutilla-rojo-_JM" TargetMode="External"/><Relationship Id="rId88" Type="http://schemas.openxmlformats.org/officeDocument/2006/relationships/hyperlink" Target="https://articulo.mercadolibre.cl/MLC-2886227406-extremo-sur-melena-de-leon-500mg-60-cap-100-natural-_JM" TargetMode="External"/><Relationship Id="rId87" Type="http://schemas.openxmlformats.org/officeDocument/2006/relationships/hyperlink" Target="https://articulo.mercadolibre.cl/MLC-2886467526-citrato-de-magnesio-capsulas-extremo-sur-500mg-sin-sabor-x270-unidades-_JM" TargetMode="External"/><Relationship Id="rId89" Type="http://schemas.openxmlformats.org/officeDocument/2006/relationships/hyperlink" Target="https://articulo.mercadolibre.cl/MLC-2886162644-vitamina-c-90-cap-de-500mg-100-natural-extremo-sur-_JM" TargetMode="External"/><Relationship Id="rId80" Type="http://schemas.openxmlformats.org/officeDocument/2006/relationships/hyperlink" Target="https://articulo.mercadolibre.cl/MLC-1598150129-fuente-para-comida-de-ceramica-frutilla-21cm-rojo-_JM" TargetMode="External"/><Relationship Id="rId82" Type="http://schemas.openxmlformats.org/officeDocument/2006/relationships/hyperlink" Target="https://articulo.mercadolibre.cl/MLC-2884237924-suplemento-zeo-sport-premium-citrato-de-magnesio-de-50g-x-90-unidades-_JM" TargetMode="External"/><Relationship Id="rId81" Type="http://schemas.openxmlformats.org/officeDocument/2006/relationships/hyperlink" Target="https://articulo.mercadolibre.cl/MLC-2884354532-citrato-de-magnesio-l-triptofano-90-capsulas-zeo-sport-_JM" TargetMode="External"/><Relationship Id="rId73" Type="http://schemas.openxmlformats.org/officeDocument/2006/relationships/hyperlink" Target="https://articulo.mercadolibre.cl/MLC-2872135864-bombonera-con-tapa-bombonera-para-bombones-ceramica-frutilla-rojo-_JM" TargetMode="External"/><Relationship Id="rId72" Type="http://schemas.openxmlformats.org/officeDocument/2006/relationships/hyperlink" Target="https://articulo.mercadolibre.cl/MLC-1596924193-suplemento-en-capsula-extremo-sur-citrato-de-magnesio-x-45g-sin-sabor-_JM" TargetMode="External"/><Relationship Id="rId75" Type="http://schemas.openxmlformats.org/officeDocument/2006/relationships/hyperlink" Target="https://articulo.mercadolibre.cl/MLC-2872120342-servilletero-ceramica-porta-servilletas-de-calabaza-11-cm-multicolor-_JM" TargetMode="External"/><Relationship Id="rId74" Type="http://schemas.openxmlformats.org/officeDocument/2006/relationships/hyperlink" Target="https://articulo.mercadolibre.cl/MLC-2872122784-salero-y-pimentero-para-mesa-de-ceramica-calabaza-multicolor-_JM" TargetMode="External"/><Relationship Id="rId77" Type="http://schemas.openxmlformats.org/officeDocument/2006/relationships/hyperlink" Target="https://articulo.mercadolibre.cl/MLC-1598213735-salero-y-pimentero-para-mesa-de-ceramica-frutilla-rojo-_JM" TargetMode="External"/><Relationship Id="rId76" Type="http://schemas.openxmlformats.org/officeDocument/2006/relationships/hyperlink" Target="https://articulo.mercadolibre.cl/MLC-2872031222-tetera-de-ceramica-850-ml-calabaza-calabaza-_JM" TargetMode="External"/><Relationship Id="rId79" Type="http://schemas.openxmlformats.org/officeDocument/2006/relationships/hyperlink" Target="https://articulo.mercadolibre.cl/MLC-1598163137-servilletero-ceramica-porta-servilletas-de-frutilla-20-cm-rojo-_JM" TargetMode="External"/><Relationship Id="rId78" Type="http://schemas.openxmlformats.org/officeDocument/2006/relationships/hyperlink" Target="https://articulo.mercadolibre.cl/MLC-1598182719-bombonera-con-tapa-bombonera-para-bombones-ceramica-calabaza-multicolor-_JM" TargetMode="External"/><Relationship Id="rId71" Type="http://schemas.openxmlformats.org/officeDocument/2006/relationships/hyperlink" Target="https://articulo.mercadolibre.cl/MLC-1596962971-2-bisglicinato-de-magnesio-500mg-x-60-caps-vegetal-sabor-neu-neutro-_JM" TargetMode="External"/><Relationship Id="rId70" Type="http://schemas.openxmlformats.org/officeDocument/2006/relationships/hyperlink" Target="https://articulo.mercadolibre.cl/MLC-2870228100-pack-2-magnesio-citrato-180-cap-y-2-potasio-citrato-180-cap-sin-sabor-_JM" TargetMode="External"/><Relationship Id="rId62" Type="http://schemas.openxmlformats.org/officeDocument/2006/relationships/hyperlink" Target="https://articulo.mercadolibre.cl/MLC-2870432286-2-bisglicinato-de-magnesio-500mg-x-60-caps-vegetal-sabor-neutro-_JM" TargetMode="External"/><Relationship Id="rId61" Type="http://schemas.openxmlformats.org/officeDocument/2006/relationships/hyperlink" Target="https://articulo.mercadolibre.cl/MLC-2870455538-biotina-colageno-hidrolizado-_JM" TargetMode="External"/><Relationship Id="rId64" Type="http://schemas.openxmlformats.org/officeDocument/2006/relationships/hyperlink" Target="https://articulo.mercadolibre.cl/MLC-2870367928-citrato-de-magnesio-capsulas-extremo-sur-sin-sabor-libre-de-gluten-vegano-45g-_JM" TargetMode="External"/><Relationship Id="rId63" Type="http://schemas.openxmlformats.org/officeDocument/2006/relationships/hyperlink" Target="https://articulo.mercadolibre.cl/MLC-2870432226-pack-de-3-magnesio-malato-500mg-180-capsulas-vegetales-sabor-natural-_JM" TargetMode="External"/><Relationship Id="rId66" Type="http://schemas.openxmlformats.org/officeDocument/2006/relationships/hyperlink" Target="https://articulo.mercadolibre.cl/MLC-2870329548-zma-zinc-magnesio-vit-b6-90-capsulas-500mg-sabor-sin-sab-sin-sabor-_JM" TargetMode="External"/><Relationship Id="rId65" Type="http://schemas.openxmlformats.org/officeDocument/2006/relationships/hyperlink" Target="https://articulo.mercadolibre.cl/MLC-2870367566-biotina-colageno-hidrolizado-con-vitamina-c-extremo-sur-sin-sabor-_JM" TargetMode="External"/><Relationship Id="rId68" Type="http://schemas.openxmlformats.org/officeDocument/2006/relationships/hyperlink" Target="https://articulo.mercadolibre.cl/MLC-2870277888-pack-de-3-magnesio-malato-500mg-180-capsulas-vegetales-sabor-natural-_JM" TargetMode="External"/><Relationship Id="rId67" Type="http://schemas.openxmlformats.org/officeDocument/2006/relationships/hyperlink" Target="https://articulo.mercadolibre.cl/MLC-2870329358-pack-2-magnesio-citrato-180-cap-y-2-potasio-citrato-180-cap-extremo-sur-_JM" TargetMode="External"/><Relationship Id="rId60" Type="http://schemas.openxmlformats.org/officeDocument/2006/relationships/hyperlink" Target="https://articulo.mercadolibre.cl/MLC-2870456002-zma-zinc-magnesio-vit-b6-90-capsulas-500mg-sabor-sin-sabor-_JM" TargetMode="External"/><Relationship Id="rId69" Type="http://schemas.openxmlformats.org/officeDocument/2006/relationships/hyperlink" Target="https://articulo.mercadolibre.cl/MLC-2870265058-l-treonato-de-magnesio-500mg-90-capsulas-100-natural-extremo-sur-_JM" TargetMode="External"/><Relationship Id="rId51" Type="http://schemas.openxmlformats.org/officeDocument/2006/relationships/hyperlink" Target="https://articulo.mercadolibre.cl/MLC-1590158569-fuente-de-agua-pileta-de-agua-virgen-maria-con-luz-18-cm-gris-_JM" TargetMode="External"/><Relationship Id="rId50" Type="http://schemas.openxmlformats.org/officeDocument/2006/relationships/hyperlink" Target="https://articulo.mercadolibre.cl/MLC-1589018163-naipe-ingles-cartas-inglesa-baraja-ingles-plastificado-poker-multicolor-ingles-_JM" TargetMode="External"/><Relationship Id="rId53" Type="http://schemas.openxmlformats.org/officeDocument/2006/relationships/hyperlink" Target="https://articulo.mercadolibre.cl/MLC-1589095741-set-3-maletas-de-viaje-23-15-10-kg-maleta-de-cabina-tela-marron-marron-elegante-_JM" TargetMode="External"/><Relationship Id="rId52" Type="http://schemas.openxmlformats.org/officeDocument/2006/relationships/hyperlink" Target="https://articulo.mercadolibre.cl/MLC-1590145681-basurero-metalico-con-pedal-5-litros-plateado-acero-canasta-_JM" TargetMode="External"/><Relationship Id="rId55" Type="http://schemas.openxmlformats.org/officeDocument/2006/relationships/hyperlink" Target="https://articulo.mercadolibre.cl/MLC-1593130463-set-10-30x30-alfombra-infantil-goma-eva-cuadros-bebes-ninos-color-multicolor-liso-_JM" TargetMode="External"/><Relationship Id="rId54" Type="http://schemas.openxmlformats.org/officeDocument/2006/relationships/hyperlink" Target="https://articulo.mercadolibre.cl/MLC-2863379684-set-10-30x30-alfombra-infantil-goma-eva-cuadros-bebes-ninos-color-multicolor-numeros-_JM" TargetMode="External"/><Relationship Id="rId57" Type="http://schemas.openxmlformats.org/officeDocument/2006/relationships/hyperlink" Target="https://articulo.mercadolibre.cl/MLC-2869353570-la-ultima-cena-jesus-figura-decorativa-religiosa-adorno-marron-_JM" TargetMode="External"/><Relationship Id="rId56" Type="http://schemas.openxmlformats.org/officeDocument/2006/relationships/hyperlink" Target="https://articulo.mercadolibre.cl/MLC-2867073664-set-10-30x30-alfombra-infantil-goma-eva-cuadros-bebes-ninos-color-multicolor-letras-_JM" TargetMode="External"/><Relationship Id="rId59" Type="http://schemas.openxmlformats.org/officeDocument/2006/relationships/hyperlink" Target="https://articulo.mercadolibre.cl/MLC-2870456220-l-treonato-de-magnesio-500mg-90-capsulas-100-natural-extrem-sin-sabor-_JM" TargetMode="External"/><Relationship Id="rId58" Type="http://schemas.openxmlformats.org/officeDocument/2006/relationships/hyperlink" Target="https://articulo.mercadolibre.cl/MLC-1596422757-naipe-ingles-cartas-inglesa-baraja-ingles-plastificado-poker-multicolor-ingles-_JM" TargetMode="External"/><Relationship Id="rId107" Type="http://schemas.openxmlformats.org/officeDocument/2006/relationships/hyperlink" Target="https://articulo.mercadolibre.cl/MLC-1611382963-mustela-gel-de-bano-500-ml-botella-_JM" TargetMode="External"/><Relationship Id="rId228" Type="http://schemas.openxmlformats.org/officeDocument/2006/relationships/hyperlink" Target="https://articulo.mercadolibre.cl/MLC-1657892519-soporte-celular-rejilla-auto-resistente-hoco-ajustable-360-negro-_JM" TargetMode="External"/><Relationship Id="rId349" Type="http://schemas.openxmlformats.org/officeDocument/2006/relationships/hyperlink" Target="https://articulo.mercadolibre.cl/MLC-3177851214-serum-todo-cabello-sin-enjuage-blueberry-30-ml-ritzy-mash-_JM" TargetMode="External"/><Relationship Id="rId106" Type="http://schemas.openxmlformats.org/officeDocument/2006/relationships/hyperlink" Target="https://articulo.mercadolibre.cl/MLC-1611427455-candelabro-vidrio-portavela-vidrio-15-cm-transparente-_JM" TargetMode="External"/><Relationship Id="rId227" Type="http://schemas.openxmlformats.org/officeDocument/2006/relationships/hyperlink" Target="https://articulo.mercadolibre.cl/MLC-1657980961-goma-eva-plegable-18m-x-15m-6mm-resistente-ninos-bebes-multicolor-alce-jirafa-_JM" TargetMode="External"/><Relationship Id="rId348" Type="http://schemas.openxmlformats.org/officeDocument/2006/relationships/hyperlink" Target="https://articulo.mercadolibre.cl/MLC-3177903118-serum-todo-cabello-sin-enjuage-vanilla-30-ml-ritzy-mash-_JM" TargetMode="External"/><Relationship Id="rId469" Type="http://schemas.openxmlformats.org/officeDocument/2006/relationships/hyperlink" Target="https://articulo.mercadolibre.cl/MLC-3335646838-charqui-lobito-la-loberia-30g-_JM" TargetMode="External"/><Relationship Id="rId105" Type="http://schemas.openxmlformats.org/officeDocument/2006/relationships/hyperlink" Target="https://articulo.mercadolibre.cl/MLC-1611435373-goma-eva-plegable-ninos-bebes-multicolor-_JM" TargetMode="External"/><Relationship Id="rId226" Type="http://schemas.openxmlformats.org/officeDocument/2006/relationships/hyperlink" Target="https://articulo.mercadolibre.cl/MLC-2999317562-box-5-barras-mini-twentys-8g-your-goal-sabor-chocolate-bro-chocolate-brownie-_JM" TargetMode="External"/><Relationship Id="rId347" Type="http://schemas.openxmlformats.org/officeDocument/2006/relationships/hyperlink" Target="https://articulo.mercadolibre.cl/MLC-3177926422-citrato-de-magnesio-puro-en-polvo-doypack-100-grs-sin-sabor-sin-sabor-_JM" TargetMode="External"/><Relationship Id="rId468" Type="http://schemas.openxmlformats.org/officeDocument/2006/relationships/hyperlink" Target="https://articulo.mercadolibre.cl/MLC-3330475496-proteina-aisalada-vainilla-735g-21-porciones-strive-vainilla-_JM" TargetMode="External"/><Relationship Id="rId104" Type="http://schemas.openxmlformats.org/officeDocument/2006/relationships/hyperlink" Target="https://articulo.mercadolibre.cl/MLC-1611460233-shampoo-alpecin-cafeina-doble-efecto-anticaida-200-ml-_JM" TargetMode="External"/><Relationship Id="rId225" Type="http://schemas.openxmlformats.org/officeDocument/2006/relationships/hyperlink" Target="https://articulo.mercadolibre.cl/MLC-2999369414-box-5-barras-mini-twentys-8g-your-goal-sabor-lemon-cheesec-_JM" TargetMode="External"/><Relationship Id="rId346" Type="http://schemas.openxmlformats.org/officeDocument/2006/relationships/hyperlink" Target="https://articulo.mercadolibre.cl/MLC-3177954208-mascara-vanilla-passion-iluminador-capilar-270-ml-ritzy-mash-_JM" TargetMode="External"/><Relationship Id="rId467" Type="http://schemas.openxmlformats.org/officeDocument/2006/relationships/hyperlink" Target="https://articulo.mercadolibre.cl/MLC-3330477178-pre-entreno-kicker-540g-30-porciones-frambuesa-uva-strive-frambuesa-uva-_JM" TargetMode="External"/><Relationship Id="rId109" Type="http://schemas.openxmlformats.org/officeDocument/2006/relationships/hyperlink" Target="https://articulo.mercadolibre.cl/MLC-2895881538-barras-de-proteina-yourgoal-twentys-12u-lemon-cheesecake-lemon-cheesecake-_JM" TargetMode="External"/><Relationship Id="rId108" Type="http://schemas.openxmlformats.org/officeDocument/2006/relationships/hyperlink" Target="https://articulo.mercadolibre.cl/MLC-1611357713-alpecin-anti-calvicie-locion-cafeina-liquida-200-ml-_JM" TargetMode="External"/><Relationship Id="rId229" Type="http://schemas.openxmlformats.org/officeDocument/2006/relationships/hyperlink" Target="https://articulo.mercadolibre.cl/MLC-1657835319-goma-eva-plegable-18m-x-15m-6mm-resistente-ninos-bebes-multicolor-rosado-_JM" TargetMode="External"/><Relationship Id="rId220" Type="http://schemas.openxmlformats.org/officeDocument/2006/relationships/hyperlink" Target="https://articulo.mercadolibre.cl/MLC-1656345313-pack-3-candelabro-o-portavela-flor-de-loto-grande-15-cm-transparente-_JM" TargetMode="External"/><Relationship Id="rId341" Type="http://schemas.openxmlformats.org/officeDocument/2006/relationships/hyperlink" Target="https://articulo.mercadolibre.cl/MLC-1705391351-mascara-blueberry-iluminador-capilar-270-ml-ritzy-mash-_JM" TargetMode="External"/><Relationship Id="rId462" Type="http://schemas.openxmlformats.org/officeDocument/2006/relationships/hyperlink" Target="https://articulo.mercadolibre.cl/MLC-1746216539-te-hibisco-detox-vitalidad-100-gr-recarga-blends-tea-_JM" TargetMode="External"/><Relationship Id="rId340" Type="http://schemas.openxmlformats.org/officeDocument/2006/relationships/hyperlink" Target="https://articulo.mercadolibre.cl/MLC-3176613118-crema-aclarante-vanilla-passion-105-ml-ritzy-mash-sin-tono-_JM" TargetMode="External"/><Relationship Id="rId461" Type="http://schemas.openxmlformats.org/officeDocument/2006/relationships/hyperlink" Target="https://articulo.mercadolibre.cl/MLC-1745126651-gomita-kuna-foods-snack-infantil-pina-con-fruta-sin-gluten-16g-4u-sin-sellos-_JM" TargetMode="External"/><Relationship Id="rId460" Type="http://schemas.openxmlformats.org/officeDocument/2006/relationships/hyperlink" Target="https://articulo.mercadolibre.cl/MLC-3312553178-cereal-kuna-snack-saludable-sufle-bombas-mani-100g-sin-sellos-_JM" TargetMode="External"/><Relationship Id="rId103" Type="http://schemas.openxmlformats.org/officeDocument/2006/relationships/hyperlink" Target="https://articulo.mercadolibre.cl/MLC-1611512641-alisado-brasilero-para-todo-tipo-de-cabello-_JM" TargetMode="External"/><Relationship Id="rId224" Type="http://schemas.openxmlformats.org/officeDocument/2006/relationships/hyperlink" Target="https://articulo.mercadolibre.cl/MLC-2999407926-box-5-barras-mini-twentys-8g-your-goal-sabor-chocolate-fudge-_JM" TargetMode="External"/><Relationship Id="rId345" Type="http://schemas.openxmlformats.org/officeDocument/2006/relationships/hyperlink" Target="https://articulo.mercadolibre.cl/MLC-3177982200-caja-30-unidades-chocolate-crunch-21g-proteina-yourgoal-_JM" TargetMode="External"/><Relationship Id="rId466" Type="http://schemas.openxmlformats.org/officeDocument/2006/relationships/hyperlink" Target="https://articulo.mercadolibre.cl/MLC-3330499668-creatina-monohidratada-micronizada-200-mesh-60-porciones-sin-sabor-_JM" TargetMode="External"/><Relationship Id="rId102" Type="http://schemas.openxmlformats.org/officeDocument/2006/relationships/hyperlink" Target="https://articulo.mercadolibre.cl/MLC-1611538777-mustela-crema-preventiva-de-panal-vitaminada-123-bebe-100ml-_JM" TargetMode="External"/><Relationship Id="rId223" Type="http://schemas.openxmlformats.org/officeDocument/2006/relationships/hyperlink" Target="https://articulo.mercadolibre.cl/MLC-1656116407-candelabro-o-porta-vela-de-vidrio-15cm-25cm-diametro-transparente-_JM" TargetMode="External"/><Relationship Id="rId344" Type="http://schemas.openxmlformats.org/officeDocument/2006/relationships/hyperlink" Target="https://articulo.mercadolibre.cl/MLC-1704704317-shampoo-blueberry-iluminador-capilar-270ml-ritzy-mash-_JM" TargetMode="External"/><Relationship Id="rId465" Type="http://schemas.openxmlformats.org/officeDocument/2006/relationships/hyperlink" Target="https://articulo.mercadolibre.cl/MLC-3330613240-pack-3-45cm-bandeja-antideslizante-garzon-restaurant-servir-negro-_JM" TargetMode="External"/><Relationship Id="rId101" Type="http://schemas.openxmlformats.org/officeDocument/2006/relationships/hyperlink" Target="https://articulo.mercadolibre.cl/MLC-1611551879-shampoo-controlgx-control-gx-just-for-men-tinte-shampoo-y-sh-_JM" TargetMode="External"/><Relationship Id="rId222" Type="http://schemas.openxmlformats.org/officeDocument/2006/relationships/hyperlink" Target="https://articulo.mercadolibre.cl/MLC-1656282035-candelabro-o-porta-vela-de-vidrio-16cm-25cm-diametro-transparente-_JM" TargetMode="External"/><Relationship Id="rId343" Type="http://schemas.openxmlformats.org/officeDocument/2006/relationships/hyperlink" Target="https://articulo.mercadolibre.cl/MLC-1704704493-shampoo-vanilla-passion-iluminador-capilar-270ml-ritzy-mash-_JM" TargetMode="External"/><Relationship Id="rId464" Type="http://schemas.openxmlformats.org/officeDocument/2006/relationships/hyperlink" Target="https://articulo.mercadolibre.cl/MLC-3330630142-pre-entreno-kicker-540g-30-porciones-pina-maracuya-strive-pina-maracuya-_JM" TargetMode="External"/><Relationship Id="rId100" Type="http://schemas.openxmlformats.org/officeDocument/2006/relationships/hyperlink" Target="https://articulo.mercadolibre.cl/MLC-1611564729-mustela-crema-facial-hydra-bebe-piel-normal-40ml-_JM" TargetMode="External"/><Relationship Id="rId221" Type="http://schemas.openxmlformats.org/officeDocument/2006/relationships/hyperlink" Target="https://articulo.mercadolibre.cl/MLC-1656286403-pack-3-candelabro-o-portavela-de-vidrio-flor-de-loto-12cm-transparente-_JM" TargetMode="External"/><Relationship Id="rId342" Type="http://schemas.openxmlformats.org/officeDocument/2006/relationships/hyperlink" Target="https://articulo.mercadolibre.cl/MLC-1704829705-cafeina-anhidra-sin-sabor-30-caps-30-porciones-zeo-sport-sin-sabor-_JM" TargetMode="External"/><Relationship Id="rId463" Type="http://schemas.openxmlformats.org/officeDocument/2006/relationships/hyperlink" Target="https://articulo.mercadolibre.cl/MLC-3330638216-pack-4-40cm-bandeja-antideslizante-garzon-restaurante-negro-_JM" TargetMode="External"/><Relationship Id="rId217" Type="http://schemas.openxmlformats.org/officeDocument/2006/relationships/hyperlink" Target="https://articulo.mercadolibre.cl/MLC-2997971940-candelabro-o-porta-velas-de-vidrio-14cm-25cm-diametro-transparente-_JM" TargetMode="External"/><Relationship Id="rId338" Type="http://schemas.openxmlformats.org/officeDocument/2006/relationships/hyperlink" Target="https://articulo.mercadolibre.cl/MLC-3173887108-pack-5-blaster-jets-5-figuras-superzing-serie-4-_JM" TargetMode="External"/><Relationship Id="rId459" Type="http://schemas.openxmlformats.org/officeDocument/2006/relationships/hyperlink" Target="https://articulo.mercadolibre.cl/MLC-3312848914-galletas-saludables-cookids-limon-kuna-foods-30-gr-sin-sello-_JM" TargetMode="External"/><Relationship Id="rId216" Type="http://schemas.openxmlformats.org/officeDocument/2006/relationships/hyperlink" Target="https://articulo.mercadolibre.cl/MLC-2986698430-limpiador-anti-grasa-frosch-pomelo-500ml-_JM" TargetMode="External"/><Relationship Id="rId337" Type="http://schemas.openxmlformats.org/officeDocument/2006/relationships/hyperlink" Target="https://articulo.mercadolibre.cl/MLC-3173944846-superzings-serie-4-pack-comic-megajet-2-fig-bolsa-_JM" TargetMode="External"/><Relationship Id="rId458" Type="http://schemas.openxmlformats.org/officeDocument/2006/relationships/hyperlink" Target="https://articulo.mercadolibre.cl/MLC-3312862456-cereal-kuna-snack-saludable-sufle-bombas-mediterranea-100g-_JM" TargetMode="External"/><Relationship Id="rId215" Type="http://schemas.openxmlformats.org/officeDocument/2006/relationships/hyperlink" Target="https://articulo.mercadolibre.cl/MLC-2978896086-panera-ovalada-de-mimbre-27cm-dorado-_JM" TargetMode="External"/><Relationship Id="rId336" Type="http://schemas.openxmlformats.org/officeDocument/2006/relationships/hyperlink" Target="https://articulo.mercadolibre.cl/MLC-3173945900-pack-10-sobres-1-fig-por-sobre-superzings-serie-4-_JM" TargetMode="External"/><Relationship Id="rId457" Type="http://schemas.openxmlformats.org/officeDocument/2006/relationships/hyperlink" Target="https://articulo.mercadolibre.cl/MLC-3312926490-galletas-saludables-cookids-cacao-kuna-foods-30-gr-sin-sellos-_JM" TargetMode="External"/><Relationship Id="rId214" Type="http://schemas.openxmlformats.org/officeDocument/2006/relationships/hyperlink" Target="https://articulo.mercadolibre.cl/MLC-2978896122-panera-redonda-de-mimbre-24-cm-amarillo-_JM" TargetMode="External"/><Relationship Id="rId335" Type="http://schemas.openxmlformats.org/officeDocument/2006/relationships/hyperlink" Target="https://articulo.mercadolibre.cl/MLC-3174055132-pack-4-megajets-4-figuras-superzing-serie-4-_JM" TargetMode="External"/><Relationship Id="rId456" Type="http://schemas.openxmlformats.org/officeDocument/2006/relationships/hyperlink" Target="https://articulo.mercadolibre.cl/MLC-3312939340-gumis-gomitas-de-fruta-kuna-foods-berries-4-unidades-_JM" TargetMode="External"/><Relationship Id="rId219" Type="http://schemas.openxmlformats.org/officeDocument/2006/relationships/hyperlink" Target="https://articulo.mercadolibre.cl/MLC-2997855954-candelabro-o-portavela-de-vidrio-11cm-25cm-diametro-transparente-_JM" TargetMode="External"/><Relationship Id="rId218" Type="http://schemas.openxmlformats.org/officeDocument/2006/relationships/hyperlink" Target="https://articulo.mercadolibre.cl/MLC-2997910656-pack-3-candelabro-o-portavela-de-vidrio-flor-de-loto-12cm-transparente-2-_JM" TargetMode="External"/><Relationship Id="rId339" Type="http://schemas.openxmlformats.org/officeDocument/2006/relationships/hyperlink" Target="https://articulo.mercadolibre.cl/MLC-1703814075-caja-8-megajets-8-figuras-superzing-serie-4-_JM" TargetMode="External"/><Relationship Id="rId330" Type="http://schemas.openxmlformats.org/officeDocument/2006/relationships/hyperlink" Target="https://articulo.mercadolibre.cl/MLC-1669075769-thomas-th-80n-cocedor-de-huevos-color-negra-_JM" TargetMode="External"/><Relationship Id="rId451" Type="http://schemas.openxmlformats.org/officeDocument/2006/relationships/hyperlink" Target="https://articulo.mercadolibre.cl/MLC-1744497811-plancha-alisadora-gama-alais-ceramic-shine-ion-nano-silver-color-negro-_JM" TargetMode="External"/><Relationship Id="rId450" Type="http://schemas.openxmlformats.org/officeDocument/2006/relationships/hyperlink" Target="https://articulo.mercadolibre.cl/MLC-1744547455-cortapelos-clipper-gama-gm-562-magnetico-13-piezas-color-azul-_JM" TargetMode="External"/><Relationship Id="rId213" Type="http://schemas.openxmlformats.org/officeDocument/2006/relationships/hyperlink" Target="https://articulo.mercadolibre.cl/MLC-2978908502-fuente-pileta-cascada-de-agua-buda-41-cm-feng-shui-gris-_JM" TargetMode="External"/><Relationship Id="rId334" Type="http://schemas.openxmlformats.org/officeDocument/2006/relationships/hyperlink" Target="https://articulo.mercadolibre.cl/MLC-3174055702-pack-2-blaster-jets-4-superzings-serie-4-_JM" TargetMode="External"/><Relationship Id="rId455" Type="http://schemas.openxmlformats.org/officeDocument/2006/relationships/hyperlink" Target="https://articulo.mercadolibre.cl/MLC-3312939382-galletas-saludables-cookids-frutilla-kuna-foods-30-gr-_JM" TargetMode="External"/><Relationship Id="rId212" Type="http://schemas.openxmlformats.org/officeDocument/2006/relationships/hyperlink" Target="https://articulo.mercadolibre.cl/MLC-2976030226-dermo-vagisil-jabon-liquido-intimo-ph-balanceado-354-ml-_JM" TargetMode="External"/><Relationship Id="rId333" Type="http://schemas.openxmlformats.org/officeDocument/2006/relationships/hyperlink" Target="https://articulo.mercadolibre.cl/MLC-3174061226-91-superzings-dorado-coleccionables-superzings-serie-4-_JM" TargetMode="External"/><Relationship Id="rId454" Type="http://schemas.openxmlformats.org/officeDocument/2006/relationships/hyperlink" Target="https://articulo.mercadolibre.cl/MLC-3312940368-galletas-saludables-cookids-para-ninos-de-kuna-bolsa-30-gr-tradicional-_JM" TargetMode="External"/><Relationship Id="rId211" Type="http://schemas.openxmlformats.org/officeDocument/2006/relationships/hyperlink" Target="https://articulo.mercadolibre.cl/MLC-1641521193-isolate-protein-strive-21-porciones-42-scoop-sin-sabor-_JM" TargetMode="External"/><Relationship Id="rId332" Type="http://schemas.openxmlformats.org/officeDocument/2006/relationships/hyperlink" Target="https://articulo.mercadolibre.cl/MLC-3174074694-pack-10-sobres-twopack-2-figuras-superzings-serie-4-_JM" TargetMode="External"/><Relationship Id="rId453" Type="http://schemas.openxmlformats.org/officeDocument/2006/relationships/hyperlink" Target="https://articulo.mercadolibre.cl/MLC-3312952168-gumis-gomitas-de-fruta-kuna-foods-durazno-4-unidades-_JM" TargetMode="External"/><Relationship Id="rId210" Type="http://schemas.openxmlformats.org/officeDocument/2006/relationships/hyperlink" Target="https://articulo.mercadolibre.cl/MLC-1641818277-beta-alanina-strive-60-porciones-sin-sabor-sin-sabor-_JM" TargetMode="External"/><Relationship Id="rId331" Type="http://schemas.openxmlformats.org/officeDocument/2006/relationships/hyperlink" Target="https://articulo.mercadolibre.cl/MLC-3174074946-figuritas-superzings-one-serie-4-_JM" TargetMode="External"/><Relationship Id="rId452" Type="http://schemas.openxmlformats.org/officeDocument/2006/relationships/hyperlink" Target="https://articulo.mercadolibre.cl/MLC-3312952240-galletas-saludables-cookids-mani-kuna-foods-30-gr-sin-sellos-_JM" TargetMode="External"/><Relationship Id="rId370" Type="http://schemas.openxmlformats.org/officeDocument/2006/relationships/hyperlink" Target="https://articulo.mercadolibre.cl/MLC-3196037304-aspiradora-thomas-th-2206bl-ciclonica-blancoturquesa-_JM" TargetMode="External"/><Relationship Id="rId491" Type="http://schemas.openxmlformats.org/officeDocument/2006/relationships/hyperlink" Target="https://articulo.mercadolibre.cl/MLC-3356134646-lechero-navideno-450-ml-viejo-pascuero-navidad-ceramica-rojo-_JM" TargetMode="External"/><Relationship Id="rId490" Type="http://schemas.openxmlformats.org/officeDocument/2006/relationships/hyperlink" Target="https://articulo.mercadolibre.cl/MLC-3356135160-pocillo-de-navidad-1-litro-viejito-pascuero-triple-ceramica-rojo-_JM" TargetMode="External"/><Relationship Id="rId129" Type="http://schemas.openxmlformats.org/officeDocument/2006/relationships/hyperlink" Target="https://articulo.mercadolibre.cl/MLC-2900107914-ultra-vision-400mg-60-capsulas-ortomolecular-chile-_JM" TargetMode="External"/><Relationship Id="rId128" Type="http://schemas.openxmlformats.org/officeDocument/2006/relationships/hyperlink" Target="https://articulo.mercadolibre.cl/MLC-2900145920-acido-caprilico-500mg-90-capsulas-vegetales-ortomolecular-chile-_JM" TargetMode="External"/><Relationship Id="rId249" Type="http://schemas.openxmlformats.org/officeDocument/2006/relationships/hyperlink" Target="https://articulo.mercadolibre.cl/MLC-3067384908-tratamiento-capilar-kativa-intenso-con-keratina-300ml-_JM" TargetMode="External"/><Relationship Id="rId127" Type="http://schemas.openxmlformats.org/officeDocument/2006/relationships/hyperlink" Target="https://articulo.mercadolibre.cl/MLC-2900158584-pileje-probiotico-lactibiane-atb-10-caps-sabor-natural-_JM" TargetMode="External"/><Relationship Id="rId248" Type="http://schemas.openxmlformats.org/officeDocument/2006/relationships/hyperlink" Target="https://articulo.mercadolibre.cl/MLC-3067408210-audifonos-para-iphone-lightning-con-microfono-hoco-blanco-blanco-_JM" TargetMode="External"/><Relationship Id="rId369" Type="http://schemas.openxmlformats.org/officeDocument/2006/relationships/hyperlink" Target="https://articulo.mercadolibre.cl/MLC-3196049900-horno-electrico-16lt-th-16n01-thomas-_JM" TargetMode="External"/><Relationship Id="rId126" Type="http://schemas.openxmlformats.org/officeDocument/2006/relationships/hyperlink" Target="https://articulo.mercadolibre.cl/MLC-2896190010-bentley-frutilla-gel-50-gr-_JM" TargetMode="External"/><Relationship Id="rId247" Type="http://schemas.openxmlformats.org/officeDocument/2006/relationships/hyperlink" Target="https://articulo.mercadolibre.cl/MLC-3067424090-acndicionador-profundo-kativa-curly-plex-450-ml-_JM" TargetMode="External"/><Relationship Id="rId368" Type="http://schemas.openxmlformats.org/officeDocument/2006/relationships/hyperlink" Target="https://articulo.mercadolibre.cl/MLC-3196049956-batidora-electrica-thomas-th-910pn-pedestal-negra-negro-50-hz-x-60-hz-_JM" TargetMode="External"/><Relationship Id="rId489" Type="http://schemas.openxmlformats.org/officeDocument/2006/relationships/hyperlink" Target="https://articulo.mercadolibre.cl/MLC-3356587176-pocillo-navideno-de-ceramica-viejito-pascuero-450-ml-navidad-rojo-_JM" TargetMode="External"/><Relationship Id="rId121" Type="http://schemas.openxmlformats.org/officeDocument/2006/relationships/hyperlink" Target="https://articulo.mercadolibre.cl/MLC-2896358394-preservativo-lifestyles-skyn-original-de-15-unidades-_JM" TargetMode="External"/><Relationship Id="rId242" Type="http://schemas.openxmlformats.org/officeDocument/2006/relationships/hyperlink" Target="https://articulo.mercadolibre.cl/MLC-1669253391-plancha-de-vapor-th-7003-color-blanco-_JM" TargetMode="External"/><Relationship Id="rId363" Type="http://schemas.openxmlformats.org/officeDocument/2006/relationships/hyperlink" Target="https://articulo.mercadolibre.cl/MLC-1710673607-aspiradora-thomas-th-1220af-aquafilter-amarillo-_JM" TargetMode="External"/><Relationship Id="rId484" Type="http://schemas.openxmlformats.org/officeDocument/2006/relationships/hyperlink" Target="https://articulo.mercadolibre.cl/MLC-3344359506-revelador-wella-color-touch-emulsion-color-touch-19-120ml-sin-tono-_JM" TargetMode="External"/><Relationship Id="rId120" Type="http://schemas.openxmlformats.org/officeDocument/2006/relationships/hyperlink" Target="https://articulo.mercadolibre.cl/MLC-2896370888-crevet-limonada-con-stevia-60-sobres-vit-c-propoleo-zinc-_JM" TargetMode="External"/><Relationship Id="rId241" Type="http://schemas.openxmlformats.org/officeDocument/2006/relationships/hyperlink" Target="https://articulo.mercadolibre.cl/MLC-1669255479-ondulador-siegen-sg-2411-cilindro-25mm-color-negro-negro-_JM" TargetMode="External"/><Relationship Id="rId362" Type="http://schemas.openxmlformats.org/officeDocument/2006/relationships/hyperlink" Target="https://articulo.mercadolibre.cl/MLC-1710685409-calienta-cama-siegen-sg-5121d5-2-plazas-150-x-140-cms-color-blanco-_JM" TargetMode="External"/><Relationship Id="rId483" Type="http://schemas.openxmlformats.org/officeDocument/2006/relationships/hyperlink" Target="https://articulo.mercadolibre.cl/MLC-1758527437-gama-termometro-ifr-xl-f03-neutro-blanco-_JM" TargetMode="External"/><Relationship Id="rId240" Type="http://schemas.openxmlformats.org/officeDocument/2006/relationships/hyperlink" Target="https://articulo.mercadolibre.cl/MLC-1669280533-alisador-siegen-sg-3510-ceramica-tourmalina-_JM" TargetMode="External"/><Relationship Id="rId361" Type="http://schemas.openxmlformats.org/officeDocument/2006/relationships/hyperlink" Target="https://articulo.mercadolibre.cl/MLC-1710697999-secador-de-pelo-siegen-sg-3012-negro-_JM" TargetMode="External"/><Relationship Id="rId482" Type="http://schemas.openxmlformats.org/officeDocument/2006/relationships/hyperlink" Target="https://articulo.mercadolibre.cl/MLC-1758539281-crema-oxidante-suprema-color-1000-ml-farmavita-tono-20vol-20vol-_JM" TargetMode="External"/><Relationship Id="rId360" Type="http://schemas.openxmlformats.org/officeDocument/2006/relationships/hyperlink" Target="https://articulo.mercadolibre.cl/MLC-1710711573-multimixer-thomas-th-8706-blanco-_JM" TargetMode="External"/><Relationship Id="rId481" Type="http://schemas.openxmlformats.org/officeDocument/2006/relationships/hyperlink" Target="https://articulo.mercadolibre.cl/MLC-1758539925-amethyste-hydrate-shampoo-1000-ml-_JM" TargetMode="External"/><Relationship Id="rId125" Type="http://schemas.openxmlformats.org/officeDocument/2006/relationships/hyperlink" Target="https://articulo.mercadolibre.cl/MLC-2896267476-preservativos-prime-skyn-elite-sin-latex-finos-x-3-un-_JM" TargetMode="External"/><Relationship Id="rId246" Type="http://schemas.openxmlformats.org/officeDocument/2006/relationships/hyperlink" Target="https://articulo.mercadolibre.cl/MLC-3067436312-kativa-keratina-acondicionador-nutricion-y-brillo-pelo-355ml-_JM" TargetMode="External"/><Relationship Id="rId367" Type="http://schemas.openxmlformats.org/officeDocument/2006/relationships/hyperlink" Target="https://articulo.mercadolibre.cl/MLC-1710905583-soporte-de-botella-navidad-viejo-pascuero-ceramica-rojo-_JM" TargetMode="External"/><Relationship Id="rId488" Type="http://schemas.openxmlformats.org/officeDocument/2006/relationships/hyperlink" Target="https://articulo.mercadolibre.cl/MLC-3356587408-lechero-navideno-viejo-pascuero-450-ml-ceramica-navidad-rojo-_JM" TargetMode="External"/><Relationship Id="rId124" Type="http://schemas.openxmlformats.org/officeDocument/2006/relationships/hyperlink" Target="https://articulo.mercadolibre.cl/MLC-2896293802-preservativo-lifestyles-skyn-large-6-unidades-_JM" TargetMode="External"/><Relationship Id="rId245" Type="http://schemas.openxmlformats.org/officeDocument/2006/relationships/hyperlink" Target="https://articulo.mercadolibre.cl/MLC-2906254752-power-bank-20000-bateria-portatil-super-carga-225w-hoco-color-negro-_JM" TargetMode="External"/><Relationship Id="rId366" Type="http://schemas.openxmlformats.org/officeDocument/2006/relationships/hyperlink" Target="https://articulo.mercadolibre.cl/MLC-1710970217-bombonera-de-navidad-caramelera-de-ceramica-3l-pascuero-rojo-_JM" TargetMode="External"/><Relationship Id="rId487" Type="http://schemas.openxmlformats.org/officeDocument/2006/relationships/hyperlink" Target="https://articulo.mercadolibre.cl/MLC-3356587742-salero-y-pimentero-navideno-viejito-pascuero-de-ceramica-rojo-_JM" TargetMode="External"/><Relationship Id="rId123" Type="http://schemas.openxmlformats.org/officeDocument/2006/relationships/hyperlink" Target="https://articulo.mercadolibre.cl/MLC-2896345276-lubricante-omg-bentley-estimulante-_JM" TargetMode="External"/><Relationship Id="rId244" Type="http://schemas.openxmlformats.org/officeDocument/2006/relationships/hyperlink" Target="https://articulo.mercadolibre.cl/MLC-1671256301-quitapelusa-siegen-sg-1010-_JM" TargetMode="External"/><Relationship Id="rId365" Type="http://schemas.openxmlformats.org/officeDocument/2006/relationships/hyperlink" Target="https://articulo.mercadolibre.cl/MLC-1710983057-bombonera-de-navidad-caramelera-de-navidad-3-litros-rojo-_JM" TargetMode="External"/><Relationship Id="rId486" Type="http://schemas.openxmlformats.org/officeDocument/2006/relationships/hyperlink" Target="https://articulo.mercadolibre.cl/MLC-3356677914-bandeja-doble-navidena-26cm-viejo-pascuero-navidad-ceramica-blanco-_JM" TargetMode="External"/><Relationship Id="rId122" Type="http://schemas.openxmlformats.org/officeDocument/2006/relationships/hyperlink" Target="https://articulo.mercadolibre.cl/MLC-2896358342-preservativos-condones-lifestyles-x21un-vibra-ribbed-stimula-_JM" TargetMode="External"/><Relationship Id="rId243" Type="http://schemas.openxmlformats.org/officeDocument/2006/relationships/hyperlink" Target="https://articulo.mercadolibre.cl/MLC-1669130145-extractor-de-jugo-th-2652i-color-gris-_JM" TargetMode="External"/><Relationship Id="rId364" Type="http://schemas.openxmlformats.org/officeDocument/2006/relationships/hyperlink" Target="https://articulo.mercadolibre.cl/MLC-1711048433-canasto-de-navidad-ceramica-viejito-pascuero-rojo-_JM" TargetMode="External"/><Relationship Id="rId485" Type="http://schemas.openxmlformats.org/officeDocument/2006/relationships/hyperlink" Target="https://articulo.mercadolibre.cl/MLC-3356679038-pocillo-de-navidad-cuenco-ceramica-viejo-pascuero-rojo-_JM" TargetMode="External"/><Relationship Id="rId95" Type="http://schemas.openxmlformats.org/officeDocument/2006/relationships/hyperlink" Target="https://articulo.mercadolibre.cl/MLC-2890055674-pileta-fuente-cascada-agua-religiosa-nino-jesus-san-jose-gris-_JM" TargetMode="External"/><Relationship Id="rId94" Type="http://schemas.openxmlformats.org/officeDocument/2006/relationships/hyperlink" Target="https://articulo.mercadolibre.cl/MLC-1609044811-barras-de-proteinas-yourgoal-protein-bite-4u-caramel-peanuts-caramel-peanuts-salty-_JM" TargetMode="External"/><Relationship Id="rId97" Type="http://schemas.openxmlformats.org/officeDocument/2006/relationships/hyperlink" Target="https://articulo.mercadolibre.cl/MLC-2892393542-set-29-9x9-piezas-alfombra-goma-eva-cuadros-bebe-ninos-multicolor-numeros-_JM" TargetMode="External"/><Relationship Id="rId96" Type="http://schemas.openxmlformats.org/officeDocument/2006/relationships/hyperlink" Target="https://articulo.mercadolibre.cl/MLC-2892446834-set27-5x5cm-abecedario-letras-gomaeva-bebe-alfombra-infantil-multicolor-abecedario-_JM" TargetMode="External"/><Relationship Id="rId99" Type="http://schemas.openxmlformats.org/officeDocument/2006/relationships/hyperlink" Target="https://articulo.mercadolibre.cl/MLC-2892225070-set-60-5x5-alfombra-infantil-goma-eva-cuadros-bebes-numeros-multicolor-numeros-_JM" TargetMode="External"/><Relationship Id="rId480" Type="http://schemas.openxmlformats.org/officeDocument/2006/relationships/hyperlink" Target="https://articulo.mercadolibre.cl/MLC-1758551677-balanza-pesa-deluxe-scf-2000-gama-imc-muscular-grasa-oseo-negro-_JM" TargetMode="External"/><Relationship Id="rId98" Type="http://schemas.openxmlformats.org/officeDocument/2006/relationships/hyperlink" Target="https://articulo.mercadolibre.cl/MLC-2892355596-set-10-9x9cm-alfombra-infantil-goma-eva-cuadros-bebes-ninos-multicolor-numeros-_JM" TargetMode="External"/><Relationship Id="rId91" Type="http://schemas.openxmlformats.org/officeDocument/2006/relationships/hyperlink" Target="https://articulo.mercadolibre.cl/MLC-2888665676-super-zings-serie-3-caja-sellada-25-personajes-_JM" TargetMode="External"/><Relationship Id="rId90" Type="http://schemas.openxmlformats.org/officeDocument/2006/relationships/hyperlink" Target="https://articulo.mercadolibre.cl/MLC-1608039965-strive-magnesio-l-triptofano-60-capsulas-nutricional-sin-sabor-_JM" TargetMode="External"/><Relationship Id="rId93" Type="http://schemas.openxmlformats.org/officeDocument/2006/relationships/hyperlink" Target="https://articulo.mercadolibre.cl/MLC-2888547512-barras-de-proteina-protein-bite-black-white-pack-4-barrita-_JM" TargetMode="External"/><Relationship Id="rId92" Type="http://schemas.openxmlformats.org/officeDocument/2006/relationships/hyperlink" Target="https://articulo.mercadolibre.cl/MLC-2888575494-creatina-monohidratada-micronizada-300gr-strive-sin-sabor-sin-sabor-_JM" TargetMode="External"/><Relationship Id="rId118" Type="http://schemas.openxmlformats.org/officeDocument/2006/relationships/hyperlink" Target="https://articulo.mercadolibre.cl/MLC-2896396666-lubricante-bentley-tropical-_JM" TargetMode="External"/><Relationship Id="rId239" Type="http://schemas.openxmlformats.org/officeDocument/2006/relationships/hyperlink" Target="https://articulo.mercadolibre.cl/MLC-3025065170-soporte-para-auto-hoco-ca94-polaris-para-rejilla-negro-_JM" TargetMode="External"/><Relationship Id="rId117" Type="http://schemas.openxmlformats.org/officeDocument/2006/relationships/hyperlink" Target="https://articulo.mercadolibre.cl/MLC-2896409798-bentley-gel-lubricante-chocolate-menta-50-gr-chocolatementa-_JM" TargetMode="External"/><Relationship Id="rId238" Type="http://schemas.openxmlformats.org/officeDocument/2006/relationships/hyperlink" Target="https://articulo.mercadolibre.cl/MLC-3009302444-goldenmilk-matcha-240-gr-leche-dorada-alma-foods-_JM" TargetMode="External"/><Relationship Id="rId359" Type="http://schemas.openxmlformats.org/officeDocument/2006/relationships/hyperlink" Target="https://articulo.mercadolibre.cl/MLC-1710762837-alisador-siegen-sg-4653-placas-con-titanio-cafe-_JM" TargetMode="External"/><Relationship Id="rId116" Type="http://schemas.openxmlformats.org/officeDocument/2006/relationships/hyperlink" Target="https://articulo.mercadolibre.cl/MLC-2895582228-yourgoal-barra-protein-snack-banana-chips-caramel-caja-5un-_JM" TargetMode="External"/><Relationship Id="rId237" Type="http://schemas.openxmlformats.org/officeDocument/2006/relationships/hyperlink" Target="https://articulo.mercadolibre.cl/MLC-3009771438-goldenmilk-cacao-240-gr-leche-dorada-alma-foods-_JM" TargetMode="External"/><Relationship Id="rId358" Type="http://schemas.openxmlformats.org/officeDocument/2006/relationships/hyperlink" Target="https://articulo.mercadolibre.cl/MLC-1710775847-hervidor-thomas-th-6070vi-18-litros-color-negro-negro-_JM" TargetMode="External"/><Relationship Id="rId479" Type="http://schemas.openxmlformats.org/officeDocument/2006/relationships/hyperlink" Target="https://articulo.mercadolibre.cl/MLC-1758551719-farmavita-hd-spray-smooth-protect-_JM" TargetMode="External"/><Relationship Id="rId115" Type="http://schemas.openxmlformats.org/officeDocument/2006/relationships/hyperlink" Target="https://articulo.mercadolibre.cl/MLC-2895647120-barras-de-proteina-protein-snack-sabor-chocolate-crispis-p-_JM" TargetMode="External"/><Relationship Id="rId236" Type="http://schemas.openxmlformats.org/officeDocument/2006/relationships/hyperlink" Target="https://articulo.mercadolibre.cl/MLC-3005503868-fungi-pharma-cordyceps-suplemento-gotas-herbal-sin-lactosa-ni-gluten-_JM" TargetMode="External"/><Relationship Id="rId357" Type="http://schemas.openxmlformats.org/officeDocument/2006/relationships/hyperlink" Target="https://articulo.mercadolibre.cl/MLC-1708372845-piso-bar-de-madera-taburete-de-madera-alto-69-cm-liso-marron-_JM" TargetMode="External"/><Relationship Id="rId478" Type="http://schemas.openxmlformats.org/officeDocument/2006/relationships/hyperlink" Target="https://articulo.mercadolibre.cl/MLC-1758551827-plancha-de-cabello-gama-italy-red-ionix-hp-_JM" TargetMode="External"/><Relationship Id="rId119" Type="http://schemas.openxmlformats.org/officeDocument/2006/relationships/hyperlink" Target="https://articulo.mercadolibre.cl/MLC-2896370956-bentley-classic-gel-50-gr-_JM" TargetMode="External"/><Relationship Id="rId110" Type="http://schemas.openxmlformats.org/officeDocument/2006/relationships/hyperlink" Target="https://articulo.mercadolibre.cl/MLC-2895855204-yourgoal-barra-protein-snack-rich-caramel-caja-5un-_JM" TargetMode="External"/><Relationship Id="rId231" Type="http://schemas.openxmlformats.org/officeDocument/2006/relationships/hyperlink" Target="https://articulo.mercadolibre.cl/MLC-2943499262-auriculares-w35-max-joy-bt-color-gold-luz-plateado-gold-_JM" TargetMode="External"/><Relationship Id="rId352" Type="http://schemas.openxmlformats.org/officeDocument/2006/relationships/hyperlink" Target="https://articulo.mercadolibre.cl/MLC-1708628273-mortero-de-madera-moledor-de-hierbas-semillas-cocina-madera-_JM" TargetMode="External"/><Relationship Id="rId473" Type="http://schemas.openxmlformats.org/officeDocument/2006/relationships/hyperlink" Target="https://articulo.mercadolibre.cl/MLC-3343573702-gama-tensiometro-muneca-bp2116-neutro-blanco-_JM" TargetMode="External"/><Relationship Id="rId230" Type="http://schemas.openxmlformats.org/officeDocument/2006/relationships/hyperlink" Target="https://articulo.mercadolibre.cl/MLC-1657770681-goma-eva-plegable-18m-x-15m-6mm-resistente-ninos-bebes-multicolor-azul-verde-_JM" TargetMode="External"/><Relationship Id="rId351" Type="http://schemas.openxmlformats.org/officeDocument/2006/relationships/hyperlink" Target="https://articulo.mercadolibre.cl/MLC-3181213354-caja-panera-de-madera-con-tapa-enrollable-multiuso-grande-pino-madera-_JM" TargetMode="External"/><Relationship Id="rId472" Type="http://schemas.openxmlformats.org/officeDocument/2006/relationships/hyperlink" Target="https://articulo.mercadolibre.cl/MLC-3343573790-amethyste-silver-shampoo-1000ml-_JM" TargetMode="External"/><Relationship Id="rId350" Type="http://schemas.openxmlformats.org/officeDocument/2006/relationships/hyperlink" Target="https://articulo.mercadolibre.cl/MLC-3177838704-serum-todo-cabello-sin-enjuage-bubblegum-30-ml-ritzy-mash-_JM" TargetMode="External"/><Relationship Id="rId471" Type="http://schemas.openxmlformats.org/officeDocument/2006/relationships/hyperlink" Target="https://articulo.mercadolibre.cl/MLC-1754370449-jamon-serrano-100g-espanol-premium-la-loberia-_JM" TargetMode="External"/><Relationship Id="rId470" Type="http://schemas.openxmlformats.org/officeDocument/2006/relationships/hyperlink" Target="https://articulo.mercadolibre.cl/MLC-1754448293-chorizo-chileno-premium-100-grs-carne-de-cerdo-la-loberia-_JM" TargetMode="External"/><Relationship Id="rId114" Type="http://schemas.openxmlformats.org/officeDocument/2006/relationships/hyperlink" Target="https://articulo.mercadolibre.cl/MLC-2895647764-barras-de-proteina-twentys-sabor-chocolate-fudge-pack-12-barritas-60g-cu-yourgoal-nutrition-suplemento-con-proteina-_JM" TargetMode="External"/><Relationship Id="rId235" Type="http://schemas.openxmlformats.org/officeDocument/2006/relationships/hyperlink" Target="https://articulo.mercadolibre.cl/MLC-3005556052-fungi-pharma-extracto-de-hongo-maitake-30ml-sin-sabor-_JM" TargetMode="External"/><Relationship Id="rId356" Type="http://schemas.openxmlformats.org/officeDocument/2006/relationships/hyperlink" Target="https://articulo.mercadolibre.cl/MLC-1708386125-taburete-de-madera-piso-bar-de-madera-bajo-49-cm-madera-marron-_JM" TargetMode="External"/><Relationship Id="rId477" Type="http://schemas.openxmlformats.org/officeDocument/2006/relationships/hyperlink" Target="https://articulo.mercadolibre.cl/MLC-1758600211-secador-de-pelo-gama-brilliant-ceramic-ion-aqua-therapy-verde-_JM" TargetMode="External"/><Relationship Id="rId113" Type="http://schemas.openxmlformats.org/officeDocument/2006/relationships/hyperlink" Target="https://articulo.mercadolibre.cl/MLC-2895725876-pack-12-barras-de-proteina-60g-twentys-sabor-avellana-hazelnut-praline-yourgoal-nutrition-_JM" TargetMode="External"/><Relationship Id="rId234" Type="http://schemas.openxmlformats.org/officeDocument/2006/relationships/hyperlink" Target="https://articulo.mercadolibre.cl/MLC-3005595056-fungi-pharma-extracto-de-hongo-shiitake-30-ml-sin-sabor-_JM" TargetMode="External"/><Relationship Id="rId355" Type="http://schemas.openxmlformats.org/officeDocument/2006/relationships/hyperlink" Target="https://articulo.mercadolibre.cl/MLC-1708395147-uslero-madera-amasar-pan-postres-rodillo-reposteria-cocina-_JM" TargetMode="External"/><Relationship Id="rId476" Type="http://schemas.openxmlformats.org/officeDocument/2006/relationships/hyperlink" Target="https://articulo.mercadolibre.cl/MLC-3343450284-gama-plancha-elegance-coconut-almond-color-blanco-blanco-_JM" TargetMode="External"/><Relationship Id="rId112" Type="http://schemas.openxmlformats.org/officeDocument/2006/relationships/hyperlink" Target="https://articulo.mercadolibre.cl/MLC-2895751464-barras-de-proteina-twentys-sabor-chocolate-brownie-pack-12-barritas-60g-cu-yourgoal-nutrition-suplemento-con-proteina-brownie-de-chocolate-_JM" TargetMode="External"/><Relationship Id="rId233" Type="http://schemas.openxmlformats.org/officeDocument/2006/relationships/hyperlink" Target="https://articulo.mercadolibre.cl/MLC-3005621100-suplemento-en-gotas-fungi-pharma-suplementos-alimenticios-cola-de-pavo-concentrado-liquido-x-30ml-_JM" TargetMode="External"/><Relationship Id="rId354" Type="http://schemas.openxmlformats.org/officeDocument/2006/relationships/hyperlink" Target="https://articulo.mercadolibre.cl/MLC-1708460409-tabla-para-picar-de-madera-grande-gruesa-47x25x35-lenga-lenga-lenga-_JM" TargetMode="External"/><Relationship Id="rId475" Type="http://schemas.openxmlformats.org/officeDocument/2006/relationships/hyperlink" Target="https://articulo.mercadolibre.cl/MLC-3343535904-farmavita-oxidante-suprema-color-20v-60ml-_JM" TargetMode="External"/><Relationship Id="rId111" Type="http://schemas.openxmlformats.org/officeDocument/2006/relationships/hyperlink" Target="https://articulo.mercadolibre.cl/MLC-2895816052-barras-de-proteina-protein-sanck-sabor-snack-berries-white-glaze-pack-5-barritas-42g-cu-yourgoal-nutrition-suplemento-con-proteina-_JM" TargetMode="External"/><Relationship Id="rId232" Type="http://schemas.openxmlformats.org/officeDocument/2006/relationships/hyperlink" Target="https://articulo.mercadolibre.cl/MLC-3005659656-fungi-pharma-extracto-de-hongo-chaga-inmunomodulador-30ml-sin-sabor-_JM" TargetMode="External"/><Relationship Id="rId353" Type="http://schemas.openxmlformats.org/officeDocument/2006/relationships/hyperlink" Target="https://articulo.mercadolibre.cl/MLC-1708579771-piso-bar-de-madera-taburete-de-madera-alto-69-cm-liso-marron-oscuro-_JM" TargetMode="External"/><Relationship Id="rId474" Type="http://schemas.openxmlformats.org/officeDocument/2006/relationships/hyperlink" Target="https://articulo.mercadolibre.cl/MLC-3343536102-sow-must-hair-leave-in-regenerador-protector-termico-150ml-_JM" TargetMode="External"/><Relationship Id="rId305" Type="http://schemas.openxmlformats.org/officeDocument/2006/relationships/hyperlink" Target="https://articulo.mercadolibre.cl/MLC-3116884272-te-negro-cacao-50g-blends-and-tea-_JM" TargetMode="External"/><Relationship Id="rId426" Type="http://schemas.openxmlformats.org/officeDocument/2006/relationships/hyperlink" Target="https://articulo.mercadolibre.cl/MLC-3288402500-caramelera-navidena-galletero-navideno-pascuero-ceramica-27c-rojo-_JM" TargetMode="External"/><Relationship Id="rId304" Type="http://schemas.openxmlformats.org/officeDocument/2006/relationships/hyperlink" Target="https://articulo.mercadolibre.cl/MLC-3116896086-te-fucsia-50g-blends-and-tea-_JM" TargetMode="External"/><Relationship Id="rId425" Type="http://schemas.openxmlformats.org/officeDocument/2006/relationships/hyperlink" Target="https://articulo.mercadolibre.cl/MLC-3288422610-soporte-para-auto-hoco-ca76-para-tablero-porta-celular-negro-_JM" TargetMode="External"/><Relationship Id="rId303" Type="http://schemas.openxmlformats.org/officeDocument/2006/relationships/hyperlink" Target="https://articulo.mercadolibre.cl/MLC-3116896774-te-negro-cacao-100g-blends-and-tea-_JM" TargetMode="External"/><Relationship Id="rId424" Type="http://schemas.openxmlformats.org/officeDocument/2006/relationships/hyperlink" Target="https://articulo.mercadolibre.cl/MLC-3288422644-audifonos-hoco-es64-easy-sound-sports-in-ear-bluetooth-negro-_JM" TargetMode="External"/><Relationship Id="rId302" Type="http://schemas.openxmlformats.org/officeDocument/2006/relationships/hyperlink" Target="https://articulo.mercadolibre.cl/MLC-3116896852-te-negro-masala-chai-100g-blends-and-tea-_JM" TargetMode="External"/><Relationship Id="rId423" Type="http://schemas.openxmlformats.org/officeDocument/2006/relationships/hyperlink" Target="https://articulo.mercadolibre.cl/MLC-3288431120-hocoj115-mini-bateria-portatil-5000mah-para-iphone-android-negro-_JM" TargetMode="External"/><Relationship Id="rId309" Type="http://schemas.openxmlformats.org/officeDocument/2006/relationships/hyperlink" Target="https://articulo.mercadolibre.cl/MLC-3117476414-te-oolong-jengibre-limon-150g-blends-and-tea-_JM" TargetMode="External"/><Relationship Id="rId308" Type="http://schemas.openxmlformats.org/officeDocument/2006/relationships/hyperlink" Target="https://articulo.mercadolibre.cl/MLC-3117536918-te-pu-erh-naranja-100g-blends-and-tea-_JM" TargetMode="External"/><Relationship Id="rId429" Type="http://schemas.openxmlformats.org/officeDocument/2006/relationships/hyperlink" Target="https://articulo.mercadolibre.cl/MLC-3288067140-caramelera-navidena-galletero-navideno-pascuero-ceramica-18c-rojo-_JM" TargetMode="External"/><Relationship Id="rId307" Type="http://schemas.openxmlformats.org/officeDocument/2006/relationships/hyperlink" Target="https://articulo.mercadolibre.cl/MLC-3117614260-te-verde-menta-frutilla-150g-blends-and-tea-_JM" TargetMode="External"/><Relationship Id="rId428" Type="http://schemas.openxmlformats.org/officeDocument/2006/relationships/hyperlink" Target="https://articulo.mercadolibre.cl/MLC-3288070092-dispositivo-inteligente-anti-perdida-smart-tag-hoco-e91-color-negro-compatible-con-iphone-_JM" TargetMode="External"/><Relationship Id="rId306" Type="http://schemas.openxmlformats.org/officeDocument/2006/relationships/hyperlink" Target="https://articulo.mercadolibre.cl/MLC-3117625958-te-verde-detox-100g-blends-and-tea-_JM" TargetMode="External"/><Relationship Id="rId427" Type="http://schemas.openxmlformats.org/officeDocument/2006/relationships/hyperlink" Target="https://articulo.mercadolibre.cl/MLC-3288388902-tazon-de-navidad-800-ml-de-ceramica-merry-christmas-rojo-_JM" TargetMode="External"/><Relationship Id="rId301" Type="http://schemas.openxmlformats.org/officeDocument/2006/relationships/hyperlink" Target="https://articulo.mercadolibre.cl/MLC-3116934362-te-blanco-manzana-y-frutilla-100g-blends-and-tea-_JM" TargetMode="External"/><Relationship Id="rId422" Type="http://schemas.openxmlformats.org/officeDocument/2006/relationships/hyperlink" Target="https://articulo.mercadolibre.cl/MLC-3288435656-powerbank-de-80000mah-65w-con-linterna-pantalla-digital-fast-negro-_JM" TargetMode="External"/><Relationship Id="rId300" Type="http://schemas.openxmlformats.org/officeDocument/2006/relationships/hyperlink" Target="https://articulo.mercadolibre.cl/MLC-3117013490-te-negro-cacao-100g-recarga-blends-and-tea-_JM" TargetMode="External"/><Relationship Id="rId421" Type="http://schemas.openxmlformats.org/officeDocument/2006/relationships/hyperlink" Target="https://articulo.mercadolibre.cl/MLC-3288441608-bandeja-rectangular-navidena-28cm-ceramica-decorativa-rojo-_JM" TargetMode="External"/><Relationship Id="rId420" Type="http://schemas.openxmlformats.org/officeDocument/2006/relationships/hyperlink" Target="https://articulo.mercadolibre.cl/MLC-3288480604-caramelera-navidena-galletero-navideno-pascuero-ceramica-20c-rojo-_JM" TargetMode="External"/><Relationship Id="rId415" Type="http://schemas.openxmlformats.org/officeDocument/2006/relationships/hyperlink" Target="https://articulo.mercadolibre.cl/MLC-3288521626-soporte-de-celular-para-moto-hoco-h31-wild-wolf-negro-negro-_JM" TargetMode="External"/><Relationship Id="rId536" Type="http://schemas.openxmlformats.org/officeDocument/2006/relationships/hyperlink" Target="https://articulo.mercadolibre.cl/MLC-2869377854-estatua-figura-religiosa-angel-virgen-maria-familia-sagrada-color-roble-_JM" TargetMode="External"/><Relationship Id="rId414" Type="http://schemas.openxmlformats.org/officeDocument/2006/relationships/hyperlink" Target="https://articulo.mercadolibre.cl/MLC-3288521668-soporte-porta-celular-360-de-rejilla-ventilacion-auto-coche-_JM" TargetMode="External"/><Relationship Id="rId535" Type="http://schemas.openxmlformats.org/officeDocument/2006/relationships/hyperlink" Target="https://articulo.mercadolibre.cl/MLC-2869377854-estatua-figura-religiosa-angel-virgen-maria-familia-sagrada-color-roble-_JM" TargetMode="External"/><Relationship Id="rId413" Type="http://schemas.openxmlformats.org/officeDocument/2006/relationships/hyperlink" Target="https://articulo.mercadolibre.cl/MLC-3288521682-audifono-inalambrico-in-ear-hoco-ew77-blanco-_JM" TargetMode="External"/><Relationship Id="rId534" Type="http://schemas.openxmlformats.org/officeDocument/2006/relationships/hyperlink" Target="https://articulo.mercadolibre.cl/MLC-3110787142-espejo-para-maquillaje-espejo-doble-de-mesa-con-aumento-36cm-rosado-_JM" TargetMode="External"/><Relationship Id="rId412" Type="http://schemas.openxmlformats.org/officeDocument/2006/relationships/hyperlink" Target="https://articulo.mercadolibre.cl/MLC-3288521702-audifonos-hoco-eq5-energy-anc-tws-in-ear-bluetooth-negro-negro-_JM" TargetMode="External"/><Relationship Id="rId533" Type="http://schemas.openxmlformats.org/officeDocument/2006/relationships/hyperlink" Target="https://articulo.mercadolibre.cl/MLC-3110787142-espejo-para-maquillaje-espejo-doble-de-mesa-con-aumento-36cm-rosado-_JM" TargetMode="External"/><Relationship Id="rId419" Type="http://schemas.openxmlformats.org/officeDocument/2006/relationships/hyperlink" Target="https://articulo.mercadolibre.cl/MLC-3288483108-audifonos-hoco-ew46-tws-in-ear-bluetooth-khaki-cat-color-amarillo-_JM" TargetMode="External"/><Relationship Id="rId418" Type="http://schemas.openxmlformats.org/officeDocument/2006/relationships/hyperlink" Target="https://articulo.mercadolibre.cl/MLC-3288508736-audifonos-inalambricos-para-ninos-gato-bluetooth-hoco-ew46-gris-_JM" TargetMode="External"/><Relationship Id="rId417" Type="http://schemas.openxmlformats.org/officeDocument/2006/relationships/hyperlink" Target="https://articulo.mercadolibre.cl/MLC-3288513340-hoco-audifono-tws-con-cancelacion-ruidoenc-comp-iphone-eq16-morado-_JM" TargetMode="External"/><Relationship Id="rId416" Type="http://schemas.openxmlformats.org/officeDocument/2006/relationships/hyperlink" Target="https://articulo.mercadolibre.cl/MLC-3288513352-audifonos-hoco-eq16-cancelacion-ruidoenc-color-azul-acero-azul-acero-_JM" TargetMode="External"/><Relationship Id="rId537" Type="http://schemas.openxmlformats.org/officeDocument/2006/relationships/drawing" Target="../drawings/drawing1.xml"/><Relationship Id="rId411" Type="http://schemas.openxmlformats.org/officeDocument/2006/relationships/hyperlink" Target="https://articulo.mercadolibre.cl/MLC-3288534824-audifonos-hoco-ew45-in-ear-bluetooth-tws-forest-cat-verde-verde-oscuro-_JM" TargetMode="External"/><Relationship Id="rId532" Type="http://schemas.openxmlformats.org/officeDocument/2006/relationships/hyperlink" Target="https://articulo.mercadolibre.cl/MLC-1726540139-goldenmilk-matcha-240-gr-leche-dorada-alma-foods-_JM" TargetMode="External"/><Relationship Id="rId410" Type="http://schemas.openxmlformats.org/officeDocument/2006/relationships/hyperlink" Target="https://articulo.mercadolibre.cl/MLC-3288539538-audifonos-deportivos-conduccion-osea-aerea-bluetooth-hoco-8h-negro-_JM" TargetMode="External"/><Relationship Id="rId531" Type="http://schemas.openxmlformats.org/officeDocument/2006/relationships/hyperlink" Target="https://articulo.mercadolibre.cl/MLC-1726540139-goldenmilk-matcha-240-gr-leche-dorada-alma-foods-_JM" TargetMode="External"/><Relationship Id="rId530" Type="http://schemas.openxmlformats.org/officeDocument/2006/relationships/hyperlink" Target="https://articulo.mercadolibre.cl/MLC-1686913869-box-4-barras-twentys-chocolate-fudge-your-goal-chocolate-fudge-_JM" TargetMode="External"/><Relationship Id="rId206" Type="http://schemas.openxmlformats.org/officeDocument/2006/relationships/hyperlink" Target="https://articulo.mercadolibre.cl/MLC-2943261160-puffs-cereal-infantil-kuna-foods-platano-zapallo-50g-_JM" TargetMode="External"/><Relationship Id="rId327" Type="http://schemas.openxmlformats.org/officeDocument/2006/relationships/hyperlink" Target="https://articulo.mercadolibre.cl/MLC-1689058519-te-negro-masala-chai-100g-recarga-blends-and-tea-_JM" TargetMode="External"/><Relationship Id="rId448" Type="http://schemas.openxmlformats.org/officeDocument/2006/relationships/hyperlink" Target="https://articulo.mercadolibre.cl/MLC-1744587827-puffs-cereal-infantil-kuna-foods-sabor-cacao-50g-sin-tacc-sin-sellos-_JM" TargetMode="External"/><Relationship Id="rId205" Type="http://schemas.openxmlformats.org/officeDocument/2006/relationships/hyperlink" Target="https://articulo.mercadolibre.cl/MLC-2947112604-puffs-cereal-infantil-kuna-foods-pera-espinaca-50g-_JM" TargetMode="External"/><Relationship Id="rId326" Type="http://schemas.openxmlformats.org/officeDocument/2006/relationships/hyperlink" Target="https://articulo.mercadolibre.cl/MLC-1689059043-te-oolong-manzana-canela-100g-blends-and-tea-_JM" TargetMode="External"/><Relationship Id="rId447" Type="http://schemas.openxmlformats.org/officeDocument/2006/relationships/hyperlink" Target="https://articulo.mercadolibre.cl/MLC-3308914704-maquina-afeitadora-braun-series-3-300s-roja-_JM" TargetMode="External"/><Relationship Id="rId204" Type="http://schemas.openxmlformats.org/officeDocument/2006/relationships/hyperlink" Target="https://articulo.mercadolibre.cl/MLC-2947246518-cereales-puffs-kuna-cereal-infantil-betarraga-frutilla-en-bolsa-sin-tacc-50g-_JM" TargetMode="External"/><Relationship Id="rId325" Type="http://schemas.openxmlformats.org/officeDocument/2006/relationships/hyperlink" Target="https://articulo.mercadolibre.cl/MLC-1689059791-te-verde-menta-frutilla-100g-recarga-blends-and-tea-_JM" TargetMode="External"/><Relationship Id="rId446" Type="http://schemas.openxmlformats.org/officeDocument/2006/relationships/hyperlink" Target="https://articulo.mercadolibre.cl/MLC-3308914728-gama-afeitadora-femenina-tiny-go-usb-negro-_JM" TargetMode="External"/><Relationship Id="rId203" Type="http://schemas.openxmlformats.org/officeDocument/2006/relationships/hyperlink" Target="https://articulo.mercadolibre.cl/MLC-2942160228-stevia-polvo-400-sobres-naturalist-_JM" TargetMode="External"/><Relationship Id="rId324" Type="http://schemas.openxmlformats.org/officeDocument/2006/relationships/hyperlink" Target="https://articulo.mercadolibre.cl/MLC-1689072239-te-oolong-manzana-canela-100g-recarga-blends-and-tea-_JM" TargetMode="External"/><Relationship Id="rId445" Type="http://schemas.openxmlformats.org/officeDocument/2006/relationships/hyperlink" Target="https://articulo.mercadolibre.cl/MLC-3309044070-planchita-de-pelo-gama-keration-x-wide-digital-230c-color-dorado-_JM" TargetMode="External"/><Relationship Id="rId209" Type="http://schemas.openxmlformats.org/officeDocument/2006/relationships/hyperlink" Target="https://articulo.mercadolibre.cl/MLC-2950189532-aceite-mustela-de-masaje-_JM" TargetMode="External"/><Relationship Id="rId208" Type="http://schemas.openxmlformats.org/officeDocument/2006/relationships/hyperlink" Target="https://articulo.mercadolibre.cl/MLC-2950215486-te-hibisco-detox-vitalidad-150-gr-blends-tea-_JM" TargetMode="External"/><Relationship Id="rId329" Type="http://schemas.openxmlformats.org/officeDocument/2006/relationships/hyperlink" Target="https://articulo.mercadolibre.cl/MLC-3134950270-te-hibisco-detox-vitalidad-150-gr-blends-tea-_JM" TargetMode="External"/><Relationship Id="rId207" Type="http://schemas.openxmlformats.org/officeDocument/2006/relationships/hyperlink" Target="https://articulo.mercadolibre.cl/MLC-2943118506-puffs-cereal-infantil-kuna-foods-manzana-arandano-50g-_JM" TargetMode="External"/><Relationship Id="rId328" Type="http://schemas.openxmlformats.org/officeDocument/2006/relationships/hyperlink" Target="https://articulo.mercadolibre.cl/MLC-3121791366-creatina-monohidratada-creapure-300g-strive-sin-sabor-_JM" TargetMode="External"/><Relationship Id="rId449" Type="http://schemas.openxmlformats.org/officeDocument/2006/relationships/hyperlink" Target="https://articulo.mercadolibre.cl/MLC-1744573095-secador-de-pelo-gama-diamond-st-bk-220-ion-2300-watts-color-negro-_JM" TargetMode="External"/><Relationship Id="rId440" Type="http://schemas.openxmlformats.org/officeDocument/2006/relationships/hyperlink" Target="https://articulo.mercadolibre.cl/MLC-3309121820-secador-de-pelo-gama-italy-eolic-travel-_JM" TargetMode="External"/><Relationship Id="rId202" Type="http://schemas.openxmlformats.org/officeDocument/2006/relationships/hyperlink" Target="https://articulo.mercadolibre.cl/MLC-2942213686-petalos-desmaquillante-biodegradables-organyc-70u-full-_JM" TargetMode="External"/><Relationship Id="rId323" Type="http://schemas.openxmlformats.org/officeDocument/2006/relationships/hyperlink" Target="https://articulo.mercadolibre.cl/MLC-1689085255-te-pu-erh-rosas-100g-recarga-blends-and-tea-_JM" TargetMode="External"/><Relationship Id="rId444" Type="http://schemas.openxmlformats.org/officeDocument/2006/relationships/hyperlink" Target="https://articulo.mercadolibre.cl/MLC-3309044110-olla-cera-depilatoria-gama-dep-500-cc-negra-blanco-_JM" TargetMode="External"/><Relationship Id="rId201" Type="http://schemas.openxmlformats.org/officeDocument/2006/relationships/hyperlink" Target="https://articulo.mercadolibre.cl/MLC-2942277246-preservativos-skyn-extra-lubricated-x-6-_JM" TargetMode="External"/><Relationship Id="rId322" Type="http://schemas.openxmlformats.org/officeDocument/2006/relationships/hyperlink" Target="https://articulo.mercadolibre.cl/MLC-1689085407-te-pu-erh-naranja-100g-recarga-blends-and-tea-_JM" TargetMode="External"/><Relationship Id="rId443" Type="http://schemas.openxmlformats.org/officeDocument/2006/relationships/hyperlink" Target="https://articulo.mercadolibre.cl/MLC-3309044160-cortapelo-clipper-multistyler-gama-gc-625-inalambrico-gris-negro-_JM" TargetMode="External"/><Relationship Id="rId200" Type="http://schemas.openxmlformats.org/officeDocument/2006/relationships/hyperlink" Target="https://articulo.mercadolibre.cl/MLC-2942303216-infor-pro-sport-creatina-x-60-gomitas-sabor-frutos-tropicales-_JM" TargetMode="External"/><Relationship Id="rId321" Type="http://schemas.openxmlformats.org/officeDocument/2006/relationships/hyperlink" Target="https://articulo.mercadolibre.cl/MLC-1689085649-te-verde-menta-frutilla-100g-blends-and-tea-_JM" TargetMode="External"/><Relationship Id="rId442" Type="http://schemas.openxmlformats.org/officeDocument/2006/relationships/hyperlink" Target="https://articulo.mercadolibre.cl/MLC-3309044210-cepillo-turbo-ion-2600-3-en-1-gama-_JM" TargetMode="External"/><Relationship Id="rId320" Type="http://schemas.openxmlformats.org/officeDocument/2006/relationships/hyperlink" Target="https://articulo.mercadolibre.cl/MLC-1689097837-te-oolong-jengibre-limon-50g-blends-and-tea-_JM" TargetMode="External"/><Relationship Id="rId441" Type="http://schemas.openxmlformats.org/officeDocument/2006/relationships/hyperlink" Target="https://articulo.mercadolibre.cl/MLC-3309121804-secador-de-pelo-gama-mistral-ceramic-ion-nano-silver-2200w-color-negro-_JM" TargetMode="External"/><Relationship Id="rId316" Type="http://schemas.openxmlformats.org/officeDocument/2006/relationships/hyperlink" Target="https://articulo.mercadolibre.cl/MLC-1689137437-te-verde-detox-100g-recarga-blends-and-tea-_JM" TargetMode="External"/><Relationship Id="rId437" Type="http://schemas.openxmlformats.org/officeDocument/2006/relationships/hyperlink" Target="https://articulo.mercadolibre.cl/MLC-3309264864-plancha-de-cabello-mini-gama-italy-cp1-mini-ceramic-ion-negra-_JM" TargetMode="External"/><Relationship Id="rId315" Type="http://schemas.openxmlformats.org/officeDocument/2006/relationships/hyperlink" Target="https://articulo.mercadolibre.cl/MLC-1689349077-te-oolong-manzana-canela-50g-blends-and-tea-_JM" TargetMode="External"/><Relationship Id="rId436" Type="http://schemas.openxmlformats.org/officeDocument/2006/relationships/hyperlink" Target="https://articulo.mercadolibre.cl/MLC-3295825624-bandeja-rectangular-de-navidad-decorativa-de-ceramica-32cm-rojo-_JM" TargetMode="External"/><Relationship Id="rId314" Type="http://schemas.openxmlformats.org/officeDocument/2006/relationships/hyperlink" Target="https://articulo.mercadolibre.cl/MLC-1689349479-te-pu-erh-naranja-150g-blends-and-tea-_JM" TargetMode="External"/><Relationship Id="rId435" Type="http://schemas.openxmlformats.org/officeDocument/2006/relationships/hyperlink" Target="https://articulo.mercadolibre.cl/MLC-1737926667-estatua-dama-de-la-justicia-adorno-dama-de-la-justicia-35cm-dorado-oscuro-_JM" TargetMode="External"/><Relationship Id="rId313" Type="http://schemas.openxmlformats.org/officeDocument/2006/relationships/hyperlink" Target="https://articulo.mercadolibre.cl/MLC-1689362349-te-pu-erh-rosas-100g-blends-and-tea-_JM" TargetMode="External"/><Relationship Id="rId434" Type="http://schemas.openxmlformats.org/officeDocument/2006/relationships/hyperlink" Target="https://articulo.mercadolibre.cl/MLC-1738017115-jarra-navidena-jarra-decorativa-de-navidad-2l-ceramica-rojo-_JM" TargetMode="External"/><Relationship Id="rId319" Type="http://schemas.openxmlformats.org/officeDocument/2006/relationships/hyperlink" Target="https://articulo.mercadolibre.cl/MLC-1689110567-te-oolong-jengibre-limon-100g-blends-and-tea-_JM" TargetMode="External"/><Relationship Id="rId318" Type="http://schemas.openxmlformats.org/officeDocument/2006/relationships/hyperlink" Target="https://articulo.mercadolibre.cl/MLC-1689123437-te-negro-masala-chai-150g-blends-and-tea-_JM" TargetMode="External"/><Relationship Id="rId439" Type="http://schemas.openxmlformats.org/officeDocument/2006/relationships/hyperlink" Target="https://articulo.mercadolibre.cl/MLC-3309264656-balanza-digital-gama-negra-scg-430-vidrio-templado-black-negro-_JM" TargetMode="External"/><Relationship Id="rId317" Type="http://schemas.openxmlformats.org/officeDocument/2006/relationships/hyperlink" Target="https://articulo.mercadolibre.cl/MLC-1689124437-te-pu-erh-rosas-150g-blends-and-tea-_JM" TargetMode="External"/><Relationship Id="rId438" Type="http://schemas.openxmlformats.org/officeDocument/2006/relationships/hyperlink" Target="https://articulo.mercadolibre.cl/MLC-3309264764-gama-alisador-elegance-keration-std-negro-rosa-_JM" TargetMode="External"/><Relationship Id="rId312" Type="http://schemas.openxmlformats.org/officeDocument/2006/relationships/hyperlink" Target="https://articulo.mercadolibre.cl/MLC-1689362583-te-verde-detox-150g-blends-and-tea-_JM" TargetMode="External"/><Relationship Id="rId433" Type="http://schemas.openxmlformats.org/officeDocument/2006/relationships/hyperlink" Target="https://articulo.mercadolibre.cl/MLC-1738018941-bola-de-nieve-bola-de-cristal-navideno-con-luces-led-14cm-rojo-_JM" TargetMode="External"/><Relationship Id="rId311" Type="http://schemas.openxmlformats.org/officeDocument/2006/relationships/hyperlink" Target="https://articulo.mercadolibre.cl/MLC-1689375187-te-verde-detox-50g-blends-and-tea-_JM" TargetMode="External"/><Relationship Id="rId432" Type="http://schemas.openxmlformats.org/officeDocument/2006/relationships/hyperlink" Target="https://articulo.mercadolibre.cl/MLC-1738058847-caramelera-navidena-galletero-navideno-pascuero-ceramica-21c-rojo-_JM" TargetMode="External"/><Relationship Id="rId310" Type="http://schemas.openxmlformats.org/officeDocument/2006/relationships/hyperlink" Target="https://articulo.mercadolibre.cl/MLC-3117437860-te-oolong-jengibre-limon-100g-recarga-blends-and-tea-_JM" TargetMode="External"/><Relationship Id="rId431" Type="http://schemas.openxmlformats.org/officeDocument/2006/relationships/hyperlink" Target="https://articulo.mercadolibre.cl/MLC-3287014280-caramelera-navidena-galletero-navideno-pascuero-ceramica-rojo-_JM" TargetMode="External"/><Relationship Id="rId430" Type="http://schemas.openxmlformats.org/officeDocument/2006/relationships/hyperlink" Target="https://articulo.mercadolibre.cl/MLC-3287016472-bola-de-nieve-bola-de-cristal-navideno-con-luces-led-15cm-rojo-_J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rticulo.mercadolibre.cl/MLC-1669011133-hervidor-thomas-th-4340-17-litros-color-blanco-_JM" TargetMode="External"/><Relationship Id="rId2" Type="http://schemas.openxmlformats.org/officeDocument/2006/relationships/hyperlink" Target="https://articulo.mercadolibre.cl/MLC-1669011133-hervidor-thomas-th-4340-17-litros-color-blanco-_JM" TargetMode="External"/><Relationship Id="rId3" Type="http://schemas.openxmlformats.org/officeDocument/2006/relationships/hyperlink" Target="https://www.mercadolibre.cl/syi/core/modify?itemId=MLC3287021876&amp;callback_url=https%3A%2F%2Fwww.mercadolibre.cl%2Fpublicaciones%2Flistado%3Ffilters%3DOMNI_ACTIVE%257COMNI_INACTIVE%257CCHANNEL_NO_PROXIMITY_AND_NO_MP_MERCHANTS%26page%3D1%26sort%3DCREATE_LAST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75"/>
    <col customWidth="1" min="4" max="4" width="66.25"/>
    <col customWidth="1" min="12" max="19" width="1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tr">
        <f t="array" ref="A2">XLOOKUP(B2,Costos_Proveedores!$B$2:$B$2000,Costos_Proveedores!$A$2:$A$2000)</f>
        <v>MULI</v>
      </c>
      <c r="B2" s="2" t="s">
        <v>19</v>
      </c>
      <c r="D2" s="2" t="s">
        <v>20</v>
      </c>
      <c r="E2" s="2" t="s">
        <v>21</v>
      </c>
      <c r="F2" s="2">
        <v>1.0</v>
      </c>
      <c r="G2" s="2">
        <v>1.0</v>
      </c>
      <c r="H2" s="3">
        <f t="shared" ref="H2:H512" si="1">IF(I2="Sí",F2,F2+G2)</f>
        <v>2</v>
      </c>
      <c r="I2" s="2" t="s">
        <v>22</v>
      </c>
      <c r="J2" s="4">
        <f>VLOOKUP(B2,Costos_Proveedores!$B$2:$J$1000,9,FALSE())</f>
        <v>4550</v>
      </c>
      <c r="K2" s="5">
        <f t="shared" ref="K2:K512" si="2">IFERROR(H2*J2,0)</f>
        <v>9100</v>
      </c>
      <c r="L2" s="2"/>
      <c r="M2" s="2"/>
      <c r="N2" s="2"/>
      <c r="O2" s="2"/>
      <c r="P2" s="1">
        <f t="shared" ref="P2:P512" si="3">IF(M2&gt;=F2,M2-F2,0)</f>
        <v>0</v>
      </c>
      <c r="Q2" s="1">
        <f t="shared" ref="Q2:Q512" si="4">IF(N2+O2-G2&gt;=0,N2+O2-G2,0)</f>
        <v>0</v>
      </c>
      <c r="R2" s="1">
        <f t="shared" ref="R2:R512" si="5">P2+Q2</f>
        <v>0</v>
      </c>
      <c r="S2" s="6" t="s">
        <v>23</v>
      </c>
    </row>
    <row r="3">
      <c r="A3" s="3" t="str">
        <f t="array" ref="A3">XLOOKUP(B3,Costos_Proveedores!$B$2:$B$2000,Costos_Proveedores!$A$2:$A$2000)</f>
        <v>MULI</v>
      </c>
      <c r="B3" s="2" t="s">
        <v>24</v>
      </c>
      <c r="C3" s="2" t="s">
        <v>25</v>
      </c>
      <c r="D3" s="2" t="s">
        <v>26</v>
      </c>
      <c r="E3" s="2" t="s">
        <v>21</v>
      </c>
      <c r="F3" s="2">
        <v>0.0</v>
      </c>
      <c r="G3" s="2">
        <v>0.0</v>
      </c>
      <c r="H3" s="3">
        <f t="shared" si="1"/>
        <v>0</v>
      </c>
      <c r="I3" s="2" t="s">
        <v>22</v>
      </c>
      <c r="J3" s="4">
        <f>VLOOKUP(B3,Costos_Proveedores!$B$2:$J$1000,9,FALSE())</f>
        <v>1848</v>
      </c>
      <c r="K3" s="5">
        <f t="shared" si="2"/>
        <v>0</v>
      </c>
      <c r="L3" s="2">
        <f>SUM(M3:O3)</f>
        <v>39</v>
      </c>
      <c r="M3" s="2">
        <v>39.0</v>
      </c>
      <c r="N3" s="2">
        <v>0.0</v>
      </c>
      <c r="O3" s="2">
        <v>0.0</v>
      </c>
      <c r="P3" s="1">
        <f t="shared" si="3"/>
        <v>39</v>
      </c>
      <c r="Q3" s="1">
        <f t="shared" si="4"/>
        <v>0</v>
      </c>
      <c r="R3" s="1">
        <f t="shared" si="5"/>
        <v>39</v>
      </c>
      <c r="S3" s="6" t="s">
        <v>27</v>
      </c>
    </row>
    <row r="4">
      <c r="A4" s="3" t="str">
        <f t="array" ref="A4">XLOOKUP(B4,Costos_Proveedores!$B$2:$B$2000,Costos_Proveedores!$A$2:$A$2000)</f>
        <v>MULI</v>
      </c>
      <c r="B4" s="2" t="s">
        <v>28</v>
      </c>
      <c r="C4" s="2" t="s">
        <v>29</v>
      </c>
      <c r="D4" s="2" t="s">
        <v>30</v>
      </c>
      <c r="E4" s="2" t="s">
        <v>31</v>
      </c>
      <c r="G4" s="2">
        <v>0.0</v>
      </c>
      <c r="H4" s="3">
        <f t="shared" si="1"/>
        <v>0</v>
      </c>
      <c r="I4" s="2" t="s">
        <v>22</v>
      </c>
      <c r="J4" s="4">
        <f>VLOOKUP(B4,Costos_Proveedores!$B$2:$J$1000,9,FALSE())</f>
        <v>14400</v>
      </c>
      <c r="K4" s="5">
        <f t="shared" si="2"/>
        <v>0</v>
      </c>
      <c r="L4" s="2"/>
      <c r="M4" s="2"/>
      <c r="N4" s="2"/>
      <c r="O4" s="2"/>
      <c r="P4" s="1">
        <f t="shared" si="3"/>
        <v>0</v>
      </c>
      <c r="Q4" s="1">
        <f t="shared" si="4"/>
        <v>0</v>
      </c>
      <c r="R4" s="1">
        <f t="shared" si="5"/>
        <v>0</v>
      </c>
      <c r="S4" s="6" t="s">
        <v>32</v>
      </c>
    </row>
    <row r="5">
      <c r="A5" s="3" t="str">
        <f t="array" ref="A5">XLOOKUP(B5,Costos_Proveedores!$B$2:$B$2000,Costos_Proveedores!$A$2:$A$2000)</f>
        <v>MULI</v>
      </c>
      <c r="B5" s="2" t="s">
        <v>33</v>
      </c>
      <c r="C5" s="2" t="s">
        <v>34</v>
      </c>
      <c r="D5" s="2" t="s">
        <v>35</v>
      </c>
      <c r="E5" s="2" t="s">
        <v>31</v>
      </c>
      <c r="G5" s="2">
        <v>0.0</v>
      </c>
      <c r="H5" s="3">
        <f t="shared" si="1"/>
        <v>0</v>
      </c>
      <c r="I5" s="2" t="s">
        <v>22</v>
      </c>
      <c r="J5" s="4">
        <f>VLOOKUP(B5,Costos_Proveedores!$B$2:$J$1000,9,FALSE())</f>
        <v>10080</v>
      </c>
      <c r="K5" s="5">
        <f t="shared" si="2"/>
        <v>0</v>
      </c>
      <c r="L5" s="2"/>
      <c r="M5" s="2"/>
      <c r="N5" s="2"/>
      <c r="O5" s="2"/>
      <c r="P5" s="1">
        <f t="shared" si="3"/>
        <v>0</v>
      </c>
      <c r="Q5" s="1">
        <f t="shared" si="4"/>
        <v>0</v>
      </c>
      <c r="R5" s="1">
        <f t="shared" si="5"/>
        <v>0</v>
      </c>
      <c r="S5" s="6" t="s">
        <v>36</v>
      </c>
    </row>
    <row r="6">
      <c r="A6" s="3" t="str">
        <f t="array" ref="A6">XLOOKUP(B6,Costos_Proveedores!$B$2:$B$2000,Costos_Proveedores!$A$2:$A$2000)</f>
        <v>MULI</v>
      </c>
      <c r="B6" s="2" t="s">
        <v>37</v>
      </c>
      <c r="C6" s="2" t="s">
        <v>38</v>
      </c>
      <c r="D6" s="2" t="s">
        <v>39</v>
      </c>
      <c r="E6" s="2" t="s">
        <v>31</v>
      </c>
      <c r="G6" s="2">
        <v>0.0</v>
      </c>
      <c r="H6" s="3">
        <f t="shared" si="1"/>
        <v>0</v>
      </c>
      <c r="I6" s="2" t="s">
        <v>22</v>
      </c>
      <c r="J6" s="4">
        <f>VLOOKUP(B6,Costos_Proveedores!$B$2:$J$1000,9,FALSE())</f>
        <v>16800</v>
      </c>
      <c r="K6" s="5">
        <f t="shared" si="2"/>
        <v>0</v>
      </c>
      <c r="L6" s="2"/>
      <c r="M6" s="2"/>
      <c r="N6" s="2"/>
      <c r="O6" s="2"/>
      <c r="P6" s="1">
        <f t="shared" si="3"/>
        <v>0</v>
      </c>
      <c r="Q6" s="1">
        <f t="shared" si="4"/>
        <v>0</v>
      </c>
      <c r="R6" s="1">
        <f t="shared" si="5"/>
        <v>0</v>
      </c>
      <c r="S6" s="6" t="s">
        <v>40</v>
      </c>
    </row>
    <row r="7">
      <c r="A7" s="3" t="str">
        <f t="array" ref="A7">XLOOKUP(B7,Costos_Proveedores!$B$2:$B$2000,Costos_Proveedores!$A$2:$A$2000)</f>
        <v>MULI</v>
      </c>
      <c r="B7" s="2" t="s">
        <v>41</v>
      </c>
      <c r="C7" s="2" t="s">
        <v>42</v>
      </c>
      <c r="D7" s="2" t="s">
        <v>43</v>
      </c>
      <c r="E7" s="2" t="s">
        <v>31</v>
      </c>
      <c r="G7" s="2">
        <v>0.0</v>
      </c>
      <c r="H7" s="3">
        <f t="shared" si="1"/>
        <v>0</v>
      </c>
      <c r="I7" s="2" t="s">
        <v>22</v>
      </c>
      <c r="J7" s="4">
        <f>VLOOKUP(B7,Costos_Proveedores!$B$2:$J$1000,9,FALSE())</f>
        <v>12800</v>
      </c>
      <c r="K7" s="5">
        <f t="shared" si="2"/>
        <v>0</v>
      </c>
      <c r="L7" s="2"/>
      <c r="M7" s="2"/>
      <c r="N7" s="2"/>
      <c r="O7" s="2"/>
      <c r="P7" s="1">
        <f t="shared" si="3"/>
        <v>0</v>
      </c>
      <c r="Q7" s="1">
        <f t="shared" si="4"/>
        <v>0</v>
      </c>
      <c r="R7" s="1">
        <f t="shared" si="5"/>
        <v>0</v>
      </c>
      <c r="S7" s="6" t="s">
        <v>44</v>
      </c>
    </row>
    <row r="8">
      <c r="A8" s="3" t="str">
        <f t="array" ref="A8">XLOOKUP(B8,Costos_Proveedores!$B$2:$B$2000,Costos_Proveedores!$A$2:$A$2000)</f>
        <v>MULI</v>
      </c>
      <c r="B8" s="2" t="s">
        <v>45</v>
      </c>
      <c r="C8" s="2">
        <v>104922.0</v>
      </c>
      <c r="D8" s="2" t="s">
        <v>46</v>
      </c>
      <c r="E8" s="2" t="s">
        <v>47</v>
      </c>
      <c r="G8" s="2">
        <v>2.0</v>
      </c>
      <c r="H8" s="3">
        <f t="shared" si="1"/>
        <v>2</v>
      </c>
      <c r="I8" s="2" t="s">
        <v>22</v>
      </c>
      <c r="J8" s="4">
        <f>VLOOKUP(B8,Costos_Proveedores!$B$2:$J$1000,9,FALSE())</f>
        <v>4032</v>
      </c>
      <c r="K8" s="5">
        <f t="shared" si="2"/>
        <v>8064</v>
      </c>
      <c r="L8" s="2">
        <v>5.0</v>
      </c>
      <c r="M8" s="2">
        <v>0.0</v>
      </c>
      <c r="N8" s="2">
        <v>0.0</v>
      </c>
      <c r="O8" s="2">
        <v>5.0</v>
      </c>
      <c r="P8" s="1">
        <f t="shared" si="3"/>
        <v>0</v>
      </c>
      <c r="Q8" s="1">
        <f t="shared" si="4"/>
        <v>3</v>
      </c>
      <c r="R8" s="1">
        <f t="shared" si="5"/>
        <v>3</v>
      </c>
      <c r="S8" s="6" t="s">
        <v>48</v>
      </c>
    </row>
    <row r="9">
      <c r="A9" s="3" t="str">
        <f t="array" ref="A9">XLOOKUP(B9,Costos_Proveedores!$B$2:$B$2000,Costos_Proveedores!$A$2:$A$2000)</f>
        <v>MULI</v>
      </c>
      <c r="B9" s="2" t="s">
        <v>49</v>
      </c>
      <c r="C9" s="2">
        <v>45100.0</v>
      </c>
      <c r="D9" s="2" t="s">
        <v>50</v>
      </c>
      <c r="E9" s="2" t="s">
        <v>31</v>
      </c>
      <c r="G9" s="2">
        <v>0.0</v>
      </c>
      <c r="H9" s="3">
        <f t="shared" si="1"/>
        <v>0</v>
      </c>
      <c r="I9" s="2" t="s">
        <v>22</v>
      </c>
      <c r="J9" s="4">
        <f>VLOOKUP(B9,Costos_Proveedores!$B$2:$J$1000,9,FALSE())</f>
        <v>6852</v>
      </c>
      <c r="K9" s="5">
        <f t="shared" si="2"/>
        <v>0</v>
      </c>
      <c r="L9" s="2"/>
      <c r="M9" s="2"/>
      <c r="N9" s="2"/>
      <c r="O9" s="2"/>
      <c r="P9" s="1">
        <f t="shared" si="3"/>
        <v>0</v>
      </c>
      <c r="Q9" s="1">
        <f t="shared" si="4"/>
        <v>0</v>
      </c>
      <c r="R9" s="1">
        <f t="shared" si="5"/>
        <v>0</v>
      </c>
      <c r="S9" s="6" t="s">
        <v>51</v>
      </c>
    </row>
    <row r="10">
      <c r="A10" s="3" t="str">
        <f t="array" ref="A10">XLOOKUP(B10,Costos_Proveedores!$B$2:$B$2000,Costos_Proveedores!$A$2:$A$2000)</f>
        <v>MULI</v>
      </c>
      <c r="B10" s="2" t="s">
        <v>52</v>
      </c>
      <c r="C10" s="2">
        <v>108484.0</v>
      </c>
      <c r="D10" s="2" t="s">
        <v>53</v>
      </c>
      <c r="E10" s="2" t="s">
        <v>31</v>
      </c>
      <c r="F10" s="2">
        <v>0.0</v>
      </c>
      <c r="G10" s="2">
        <v>0.0</v>
      </c>
      <c r="H10" s="3">
        <f t="shared" si="1"/>
        <v>0</v>
      </c>
      <c r="I10" s="2" t="s">
        <v>22</v>
      </c>
      <c r="J10" s="4">
        <f>VLOOKUP(B10,Costos_Proveedores!$B$2:$J$1000,9,FALSE())</f>
        <v>8400</v>
      </c>
      <c r="K10" s="5">
        <f t="shared" si="2"/>
        <v>0</v>
      </c>
      <c r="L10" s="2"/>
      <c r="M10" s="2"/>
      <c r="N10" s="2"/>
      <c r="O10" s="2"/>
      <c r="P10" s="1">
        <f t="shared" si="3"/>
        <v>0</v>
      </c>
      <c r="Q10" s="1">
        <f t="shared" si="4"/>
        <v>0</v>
      </c>
      <c r="R10" s="1">
        <f t="shared" si="5"/>
        <v>0</v>
      </c>
      <c r="S10" s="6" t="s">
        <v>54</v>
      </c>
    </row>
    <row r="11">
      <c r="A11" s="3" t="str">
        <f t="array" ref="A11">XLOOKUP(B11,Costos_Proveedores!$B$2:$B$2000,Costos_Proveedores!$A$2:$A$2000)</f>
        <v>MULI</v>
      </c>
      <c r="B11" s="2" t="s">
        <v>55</v>
      </c>
      <c r="C11" s="2">
        <v>108483.0</v>
      </c>
      <c r="D11" s="2" t="s">
        <v>56</v>
      </c>
      <c r="E11" s="2" t="s">
        <v>31</v>
      </c>
      <c r="F11" s="2">
        <v>0.0</v>
      </c>
      <c r="G11" s="2">
        <v>0.0</v>
      </c>
      <c r="H11" s="3">
        <f t="shared" si="1"/>
        <v>0</v>
      </c>
      <c r="I11" s="2" t="s">
        <v>22</v>
      </c>
      <c r="J11" s="4">
        <f>VLOOKUP(B11,Costos_Proveedores!$B$2:$J$1000,9,FALSE())</f>
        <v>8400</v>
      </c>
      <c r="K11" s="5">
        <f t="shared" si="2"/>
        <v>0</v>
      </c>
      <c r="L11" s="2">
        <v>31.0</v>
      </c>
      <c r="M11" s="2">
        <v>31.0</v>
      </c>
      <c r="N11" s="2">
        <v>0.0</v>
      </c>
      <c r="O11" s="2">
        <v>0.0</v>
      </c>
      <c r="P11" s="1">
        <f t="shared" si="3"/>
        <v>31</v>
      </c>
      <c r="Q11" s="1">
        <f t="shared" si="4"/>
        <v>0</v>
      </c>
      <c r="R11" s="1">
        <f t="shared" si="5"/>
        <v>31</v>
      </c>
      <c r="S11" s="6" t="s">
        <v>57</v>
      </c>
    </row>
    <row r="12">
      <c r="A12" s="3" t="str">
        <f t="array" ref="A12">XLOOKUP(B12,Costos_Proveedores!$B$2:$B$2000,Costos_Proveedores!$A$2:$A$2000)</f>
        <v>MULI</v>
      </c>
      <c r="B12" s="2" t="s">
        <v>58</v>
      </c>
      <c r="C12" s="2" t="s">
        <v>59</v>
      </c>
      <c r="D12" s="2" t="s">
        <v>60</v>
      </c>
      <c r="E12" s="2" t="s">
        <v>31</v>
      </c>
      <c r="F12" s="2">
        <v>0.0</v>
      </c>
      <c r="G12" s="2">
        <v>0.0</v>
      </c>
      <c r="H12" s="3">
        <f t="shared" si="1"/>
        <v>0</v>
      </c>
      <c r="I12" s="2" t="s">
        <v>22</v>
      </c>
      <c r="J12" s="4">
        <f>VLOOKUP(B12,Costos_Proveedores!$B$2:$J$1000,9,FALSE())</f>
        <v>8400</v>
      </c>
      <c r="K12" s="5">
        <f t="shared" si="2"/>
        <v>0</v>
      </c>
      <c r="L12" s="2"/>
      <c r="M12" s="2"/>
      <c r="N12" s="2"/>
      <c r="O12" s="2"/>
      <c r="P12" s="1">
        <f t="shared" si="3"/>
        <v>0</v>
      </c>
      <c r="Q12" s="1">
        <f t="shared" si="4"/>
        <v>0</v>
      </c>
      <c r="R12" s="1">
        <f t="shared" si="5"/>
        <v>0</v>
      </c>
      <c r="S12" s="6" t="s">
        <v>61</v>
      </c>
    </row>
    <row r="13">
      <c r="A13" s="3" t="str">
        <f t="array" ref="A13">XLOOKUP(B13,Costos_Proveedores!$B$2:$B$2000,Costos_Proveedores!$A$2:$A$2000)</f>
        <v>MULI</v>
      </c>
      <c r="B13" s="2" t="s">
        <v>62</v>
      </c>
      <c r="C13" s="2" t="s">
        <v>63</v>
      </c>
      <c r="D13" s="2" t="s">
        <v>64</v>
      </c>
      <c r="E13" s="2" t="s">
        <v>31</v>
      </c>
      <c r="F13" s="2">
        <v>0.0</v>
      </c>
      <c r="G13" s="2">
        <v>0.0</v>
      </c>
      <c r="H13" s="3">
        <f t="shared" si="1"/>
        <v>0</v>
      </c>
      <c r="I13" s="2" t="s">
        <v>22</v>
      </c>
      <c r="J13" s="4">
        <f>VLOOKUP(B13,Costos_Proveedores!$B$2:$J$1000,9,FALSE())</f>
        <v>8400</v>
      </c>
      <c r="K13" s="5">
        <f t="shared" si="2"/>
        <v>0</v>
      </c>
      <c r="L13" s="2">
        <v>7.0</v>
      </c>
      <c r="M13" s="2">
        <v>7.0</v>
      </c>
      <c r="N13" s="2">
        <v>0.0</v>
      </c>
      <c r="O13" s="2">
        <v>0.0</v>
      </c>
      <c r="P13" s="1">
        <f t="shared" si="3"/>
        <v>7</v>
      </c>
      <c r="Q13" s="1">
        <f t="shared" si="4"/>
        <v>0</v>
      </c>
      <c r="R13" s="1">
        <f t="shared" si="5"/>
        <v>7</v>
      </c>
      <c r="S13" s="6" t="s">
        <v>65</v>
      </c>
    </row>
    <row r="14">
      <c r="A14" s="3" t="str">
        <f t="array" ref="A14">XLOOKUP(B14,Costos_Proveedores!$B$2:$B$2000,Costos_Proveedores!$A$2:$A$2000)</f>
        <v>MULI</v>
      </c>
      <c r="B14" s="2" t="s">
        <v>66</v>
      </c>
      <c r="C14" s="2">
        <v>107180.0</v>
      </c>
      <c r="D14" s="2" t="s">
        <v>67</v>
      </c>
      <c r="E14" s="2" t="s">
        <v>31</v>
      </c>
      <c r="F14" s="2">
        <v>0.0</v>
      </c>
      <c r="G14" s="2">
        <v>15.0</v>
      </c>
      <c r="H14" s="3">
        <f t="shared" si="1"/>
        <v>15</v>
      </c>
      <c r="I14" s="2" t="s">
        <v>22</v>
      </c>
      <c r="J14" s="4">
        <f>VLOOKUP(B14,Costos_Proveedores!$B$2:$J$1000,9,FALSE())</f>
        <v>5880</v>
      </c>
      <c r="K14" s="5">
        <f t="shared" si="2"/>
        <v>88200</v>
      </c>
      <c r="L14" s="2"/>
      <c r="M14" s="2"/>
      <c r="N14" s="2"/>
      <c r="O14" s="2"/>
      <c r="P14" s="1">
        <f t="shared" si="3"/>
        <v>0</v>
      </c>
      <c r="Q14" s="1">
        <f t="shared" si="4"/>
        <v>0</v>
      </c>
      <c r="R14" s="1">
        <f t="shared" si="5"/>
        <v>0</v>
      </c>
      <c r="S14" s="6" t="s">
        <v>68</v>
      </c>
    </row>
    <row r="15">
      <c r="A15" s="3" t="str">
        <f t="array" ref="A15">XLOOKUP(B15,Costos_Proveedores!$B$2:$B$2000,Costos_Proveedores!$A$2:$A$2000)</f>
        <v>MULI</v>
      </c>
      <c r="B15" s="2" t="s">
        <v>69</v>
      </c>
      <c r="C15" s="2">
        <v>107179.0</v>
      </c>
      <c r="D15" s="2" t="s">
        <v>70</v>
      </c>
      <c r="E15" s="2" t="s">
        <v>31</v>
      </c>
      <c r="F15" s="2">
        <v>0.0</v>
      </c>
      <c r="G15" s="2">
        <v>0.0</v>
      </c>
      <c r="H15" s="3">
        <f t="shared" si="1"/>
        <v>0</v>
      </c>
      <c r="I15" s="2" t="s">
        <v>22</v>
      </c>
      <c r="J15" s="4">
        <f>VLOOKUP(B15,Costos_Proveedores!$B$2:$J$1000,9,FALSE())</f>
        <v>6720</v>
      </c>
      <c r="K15" s="5">
        <f t="shared" si="2"/>
        <v>0</v>
      </c>
      <c r="L15" s="2"/>
      <c r="M15" s="2"/>
      <c r="N15" s="2"/>
      <c r="O15" s="2"/>
      <c r="P15" s="1">
        <f t="shared" si="3"/>
        <v>0</v>
      </c>
      <c r="Q15" s="1">
        <f t="shared" si="4"/>
        <v>0</v>
      </c>
      <c r="R15" s="1">
        <f t="shared" si="5"/>
        <v>0</v>
      </c>
      <c r="S15" s="6" t="s">
        <v>71</v>
      </c>
    </row>
    <row r="16">
      <c r="A16" s="3" t="str">
        <f t="array" ref="A16">XLOOKUP(B16,Costos_Proveedores!$B$2:$B$2000,Costos_Proveedores!$A$2:$A$2000)</f>
        <v>MULI</v>
      </c>
      <c r="B16" s="2" t="s">
        <v>72</v>
      </c>
      <c r="C16" s="2">
        <v>107833.0</v>
      </c>
      <c r="D16" s="2" t="s">
        <v>73</v>
      </c>
      <c r="E16" s="2" t="s">
        <v>31</v>
      </c>
      <c r="F16" s="2">
        <v>0.0</v>
      </c>
      <c r="G16" s="2">
        <v>12.0</v>
      </c>
      <c r="H16" s="3">
        <f t="shared" si="1"/>
        <v>12</v>
      </c>
      <c r="I16" s="2" t="s">
        <v>22</v>
      </c>
      <c r="J16" s="4">
        <f>VLOOKUP(B16,Costos_Proveedores!$B$2:$J$1000,9,FALSE())</f>
        <v>8400</v>
      </c>
      <c r="K16" s="5">
        <f t="shared" si="2"/>
        <v>100800</v>
      </c>
      <c r="L16" s="2">
        <v>56.0</v>
      </c>
      <c r="M16" s="2">
        <v>56.0</v>
      </c>
      <c r="N16" s="2">
        <v>0.0</v>
      </c>
      <c r="O16" s="2">
        <v>0.0</v>
      </c>
      <c r="P16" s="1">
        <f t="shared" si="3"/>
        <v>56</v>
      </c>
      <c r="Q16" s="1">
        <f t="shared" si="4"/>
        <v>0</v>
      </c>
      <c r="R16" s="1">
        <f t="shared" si="5"/>
        <v>56</v>
      </c>
      <c r="S16" s="6" t="s">
        <v>74</v>
      </c>
    </row>
    <row r="17">
      <c r="A17" s="3" t="str">
        <f t="array" ref="A17">XLOOKUP(B17,Costos_Proveedores!$B$2:$B$2000,Costos_Proveedores!$A$2:$A$2000)</f>
        <v>MULI</v>
      </c>
      <c r="B17" s="2" t="s">
        <v>75</v>
      </c>
      <c r="C17" s="2">
        <v>788133.0</v>
      </c>
      <c r="D17" s="2" t="s">
        <v>76</v>
      </c>
      <c r="E17" s="2" t="s">
        <v>31</v>
      </c>
      <c r="F17" s="2">
        <v>0.0</v>
      </c>
      <c r="G17" s="2">
        <v>0.0</v>
      </c>
      <c r="H17" s="3">
        <f t="shared" si="1"/>
        <v>0</v>
      </c>
      <c r="I17" s="2" t="s">
        <v>22</v>
      </c>
      <c r="J17" s="4">
        <f>VLOOKUP(B17,Costos_Proveedores!$B$2:$J$1000,9,FALSE())</f>
        <v>4200</v>
      </c>
      <c r="K17" s="5">
        <f t="shared" si="2"/>
        <v>0</v>
      </c>
      <c r="L17" s="2"/>
      <c r="M17" s="2"/>
      <c r="N17" s="2"/>
      <c r="O17" s="2"/>
      <c r="P17" s="1">
        <f t="shared" si="3"/>
        <v>0</v>
      </c>
      <c r="Q17" s="1">
        <f t="shared" si="4"/>
        <v>0</v>
      </c>
      <c r="R17" s="1">
        <f t="shared" si="5"/>
        <v>0</v>
      </c>
      <c r="S17" s="6" t="s">
        <v>77</v>
      </c>
    </row>
    <row r="18">
      <c r="A18" s="3" t="str">
        <f t="array" ref="A18">XLOOKUP(B18,Costos_Proveedores!$B$2:$B$2000,Costos_Proveedores!$A$2:$A$2000)</f>
        <v>MULI</v>
      </c>
      <c r="B18" s="2" t="s">
        <v>78</v>
      </c>
      <c r="D18" s="2" t="s">
        <v>79</v>
      </c>
      <c r="E18" s="2" t="s">
        <v>31</v>
      </c>
      <c r="H18" s="3">
        <f t="shared" si="1"/>
        <v>0</v>
      </c>
      <c r="I18" s="2" t="s">
        <v>22</v>
      </c>
      <c r="J18" s="4">
        <f>VLOOKUP(B18,Costos_Proveedores!$B$2:$J$1000,9,FALSE())</f>
        <v>2730</v>
      </c>
      <c r="K18" s="5">
        <f t="shared" si="2"/>
        <v>0</v>
      </c>
      <c r="L18" s="2"/>
      <c r="M18" s="2"/>
      <c r="N18" s="2"/>
      <c r="O18" s="2"/>
      <c r="P18" s="1">
        <f t="shared" si="3"/>
        <v>0</v>
      </c>
      <c r="Q18" s="1">
        <f t="shared" si="4"/>
        <v>0</v>
      </c>
      <c r="R18" s="1">
        <f t="shared" si="5"/>
        <v>0</v>
      </c>
      <c r="S18" s="6" t="s">
        <v>80</v>
      </c>
    </row>
    <row r="19">
      <c r="A19" s="3" t="str">
        <f t="array" ref="A19">XLOOKUP(B19,Costos_Proveedores!$B$2:$B$2000,Costos_Proveedores!$A$2:$A$2000)</f>
        <v>MULI</v>
      </c>
      <c r="B19" s="2" t="s">
        <v>81</v>
      </c>
      <c r="C19" s="2">
        <v>103366.0</v>
      </c>
      <c r="D19" s="2" t="s">
        <v>82</v>
      </c>
      <c r="E19" s="2" t="s">
        <v>31</v>
      </c>
      <c r="F19" s="2">
        <v>0.0</v>
      </c>
      <c r="G19" s="2">
        <v>0.0</v>
      </c>
      <c r="H19" s="3">
        <f t="shared" si="1"/>
        <v>0</v>
      </c>
      <c r="I19" s="2" t="s">
        <v>22</v>
      </c>
      <c r="J19" s="4">
        <f>VLOOKUP(B19,Costos_Proveedores!$B$2:$J$1000,9,FALSE())</f>
        <v>3780</v>
      </c>
      <c r="K19" s="5">
        <f t="shared" si="2"/>
        <v>0</v>
      </c>
      <c r="L19" s="2"/>
      <c r="M19" s="2"/>
      <c r="N19" s="2"/>
      <c r="O19" s="2"/>
      <c r="P19" s="1">
        <f t="shared" si="3"/>
        <v>0</v>
      </c>
      <c r="Q19" s="1">
        <f t="shared" si="4"/>
        <v>0</v>
      </c>
      <c r="R19" s="1">
        <f t="shared" si="5"/>
        <v>0</v>
      </c>
      <c r="S19" s="6" t="s">
        <v>83</v>
      </c>
    </row>
    <row r="20">
      <c r="A20" s="3" t="str">
        <f t="array" ref="A20">XLOOKUP(B20,Costos_Proveedores!$B$2:$B$2000,Costos_Proveedores!$A$2:$A$2000)</f>
        <v>MULI</v>
      </c>
      <c r="B20" s="2" t="s">
        <v>84</v>
      </c>
      <c r="C20" s="2">
        <v>103368.0</v>
      </c>
      <c r="D20" s="2" t="s">
        <v>85</v>
      </c>
      <c r="E20" s="2" t="s">
        <v>31</v>
      </c>
      <c r="F20" s="2">
        <v>0.0</v>
      </c>
      <c r="G20" s="2">
        <v>0.0</v>
      </c>
      <c r="H20" s="3">
        <f t="shared" si="1"/>
        <v>0</v>
      </c>
      <c r="I20" s="2" t="s">
        <v>22</v>
      </c>
      <c r="J20" s="4">
        <f>VLOOKUP(B20,Costos_Proveedores!$B$2:$J$1000,9,FALSE())</f>
        <v>6720</v>
      </c>
      <c r="K20" s="5">
        <f t="shared" si="2"/>
        <v>0</v>
      </c>
      <c r="L20" s="2"/>
      <c r="M20" s="2"/>
      <c r="N20" s="2"/>
      <c r="O20" s="2"/>
      <c r="P20" s="1">
        <f t="shared" si="3"/>
        <v>0</v>
      </c>
      <c r="Q20" s="1">
        <f t="shared" si="4"/>
        <v>0</v>
      </c>
      <c r="R20" s="1">
        <f t="shared" si="5"/>
        <v>0</v>
      </c>
      <c r="S20" s="6" t="s">
        <v>86</v>
      </c>
    </row>
    <row r="21">
      <c r="A21" s="3" t="str">
        <f t="array" ref="A21">XLOOKUP(B21,Costos_Proveedores!$B$2:$B$2000,Costos_Proveedores!$A$2:$A$2000)</f>
        <v>MULI</v>
      </c>
      <c r="B21" s="2" t="s">
        <v>87</v>
      </c>
      <c r="C21" s="2">
        <v>103370.0</v>
      </c>
      <c r="D21" s="2" t="s">
        <v>88</v>
      </c>
      <c r="E21" s="2" t="s">
        <v>47</v>
      </c>
      <c r="F21" s="2">
        <v>25.0</v>
      </c>
      <c r="G21" s="2">
        <v>0.0</v>
      </c>
      <c r="H21" s="3">
        <f t="shared" si="1"/>
        <v>25</v>
      </c>
      <c r="I21" s="2" t="s">
        <v>22</v>
      </c>
      <c r="J21" s="4">
        <f>VLOOKUP(B21,Costos_Proveedores!$B$2:$J$1000,9,FALSE())</f>
        <v>11760</v>
      </c>
      <c r="K21" s="5">
        <f t="shared" si="2"/>
        <v>294000</v>
      </c>
      <c r="L21" s="2">
        <v>30.0</v>
      </c>
      <c r="M21" s="2">
        <v>31.0</v>
      </c>
      <c r="N21" s="2">
        <v>0.0</v>
      </c>
      <c r="O21" s="2">
        <v>0.0</v>
      </c>
      <c r="P21" s="1">
        <f t="shared" si="3"/>
        <v>6</v>
      </c>
      <c r="Q21" s="1">
        <f t="shared" si="4"/>
        <v>0</v>
      </c>
      <c r="R21" s="1">
        <f t="shared" si="5"/>
        <v>6</v>
      </c>
      <c r="S21" s="6" t="s">
        <v>89</v>
      </c>
    </row>
    <row r="22">
      <c r="A22" s="3" t="str">
        <f t="array" ref="A22">XLOOKUP(B22,Costos_Proveedores!$B$2:$B$2000,Costos_Proveedores!$A$2:$A$2000)</f>
        <v>MULI</v>
      </c>
      <c r="B22" s="2" t="s">
        <v>90</v>
      </c>
      <c r="C22" s="2" t="s">
        <v>91</v>
      </c>
      <c r="D22" s="2" t="s">
        <v>92</v>
      </c>
      <c r="E22" s="2" t="s">
        <v>47</v>
      </c>
      <c r="F22" s="2">
        <v>2.0</v>
      </c>
      <c r="G22" s="2">
        <v>0.0</v>
      </c>
      <c r="H22" s="3">
        <f t="shared" si="1"/>
        <v>2</v>
      </c>
      <c r="I22" s="2" t="s">
        <v>22</v>
      </c>
      <c r="J22" s="4">
        <f>VLOOKUP(B22,Costos_Proveedores!$B$2:$J$1000,9,FALSE())</f>
        <v>4550</v>
      </c>
      <c r="K22" s="5">
        <f t="shared" si="2"/>
        <v>9100</v>
      </c>
      <c r="L22" s="2">
        <v>2.0</v>
      </c>
      <c r="M22" s="2">
        <v>2.0</v>
      </c>
      <c r="N22" s="2">
        <v>0.0</v>
      </c>
      <c r="O22" s="2">
        <v>0.0</v>
      </c>
      <c r="P22" s="1">
        <f t="shared" si="3"/>
        <v>0</v>
      </c>
      <c r="Q22" s="1">
        <f t="shared" si="4"/>
        <v>0</v>
      </c>
      <c r="R22" s="1">
        <f t="shared" si="5"/>
        <v>0</v>
      </c>
      <c r="S22" s="6" t="s">
        <v>93</v>
      </c>
    </row>
    <row r="23">
      <c r="A23" s="3" t="str">
        <f t="array" ref="A23">XLOOKUP(B23,Costos_Proveedores!$B$2:$B$2000,Costos_Proveedores!$A$2:$A$2000)</f>
        <v>MULI</v>
      </c>
      <c r="B23" s="2" t="s">
        <v>94</v>
      </c>
      <c r="C23" s="2" t="s">
        <v>95</v>
      </c>
      <c r="D23" s="2" t="s">
        <v>96</v>
      </c>
      <c r="E23" s="2" t="s">
        <v>31</v>
      </c>
      <c r="F23" s="2">
        <v>0.0</v>
      </c>
      <c r="G23" s="2">
        <v>6.0</v>
      </c>
      <c r="H23" s="3">
        <f t="shared" si="1"/>
        <v>6</v>
      </c>
      <c r="I23" s="2" t="s">
        <v>22</v>
      </c>
      <c r="J23" s="4">
        <f>VLOOKUP(B23,Costos_Proveedores!$B$2:$J$1000,9,FALSE())</f>
        <v>4550</v>
      </c>
      <c r="K23" s="5">
        <f t="shared" si="2"/>
        <v>27300</v>
      </c>
      <c r="L23" s="2">
        <v>1.0</v>
      </c>
      <c r="M23" s="2">
        <v>1.0</v>
      </c>
      <c r="N23" s="2">
        <v>0.0</v>
      </c>
      <c r="O23" s="2">
        <v>0.0</v>
      </c>
      <c r="P23" s="1">
        <f t="shared" si="3"/>
        <v>1</v>
      </c>
      <c r="Q23" s="1">
        <f t="shared" si="4"/>
        <v>0</v>
      </c>
      <c r="R23" s="1">
        <f t="shared" si="5"/>
        <v>1</v>
      </c>
      <c r="S23" s="6" t="s">
        <v>97</v>
      </c>
    </row>
    <row r="24">
      <c r="A24" s="3" t="str">
        <f t="array" ref="A24">XLOOKUP(B24,Costos_Proveedores!$B$2:$B$2000,Costos_Proveedores!$A$2:$A$2000)</f>
        <v>MULI</v>
      </c>
      <c r="B24" s="2" t="s">
        <v>98</v>
      </c>
      <c r="C24" s="2" t="s">
        <v>99</v>
      </c>
      <c r="D24" s="2" t="s">
        <v>100</v>
      </c>
      <c r="E24" s="2" t="s">
        <v>31</v>
      </c>
      <c r="F24" s="2">
        <v>0.0</v>
      </c>
      <c r="G24" s="2">
        <v>0.0</v>
      </c>
      <c r="H24" s="3">
        <f t="shared" si="1"/>
        <v>0</v>
      </c>
      <c r="I24" s="2" t="s">
        <v>22</v>
      </c>
      <c r="J24" s="4">
        <f>VLOOKUP(B24,Costos_Proveedores!$B$2:$J$1000,9,FALSE())</f>
        <v>6720</v>
      </c>
      <c r="K24" s="5">
        <f t="shared" si="2"/>
        <v>0</v>
      </c>
      <c r="L24" s="2"/>
      <c r="M24" s="2"/>
      <c r="N24" s="2"/>
      <c r="O24" s="2"/>
      <c r="P24" s="1">
        <f t="shared" si="3"/>
        <v>0</v>
      </c>
      <c r="Q24" s="1">
        <f t="shared" si="4"/>
        <v>0</v>
      </c>
      <c r="R24" s="1">
        <f t="shared" si="5"/>
        <v>0</v>
      </c>
      <c r="S24" s="6" t="s">
        <v>101</v>
      </c>
    </row>
    <row r="25">
      <c r="A25" s="3" t="str">
        <f t="array" ref="A25">XLOOKUP(B25,Costos_Proveedores!$B$2:$B$2000,Costos_Proveedores!$A$2:$A$2000)</f>
        <v>MULI</v>
      </c>
      <c r="B25" s="2" t="s">
        <v>102</v>
      </c>
      <c r="C25" s="2" t="s">
        <v>103</v>
      </c>
      <c r="D25" s="2" t="s">
        <v>104</v>
      </c>
      <c r="E25" s="2" t="s">
        <v>31</v>
      </c>
      <c r="G25" s="2">
        <v>0.0</v>
      </c>
      <c r="H25" s="3">
        <f t="shared" si="1"/>
        <v>0</v>
      </c>
      <c r="I25" s="2" t="s">
        <v>22</v>
      </c>
      <c r="J25" s="4">
        <f>VLOOKUP(B25,Costos_Proveedores!$B$2:$J$1000,9,FALSE())</f>
        <v>12600</v>
      </c>
      <c r="K25" s="5">
        <f t="shared" si="2"/>
        <v>0</v>
      </c>
      <c r="L25" s="2"/>
      <c r="M25" s="2"/>
      <c r="N25" s="2"/>
      <c r="O25" s="2"/>
      <c r="P25" s="1">
        <f t="shared" si="3"/>
        <v>0</v>
      </c>
      <c r="Q25" s="1">
        <f t="shared" si="4"/>
        <v>0</v>
      </c>
      <c r="R25" s="1">
        <f t="shared" si="5"/>
        <v>0</v>
      </c>
      <c r="S25" s="6" t="s">
        <v>105</v>
      </c>
    </row>
    <row r="26">
      <c r="A26" s="3" t="str">
        <f t="array" ref="A26">XLOOKUP(B26,Costos_Proveedores!$B$2:$B$2000,Costos_Proveedores!$A$2:$A$2000)</f>
        <v>MULI</v>
      </c>
      <c r="B26" s="2" t="s">
        <v>106</v>
      </c>
      <c r="C26" s="2" t="s">
        <v>107</v>
      </c>
      <c r="D26" s="2" t="s">
        <v>108</v>
      </c>
      <c r="E26" s="2" t="s">
        <v>47</v>
      </c>
      <c r="F26" s="2">
        <v>5.0</v>
      </c>
      <c r="G26" s="2">
        <v>12.0</v>
      </c>
      <c r="H26" s="3">
        <f t="shared" si="1"/>
        <v>17</v>
      </c>
      <c r="I26" s="2" t="s">
        <v>22</v>
      </c>
      <c r="J26" s="4">
        <f>VLOOKUP(B26,Costos_Proveedores!$B$2:$J$1000,9,FALSE())</f>
        <v>6720</v>
      </c>
      <c r="K26" s="5">
        <f t="shared" si="2"/>
        <v>114240</v>
      </c>
      <c r="L26" s="2">
        <v>6.0</v>
      </c>
      <c r="M26" s="2">
        <v>4.0</v>
      </c>
      <c r="N26" s="2">
        <v>2.0</v>
      </c>
      <c r="O26" s="2">
        <v>0.0</v>
      </c>
      <c r="P26" s="1">
        <f t="shared" si="3"/>
        <v>0</v>
      </c>
      <c r="Q26" s="1">
        <f t="shared" si="4"/>
        <v>0</v>
      </c>
      <c r="R26" s="1">
        <f t="shared" si="5"/>
        <v>0</v>
      </c>
      <c r="S26" s="6" t="s">
        <v>109</v>
      </c>
    </row>
    <row r="27">
      <c r="A27" s="3" t="str">
        <f t="array" ref="A27">XLOOKUP(B27,Costos_Proveedores!$B$2:$B$2000,Costos_Proveedores!$A$2:$A$2000)</f>
        <v>MULI</v>
      </c>
      <c r="B27" s="2" t="s">
        <v>110</v>
      </c>
      <c r="C27" s="2">
        <v>105738.0</v>
      </c>
      <c r="D27" s="2" t="s">
        <v>111</v>
      </c>
      <c r="E27" s="2" t="s">
        <v>31</v>
      </c>
      <c r="G27" s="2">
        <v>0.0</v>
      </c>
      <c r="H27" s="3">
        <f t="shared" si="1"/>
        <v>0</v>
      </c>
      <c r="I27" s="2" t="s">
        <v>22</v>
      </c>
      <c r="J27" s="4">
        <f>VLOOKUP(B27,Costos_Proveedores!$B$2:$J$1000,9,FALSE())</f>
        <v>7560</v>
      </c>
      <c r="K27" s="5">
        <f t="shared" si="2"/>
        <v>0</v>
      </c>
      <c r="L27" s="2"/>
      <c r="M27" s="2"/>
      <c r="N27" s="2"/>
      <c r="O27" s="2"/>
      <c r="P27" s="1">
        <f t="shared" si="3"/>
        <v>0</v>
      </c>
      <c r="Q27" s="1">
        <f t="shared" si="4"/>
        <v>0</v>
      </c>
      <c r="R27" s="1">
        <f t="shared" si="5"/>
        <v>0</v>
      </c>
      <c r="S27" s="6" t="s">
        <v>112</v>
      </c>
    </row>
    <row r="28">
      <c r="A28" s="3" t="str">
        <f t="array" ref="A28">XLOOKUP(B28,Costos_Proveedores!$B$2:$B$2000,Costos_Proveedores!$A$2:$A$2000)</f>
        <v>MULI</v>
      </c>
      <c r="B28" s="2" t="s">
        <v>113</v>
      </c>
      <c r="C28" s="2">
        <v>107427.0</v>
      </c>
      <c r="D28" s="2" t="s">
        <v>114</v>
      </c>
      <c r="E28" s="2" t="s">
        <v>31</v>
      </c>
      <c r="F28" s="2">
        <v>0.0</v>
      </c>
      <c r="G28" s="2">
        <v>0.0</v>
      </c>
      <c r="H28" s="3">
        <f t="shared" si="1"/>
        <v>0</v>
      </c>
      <c r="I28" s="2" t="s">
        <v>22</v>
      </c>
      <c r="J28" s="4">
        <f>VLOOKUP(B28,Costos_Proveedores!$B$2:$J$1000,9,FALSE())</f>
        <v>5880</v>
      </c>
      <c r="K28" s="5">
        <f t="shared" si="2"/>
        <v>0</v>
      </c>
      <c r="L28" s="2"/>
      <c r="M28" s="2"/>
      <c r="N28" s="2"/>
      <c r="O28" s="2"/>
      <c r="P28" s="1">
        <f t="shared" si="3"/>
        <v>0</v>
      </c>
      <c r="Q28" s="1">
        <f t="shared" si="4"/>
        <v>0</v>
      </c>
      <c r="R28" s="1">
        <f t="shared" si="5"/>
        <v>0</v>
      </c>
      <c r="S28" s="6" t="s">
        <v>115</v>
      </c>
    </row>
    <row r="29">
      <c r="A29" s="3" t="str">
        <f t="array" ref="A29">XLOOKUP(B29,Costos_Proveedores!$B$2:$B$2000,Costos_Proveedores!$A$2:$A$2000)</f>
        <v>MULI</v>
      </c>
      <c r="B29" s="2" t="s">
        <v>116</v>
      </c>
      <c r="C29" s="2" t="s">
        <v>117</v>
      </c>
      <c r="D29" s="2" t="s">
        <v>118</v>
      </c>
      <c r="E29" s="2" t="s">
        <v>31</v>
      </c>
      <c r="F29" s="2">
        <v>0.0</v>
      </c>
      <c r="G29" s="2">
        <v>0.0</v>
      </c>
      <c r="H29" s="3">
        <f t="shared" si="1"/>
        <v>0</v>
      </c>
      <c r="I29" s="2" t="s">
        <v>22</v>
      </c>
      <c r="J29" s="4">
        <f>VLOOKUP(B29,Costos_Proveedores!$B$2:$J$1000,9,FALSE())</f>
        <v>5880</v>
      </c>
      <c r="K29" s="5">
        <f t="shared" si="2"/>
        <v>0</v>
      </c>
      <c r="L29" s="2"/>
      <c r="M29" s="2"/>
      <c r="N29" s="2"/>
      <c r="O29" s="2"/>
      <c r="P29" s="1">
        <f t="shared" si="3"/>
        <v>0</v>
      </c>
      <c r="Q29" s="1">
        <f t="shared" si="4"/>
        <v>0</v>
      </c>
      <c r="R29" s="1">
        <f t="shared" si="5"/>
        <v>0</v>
      </c>
      <c r="S29" s="6" t="s">
        <v>119</v>
      </c>
    </row>
    <row r="30">
      <c r="A30" s="3" t="str">
        <f t="array" ref="A30">XLOOKUP(B30,Costos_Proveedores!$B$2:$B$2000,Costos_Proveedores!$A$2:$A$2000)</f>
        <v>MULI</v>
      </c>
      <c r="B30" s="2" t="s">
        <v>120</v>
      </c>
      <c r="C30" s="2" t="s">
        <v>59</v>
      </c>
      <c r="D30" s="2" t="s">
        <v>121</v>
      </c>
      <c r="E30" s="2" t="s">
        <v>31</v>
      </c>
      <c r="F30" s="2">
        <v>0.0</v>
      </c>
      <c r="G30" s="2">
        <v>0.0</v>
      </c>
      <c r="H30" s="3">
        <f t="shared" si="1"/>
        <v>0</v>
      </c>
      <c r="I30" s="2" t="s">
        <v>22</v>
      </c>
      <c r="J30" s="4">
        <f>VLOOKUP(B30,Costos_Proveedores!$B$2:$J$1000,9,FALSE())</f>
        <v>8400</v>
      </c>
      <c r="K30" s="5">
        <f t="shared" si="2"/>
        <v>0</v>
      </c>
      <c r="L30" s="2"/>
      <c r="M30" s="2"/>
      <c r="N30" s="2"/>
      <c r="O30" s="2"/>
      <c r="P30" s="1">
        <f t="shared" si="3"/>
        <v>0</v>
      </c>
      <c r="Q30" s="1">
        <f t="shared" si="4"/>
        <v>0</v>
      </c>
      <c r="R30" s="1">
        <f t="shared" si="5"/>
        <v>0</v>
      </c>
      <c r="S30" s="6" t="s">
        <v>122</v>
      </c>
    </row>
    <row r="31">
      <c r="A31" s="3" t="str">
        <f t="array" ref="A31">XLOOKUP(B31,Costos_Proveedores!$B$2:$B$2000,Costos_Proveedores!$A$2:$A$2000)</f>
        <v>MULI</v>
      </c>
      <c r="B31" s="2" t="s">
        <v>123</v>
      </c>
      <c r="C31" s="2" t="s">
        <v>124</v>
      </c>
      <c r="D31" s="2" t="s">
        <v>125</v>
      </c>
      <c r="E31" s="2" t="s">
        <v>31</v>
      </c>
      <c r="F31" s="2">
        <v>0.0</v>
      </c>
      <c r="G31" s="2">
        <v>0.0</v>
      </c>
      <c r="H31" s="3">
        <f t="shared" si="1"/>
        <v>0</v>
      </c>
      <c r="I31" s="2" t="s">
        <v>22</v>
      </c>
      <c r="J31" s="4">
        <f>VLOOKUP(B31,Costos_Proveedores!$B$2:$J$1000,9,FALSE())</f>
        <v>12600</v>
      </c>
      <c r="K31" s="5">
        <f t="shared" si="2"/>
        <v>0</v>
      </c>
      <c r="L31" s="2"/>
      <c r="M31" s="2"/>
      <c r="N31" s="2"/>
      <c r="O31" s="2"/>
      <c r="P31" s="1">
        <f t="shared" si="3"/>
        <v>0</v>
      </c>
      <c r="Q31" s="1">
        <f t="shared" si="4"/>
        <v>0</v>
      </c>
      <c r="R31" s="1">
        <f t="shared" si="5"/>
        <v>0</v>
      </c>
      <c r="S31" s="6" t="s">
        <v>126</v>
      </c>
    </row>
    <row r="32">
      <c r="A32" s="3" t="str">
        <f t="array" ref="A32">XLOOKUP(B32,Costos_Proveedores!$B$2:$B$2000,Costos_Proveedores!$A$2:$A$2000)</f>
        <v>MULI</v>
      </c>
      <c r="B32" s="2" t="s">
        <v>127</v>
      </c>
      <c r="C32" s="2">
        <v>105651.0</v>
      </c>
      <c r="D32" s="2" t="s">
        <v>128</v>
      </c>
      <c r="E32" s="2" t="s">
        <v>47</v>
      </c>
      <c r="F32" s="2">
        <v>2.0</v>
      </c>
      <c r="G32" s="2">
        <v>0.0</v>
      </c>
      <c r="H32" s="3">
        <f t="shared" si="1"/>
        <v>2</v>
      </c>
      <c r="I32" s="2" t="s">
        <v>22</v>
      </c>
      <c r="J32" s="4">
        <f>VLOOKUP(B32,Costos_Proveedores!$B$2:$J$1000,9,FALSE())</f>
        <v>2730</v>
      </c>
      <c r="K32" s="5">
        <f t="shared" si="2"/>
        <v>5460</v>
      </c>
      <c r="L32" s="2">
        <v>4.0</v>
      </c>
      <c r="M32" s="2">
        <v>4.0</v>
      </c>
      <c r="N32" s="2">
        <v>0.0</v>
      </c>
      <c r="O32" s="2">
        <v>0.0</v>
      </c>
      <c r="P32" s="1">
        <f t="shared" si="3"/>
        <v>2</v>
      </c>
      <c r="Q32" s="1">
        <f t="shared" si="4"/>
        <v>0</v>
      </c>
      <c r="R32" s="1">
        <f t="shared" si="5"/>
        <v>2</v>
      </c>
      <c r="S32" s="6" t="s">
        <v>129</v>
      </c>
    </row>
    <row r="33">
      <c r="A33" s="3" t="str">
        <f t="array" ref="A33">XLOOKUP(B33,Costos_Proveedores!$B$2:$B$2000,Costos_Proveedores!$A$2:$A$2000)</f>
        <v>MULI</v>
      </c>
      <c r="B33" s="2" t="s">
        <v>130</v>
      </c>
      <c r="C33" s="2">
        <v>105650.0</v>
      </c>
      <c r="D33" s="2" t="s">
        <v>131</v>
      </c>
      <c r="E33" s="2" t="s">
        <v>47</v>
      </c>
      <c r="F33" s="2">
        <v>3.0</v>
      </c>
      <c r="G33" s="2">
        <v>0.0</v>
      </c>
      <c r="H33" s="3">
        <f t="shared" si="1"/>
        <v>3</v>
      </c>
      <c r="I33" s="2" t="s">
        <v>22</v>
      </c>
      <c r="J33" s="4">
        <f>VLOOKUP(B33,Costos_Proveedores!$B$2:$J$1000,9,FALSE())</f>
        <v>2030</v>
      </c>
      <c r="K33" s="5">
        <f t="shared" si="2"/>
        <v>6090</v>
      </c>
      <c r="L33" s="2">
        <v>1.0</v>
      </c>
      <c r="M33" s="2">
        <v>0.0</v>
      </c>
      <c r="N33" s="2">
        <v>0.0</v>
      </c>
      <c r="O33" s="2">
        <v>1.0</v>
      </c>
      <c r="P33" s="1">
        <f t="shared" si="3"/>
        <v>0</v>
      </c>
      <c r="Q33" s="1">
        <f t="shared" si="4"/>
        <v>1</v>
      </c>
      <c r="R33" s="1">
        <f t="shared" si="5"/>
        <v>1</v>
      </c>
      <c r="S33" s="6" t="s">
        <v>132</v>
      </c>
    </row>
    <row r="34">
      <c r="A34" s="3" t="str">
        <f t="array" ref="A34">XLOOKUP(B34,Costos_Proveedores!$B$2:$B$2000,Costos_Proveedores!$A$2:$A$2000)</f>
        <v>MULI</v>
      </c>
      <c r="B34" s="2" t="s">
        <v>133</v>
      </c>
      <c r="C34" s="2" t="s">
        <v>134</v>
      </c>
      <c r="D34" s="2" t="s">
        <v>135</v>
      </c>
      <c r="E34" s="2" t="s">
        <v>31</v>
      </c>
      <c r="G34" s="2">
        <v>0.0</v>
      </c>
      <c r="H34" s="3">
        <f t="shared" si="1"/>
        <v>0</v>
      </c>
      <c r="I34" s="2" t="s">
        <v>22</v>
      </c>
      <c r="J34" s="4">
        <f>VLOOKUP(B34,Costos_Proveedores!$B$2:$J$1000,9,FALSE())</f>
        <v>11760</v>
      </c>
      <c r="K34" s="5">
        <f t="shared" si="2"/>
        <v>0</v>
      </c>
      <c r="L34" s="2"/>
      <c r="M34" s="2"/>
      <c r="N34" s="2"/>
      <c r="O34" s="2"/>
      <c r="P34" s="1">
        <f t="shared" si="3"/>
        <v>0</v>
      </c>
      <c r="Q34" s="1">
        <f t="shared" si="4"/>
        <v>0</v>
      </c>
      <c r="R34" s="1">
        <f t="shared" si="5"/>
        <v>0</v>
      </c>
      <c r="S34" s="6" t="s">
        <v>136</v>
      </c>
    </row>
    <row r="35">
      <c r="A35" s="3" t="str">
        <f t="array" ref="A35">XLOOKUP(B35,Costos_Proveedores!$B$2:$B$2000,Costos_Proveedores!$A$2:$A$2000)</f>
        <v>MULI</v>
      </c>
      <c r="B35" s="2" t="s">
        <v>137</v>
      </c>
      <c r="C35" s="2">
        <v>107093.0</v>
      </c>
      <c r="D35" s="2" t="s">
        <v>138</v>
      </c>
      <c r="E35" s="2" t="s">
        <v>31</v>
      </c>
      <c r="G35" s="2">
        <v>0.0</v>
      </c>
      <c r="H35" s="3">
        <f t="shared" si="1"/>
        <v>0</v>
      </c>
      <c r="I35" s="2" t="s">
        <v>22</v>
      </c>
      <c r="J35" s="4">
        <f>VLOOKUP(B35,Costos_Proveedores!$B$2:$J$1000,9,FALSE())</f>
        <v>26208</v>
      </c>
      <c r="K35" s="5">
        <f t="shared" si="2"/>
        <v>0</v>
      </c>
      <c r="L35" s="2"/>
      <c r="M35" s="2"/>
      <c r="N35" s="2"/>
      <c r="O35" s="2"/>
      <c r="P35" s="1">
        <f t="shared" si="3"/>
        <v>0</v>
      </c>
      <c r="Q35" s="1">
        <f t="shared" si="4"/>
        <v>0</v>
      </c>
      <c r="R35" s="1">
        <f t="shared" si="5"/>
        <v>0</v>
      </c>
      <c r="S35" s="6" t="s">
        <v>139</v>
      </c>
    </row>
    <row r="36">
      <c r="A36" s="3" t="str">
        <f t="array" ref="A36">XLOOKUP(B36,Costos_Proveedores!$B$2:$B$2000,Costos_Proveedores!$A$2:$A$2000)</f>
        <v>MULI</v>
      </c>
      <c r="B36" s="2" t="s">
        <v>140</v>
      </c>
      <c r="C36" s="2" t="s">
        <v>141</v>
      </c>
      <c r="D36" s="2" t="s">
        <v>142</v>
      </c>
      <c r="E36" s="2" t="s">
        <v>31</v>
      </c>
      <c r="G36" s="2">
        <v>0.0</v>
      </c>
      <c r="H36" s="3">
        <f t="shared" si="1"/>
        <v>0</v>
      </c>
      <c r="I36" s="2" t="s">
        <v>22</v>
      </c>
      <c r="J36" s="4">
        <f>VLOOKUP(B36,Costos_Proveedores!$B$2:$J$1000,9,FALSE())</f>
        <v>16800</v>
      </c>
      <c r="K36" s="5">
        <f t="shared" si="2"/>
        <v>0</v>
      </c>
      <c r="L36" s="2"/>
      <c r="M36" s="2"/>
      <c r="N36" s="2"/>
      <c r="O36" s="2"/>
      <c r="P36" s="1">
        <f t="shared" si="3"/>
        <v>0</v>
      </c>
      <c r="Q36" s="1">
        <f t="shared" si="4"/>
        <v>0</v>
      </c>
      <c r="R36" s="1">
        <f t="shared" si="5"/>
        <v>0</v>
      </c>
      <c r="S36" s="6" t="s">
        <v>143</v>
      </c>
    </row>
    <row r="37">
      <c r="A37" s="3" t="str">
        <f t="array" ref="A37">XLOOKUP(B37,Costos_Proveedores!$B$2:$B$2000,Costos_Proveedores!$A$2:$A$2000)</f>
        <v>MULI</v>
      </c>
      <c r="B37" s="2" t="s">
        <v>144</v>
      </c>
      <c r="C37" s="2">
        <v>105741.0</v>
      </c>
      <c r="D37" s="2" t="s">
        <v>145</v>
      </c>
      <c r="E37" s="2" t="s">
        <v>31</v>
      </c>
      <c r="F37" s="2">
        <v>0.0</v>
      </c>
      <c r="G37" s="2">
        <v>0.0</v>
      </c>
      <c r="H37" s="3">
        <f t="shared" si="1"/>
        <v>0</v>
      </c>
      <c r="I37" s="2" t="s">
        <v>22</v>
      </c>
      <c r="J37" s="4">
        <f>VLOOKUP(B37,Costos_Proveedores!$B$2:$J$1000,9,FALSE())</f>
        <v>7560</v>
      </c>
      <c r="K37" s="5">
        <f t="shared" si="2"/>
        <v>0</v>
      </c>
      <c r="L37" s="2">
        <v>3.0</v>
      </c>
      <c r="M37" s="2">
        <v>3.0</v>
      </c>
      <c r="N37" s="2">
        <v>0.0</v>
      </c>
      <c r="O37" s="2">
        <v>0.0</v>
      </c>
      <c r="P37" s="1">
        <f t="shared" si="3"/>
        <v>3</v>
      </c>
      <c r="Q37" s="1">
        <f t="shared" si="4"/>
        <v>0</v>
      </c>
      <c r="R37" s="1">
        <f t="shared" si="5"/>
        <v>3</v>
      </c>
      <c r="S37" s="6" t="s">
        <v>146</v>
      </c>
    </row>
    <row r="38">
      <c r="A38" s="3" t="str">
        <f t="array" ref="A38">XLOOKUP(B38,Costos_Proveedores!$B$2:$B$2000,Costos_Proveedores!$A$2:$A$2000)</f>
        <v>MULI</v>
      </c>
      <c r="B38" s="2" t="s">
        <v>147</v>
      </c>
      <c r="C38" s="2">
        <v>105493.0</v>
      </c>
      <c r="D38" s="2" t="s">
        <v>148</v>
      </c>
      <c r="E38" s="2" t="s">
        <v>31</v>
      </c>
      <c r="F38" s="2">
        <v>0.0</v>
      </c>
      <c r="G38" s="2">
        <v>0.0</v>
      </c>
      <c r="H38" s="3">
        <f t="shared" si="1"/>
        <v>0</v>
      </c>
      <c r="I38" s="2" t="s">
        <v>22</v>
      </c>
      <c r="J38" s="4" t="str">
        <f>VLOOKUP(B38,Costos_Proveedores!$B$2:$J$1000,9,FALSE())</f>
        <v>$ 756</v>
      </c>
      <c r="K38" s="5">
        <f t="shared" si="2"/>
        <v>0</v>
      </c>
      <c r="L38" s="2">
        <v>25.0</v>
      </c>
      <c r="M38" s="2">
        <v>20.0</v>
      </c>
      <c r="N38" s="2">
        <v>0.0</v>
      </c>
      <c r="O38" s="2">
        <v>0.0</v>
      </c>
      <c r="P38" s="1">
        <f t="shared" si="3"/>
        <v>20</v>
      </c>
      <c r="Q38" s="1">
        <f t="shared" si="4"/>
        <v>0</v>
      </c>
      <c r="R38" s="1">
        <f t="shared" si="5"/>
        <v>20</v>
      </c>
      <c r="S38" s="6" t="s">
        <v>149</v>
      </c>
    </row>
    <row r="39">
      <c r="A39" s="3" t="str">
        <f t="array" ref="A39">XLOOKUP(B39,Costos_Proveedores!$B$2:$B$2000,Costos_Proveedores!$A$2:$A$2000)</f>
        <v>MULI</v>
      </c>
      <c r="B39" s="2" t="s">
        <v>150</v>
      </c>
      <c r="C39" s="2" t="s">
        <v>151</v>
      </c>
      <c r="D39" s="2" t="s">
        <v>152</v>
      </c>
      <c r="E39" s="2" t="s">
        <v>31</v>
      </c>
      <c r="F39" s="2">
        <v>0.0</v>
      </c>
      <c r="G39" s="2">
        <v>0.0</v>
      </c>
      <c r="H39" s="3">
        <f t="shared" si="1"/>
        <v>0</v>
      </c>
      <c r="I39" s="2" t="s">
        <v>22</v>
      </c>
      <c r="J39" s="4">
        <f>VLOOKUP(B39,Costos_Proveedores!$B$2:$J$1000,9,FALSE())</f>
        <v>6300</v>
      </c>
      <c r="K39" s="5">
        <f t="shared" si="2"/>
        <v>0</v>
      </c>
      <c r="L39" s="2">
        <v>1.0</v>
      </c>
      <c r="M39" s="2">
        <v>1.0</v>
      </c>
      <c r="N39" s="2">
        <v>0.0</v>
      </c>
      <c r="O39" s="2">
        <v>0.0</v>
      </c>
      <c r="P39" s="1">
        <f t="shared" si="3"/>
        <v>1</v>
      </c>
      <c r="Q39" s="1">
        <f t="shared" si="4"/>
        <v>0</v>
      </c>
      <c r="R39" s="1">
        <f t="shared" si="5"/>
        <v>1</v>
      </c>
      <c r="S39" s="6" t="s">
        <v>153</v>
      </c>
    </row>
    <row r="40">
      <c r="A40" s="3" t="str">
        <f t="array" ref="A40">XLOOKUP(B40,Costos_Proveedores!$B$2:$B$2000,Costos_Proveedores!$A$2:$A$2000)</f>
        <v>MULI</v>
      </c>
      <c r="B40" s="2" t="s">
        <v>154</v>
      </c>
      <c r="C40" s="2" t="s">
        <v>155</v>
      </c>
      <c r="D40" s="2" t="s">
        <v>156</v>
      </c>
      <c r="E40" s="2" t="s">
        <v>31</v>
      </c>
      <c r="F40" s="2">
        <v>0.0</v>
      </c>
      <c r="G40" s="2">
        <v>0.0</v>
      </c>
      <c r="H40" s="3">
        <f t="shared" si="1"/>
        <v>0</v>
      </c>
      <c r="I40" s="2" t="s">
        <v>22</v>
      </c>
      <c r="J40" s="4">
        <f>VLOOKUP(B40,Costos_Proveedores!$B$2:$J$1000,9,FALSE())</f>
        <v>11760</v>
      </c>
      <c r="K40" s="5">
        <f t="shared" si="2"/>
        <v>0</v>
      </c>
      <c r="L40" s="2">
        <v>3.0</v>
      </c>
      <c r="M40" s="2">
        <v>3.0</v>
      </c>
      <c r="N40" s="2">
        <v>0.0</v>
      </c>
      <c r="O40" s="2">
        <v>0.0</v>
      </c>
      <c r="P40" s="1">
        <f t="shared" si="3"/>
        <v>3</v>
      </c>
      <c r="Q40" s="1">
        <f t="shared" si="4"/>
        <v>0</v>
      </c>
      <c r="R40" s="1">
        <f t="shared" si="5"/>
        <v>3</v>
      </c>
      <c r="S40" s="6" t="s">
        <v>157</v>
      </c>
    </row>
    <row r="41">
      <c r="A41" s="3" t="str">
        <f t="array" ref="A41">XLOOKUP(B41,Costos_Proveedores!$B$2:$B$2000,Costos_Proveedores!$A$2:$A$2000)</f>
        <v>MULI</v>
      </c>
      <c r="B41" s="2" t="s">
        <v>158</v>
      </c>
      <c r="C41" s="2" t="s">
        <v>159</v>
      </c>
      <c r="D41" s="2" t="s">
        <v>160</v>
      </c>
      <c r="E41" s="2" t="s">
        <v>31</v>
      </c>
      <c r="G41" s="2">
        <v>0.0</v>
      </c>
      <c r="H41" s="3">
        <f t="shared" si="1"/>
        <v>0</v>
      </c>
      <c r="I41" s="2" t="s">
        <v>22</v>
      </c>
      <c r="J41" s="4">
        <f>VLOOKUP(B41,Costos_Proveedores!$B$2:$J$1000,9,FALSE())</f>
        <v>16800</v>
      </c>
      <c r="K41" s="5">
        <f t="shared" si="2"/>
        <v>0</v>
      </c>
      <c r="L41" s="2"/>
      <c r="M41" s="2"/>
      <c r="N41" s="2"/>
      <c r="O41" s="2"/>
      <c r="P41" s="1">
        <f t="shared" si="3"/>
        <v>0</v>
      </c>
      <c r="Q41" s="1">
        <f t="shared" si="4"/>
        <v>0</v>
      </c>
      <c r="R41" s="1">
        <f t="shared" si="5"/>
        <v>0</v>
      </c>
      <c r="S41" s="6" t="s">
        <v>161</v>
      </c>
    </row>
    <row r="42">
      <c r="A42" s="3" t="str">
        <f t="array" ref="A42">XLOOKUP(B42,Costos_Proveedores!$B$2:$B$2000,Costos_Proveedores!$A$2:$A$2000)</f>
        <v>MULI</v>
      </c>
      <c r="B42" s="2" t="s">
        <v>162</v>
      </c>
      <c r="C42" s="2" t="s">
        <v>163</v>
      </c>
      <c r="D42" s="2" t="s">
        <v>164</v>
      </c>
      <c r="E42" s="2" t="s">
        <v>47</v>
      </c>
      <c r="F42" s="2">
        <v>0.0</v>
      </c>
      <c r="G42" s="2">
        <v>2.0</v>
      </c>
      <c r="H42" s="3">
        <f t="shared" si="1"/>
        <v>2</v>
      </c>
      <c r="I42" s="2" t="s">
        <v>22</v>
      </c>
      <c r="J42" s="4">
        <f>VLOOKUP(B42,Costos_Proveedores!$B$2:$J$1000,9,FALSE())</f>
        <v>5880</v>
      </c>
      <c r="K42" s="5">
        <f t="shared" si="2"/>
        <v>11760</v>
      </c>
      <c r="L42" s="2"/>
      <c r="M42" s="2"/>
      <c r="N42" s="2"/>
      <c r="O42" s="2"/>
      <c r="P42" s="1">
        <f t="shared" si="3"/>
        <v>0</v>
      </c>
      <c r="Q42" s="1">
        <f t="shared" si="4"/>
        <v>0</v>
      </c>
      <c r="R42" s="1">
        <f t="shared" si="5"/>
        <v>0</v>
      </c>
      <c r="S42" s="6" t="s">
        <v>165</v>
      </c>
    </row>
    <row r="43">
      <c r="A43" s="3" t="str">
        <f t="array" ref="A43">XLOOKUP(B43,Costos_Proveedores!$B$2:$B$2000,Costos_Proveedores!$A$2:$A$2000)</f>
        <v>MULI</v>
      </c>
      <c r="B43" s="2" t="s">
        <v>166</v>
      </c>
      <c r="C43" s="2" t="s">
        <v>167</v>
      </c>
      <c r="D43" s="2" t="s">
        <v>168</v>
      </c>
      <c r="E43" s="2" t="s">
        <v>31</v>
      </c>
      <c r="F43" s="2">
        <v>0.0</v>
      </c>
      <c r="G43" s="2">
        <v>0.0</v>
      </c>
      <c r="H43" s="3">
        <f t="shared" si="1"/>
        <v>0</v>
      </c>
      <c r="I43" s="2" t="s">
        <v>22</v>
      </c>
      <c r="J43" s="4">
        <f>VLOOKUP(B43,Costos_Proveedores!$B$2:$J$1000,9,FALSE())</f>
        <v>5880</v>
      </c>
      <c r="K43" s="5">
        <f t="shared" si="2"/>
        <v>0</v>
      </c>
      <c r="L43" s="2"/>
      <c r="M43" s="2"/>
      <c r="N43" s="2"/>
      <c r="O43" s="2"/>
      <c r="P43" s="1">
        <f t="shared" si="3"/>
        <v>0</v>
      </c>
      <c r="Q43" s="1">
        <f t="shared" si="4"/>
        <v>0</v>
      </c>
      <c r="R43" s="1">
        <f t="shared" si="5"/>
        <v>0</v>
      </c>
      <c r="S43" s="6" t="s">
        <v>169</v>
      </c>
    </row>
    <row r="44">
      <c r="A44" s="3" t="str">
        <f t="array" ref="A44">XLOOKUP(B44,Costos_Proveedores!$B$2:$B$2000,Costos_Proveedores!$A$2:$A$2000)</f>
        <v>MULI</v>
      </c>
      <c r="B44" s="2" t="s">
        <v>170</v>
      </c>
      <c r="C44" s="2" t="s">
        <v>171</v>
      </c>
      <c r="D44" s="2" t="s">
        <v>172</v>
      </c>
      <c r="E44" s="2" t="s">
        <v>31</v>
      </c>
      <c r="F44" s="2">
        <v>0.0</v>
      </c>
      <c r="G44" s="2">
        <v>0.0</v>
      </c>
      <c r="H44" s="3">
        <f t="shared" si="1"/>
        <v>0</v>
      </c>
      <c r="I44" s="2" t="s">
        <v>22</v>
      </c>
      <c r="J44" s="4">
        <f>VLOOKUP(B44,Costos_Proveedores!$B$2:$J$1000,9,FALSE())</f>
        <v>16800</v>
      </c>
      <c r="K44" s="5">
        <f t="shared" si="2"/>
        <v>0</v>
      </c>
      <c r="L44" s="2"/>
      <c r="M44" s="2"/>
      <c r="N44" s="2"/>
      <c r="O44" s="2"/>
      <c r="P44" s="1">
        <f t="shared" si="3"/>
        <v>0</v>
      </c>
      <c r="Q44" s="1">
        <f t="shared" si="4"/>
        <v>0</v>
      </c>
      <c r="R44" s="1">
        <f t="shared" si="5"/>
        <v>0</v>
      </c>
      <c r="S44" s="6" t="s">
        <v>173</v>
      </c>
    </row>
    <row r="45">
      <c r="A45" s="3" t="str">
        <f t="array" ref="A45">XLOOKUP(B45,Costos_Proveedores!$B$2:$B$2000,Costos_Proveedores!$A$2:$A$2000)</f>
        <v>MULI</v>
      </c>
      <c r="B45" s="2" t="s">
        <v>174</v>
      </c>
      <c r="C45" s="2" t="s">
        <v>175</v>
      </c>
      <c r="D45" s="2" t="s">
        <v>176</v>
      </c>
      <c r="E45" s="2" t="s">
        <v>31</v>
      </c>
      <c r="F45" s="2">
        <v>0.0</v>
      </c>
      <c r="G45" s="2">
        <v>0.0</v>
      </c>
      <c r="H45" s="3">
        <f t="shared" si="1"/>
        <v>0</v>
      </c>
      <c r="I45" s="2" t="s">
        <v>22</v>
      </c>
      <c r="J45" s="4">
        <f>VLOOKUP(B45,Costos_Proveedores!$B$2:$J$1000,9,FALSE())</f>
        <v>6300</v>
      </c>
      <c r="K45" s="5">
        <f t="shared" si="2"/>
        <v>0</v>
      </c>
      <c r="L45" s="2"/>
      <c r="M45" s="2"/>
      <c r="N45" s="2"/>
      <c r="O45" s="2"/>
      <c r="P45" s="1">
        <f t="shared" si="3"/>
        <v>0</v>
      </c>
      <c r="Q45" s="1">
        <f t="shared" si="4"/>
        <v>0</v>
      </c>
      <c r="R45" s="1">
        <f t="shared" si="5"/>
        <v>0</v>
      </c>
      <c r="S45" s="6" t="s">
        <v>177</v>
      </c>
    </row>
    <row r="46">
      <c r="A46" s="3" t="str">
        <f t="array" ref="A46">XLOOKUP(B46,Costos_Proveedores!$B$2:$B$2000,Costos_Proveedores!$A$2:$A$2000)</f>
        <v>MULI</v>
      </c>
      <c r="B46" s="2" t="s">
        <v>178</v>
      </c>
      <c r="C46" s="2" t="s">
        <v>179</v>
      </c>
      <c r="D46" s="2" t="s">
        <v>180</v>
      </c>
      <c r="E46" s="2" t="s">
        <v>31</v>
      </c>
      <c r="F46" s="2">
        <v>0.0</v>
      </c>
      <c r="G46" s="2">
        <v>0.0</v>
      </c>
      <c r="H46" s="3">
        <f t="shared" si="1"/>
        <v>0</v>
      </c>
      <c r="I46" s="2" t="s">
        <v>22</v>
      </c>
      <c r="J46" s="4">
        <f>VLOOKUP(B46,Costos_Proveedores!$B$2:$J$1000,9,FALSE())</f>
        <v>5580</v>
      </c>
      <c r="K46" s="5">
        <f t="shared" si="2"/>
        <v>0</v>
      </c>
      <c r="L46" s="2"/>
      <c r="M46" s="2"/>
      <c r="N46" s="2"/>
      <c r="O46" s="2"/>
      <c r="P46" s="1">
        <f t="shared" si="3"/>
        <v>0</v>
      </c>
      <c r="Q46" s="1">
        <f t="shared" si="4"/>
        <v>0</v>
      </c>
      <c r="R46" s="1">
        <f t="shared" si="5"/>
        <v>0</v>
      </c>
      <c r="S46" s="6" t="s">
        <v>181</v>
      </c>
    </row>
    <row r="47">
      <c r="A47" s="3" t="str">
        <f t="array" ref="A47">XLOOKUP(B47,Costos_Proveedores!$B$2:$B$2000,Costos_Proveedores!$A$2:$A$2000)</f>
        <v>MULI</v>
      </c>
      <c r="B47" s="2" t="s">
        <v>182</v>
      </c>
      <c r="C47" s="2" t="s">
        <v>183</v>
      </c>
      <c r="D47" s="2" t="s">
        <v>184</v>
      </c>
      <c r="E47" s="2" t="s">
        <v>31</v>
      </c>
      <c r="F47" s="2">
        <v>0.0</v>
      </c>
      <c r="G47" s="2">
        <v>0.0</v>
      </c>
      <c r="H47" s="3">
        <f t="shared" si="1"/>
        <v>0</v>
      </c>
      <c r="I47" s="2" t="s">
        <v>22</v>
      </c>
      <c r="J47" s="4">
        <f>VLOOKUP(B47,Costos_Proveedores!$B$2:$J$1000,9,FALSE())</f>
        <v>9240</v>
      </c>
      <c r="K47" s="5">
        <f t="shared" si="2"/>
        <v>0</v>
      </c>
      <c r="L47" s="2"/>
      <c r="M47" s="2"/>
      <c r="N47" s="2"/>
      <c r="O47" s="2"/>
      <c r="P47" s="1">
        <f t="shared" si="3"/>
        <v>0</v>
      </c>
      <c r="Q47" s="1">
        <f t="shared" si="4"/>
        <v>0</v>
      </c>
      <c r="R47" s="1">
        <f t="shared" si="5"/>
        <v>0</v>
      </c>
      <c r="S47" s="6" t="s">
        <v>185</v>
      </c>
    </row>
    <row r="48">
      <c r="A48" s="3" t="str">
        <f t="array" ref="A48">XLOOKUP(B48,Costos_Proveedores!$B$2:$B$2000,Costos_Proveedores!$A$2:$A$2000)</f>
        <v>MULI</v>
      </c>
      <c r="B48" s="2" t="s">
        <v>186</v>
      </c>
      <c r="C48" s="2" t="s">
        <v>187</v>
      </c>
      <c r="D48" s="2" t="s">
        <v>188</v>
      </c>
      <c r="E48" s="2" t="s">
        <v>31</v>
      </c>
      <c r="F48" s="2">
        <v>0.0</v>
      </c>
      <c r="G48" s="2">
        <v>0.0</v>
      </c>
      <c r="H48" s="3">
        <f t="shared" si="1"/>
        <v>0</v>
      </c>
      <c r="I48" s="2" t="s">
        <v>22</v>
      </c>
      <c r="J48" s="4">
        <f>VLOOKUP(B48,Costos_Proveedores!$B$2:$J$1000,9,FALSE())</f>
        <v>5880</v>
      </c>
      <c r="K48" s="5">
        <f t="shared" si="2"/>
        <v>0</v>
      </c>
      <c r="L48" s="2">
        <v>5.0</v>
      </c>
      <c r="M48" s="2">
        <v>1.0</v>
      </c>
      <c r="N48" s="2">
        <v>4.0</v>
      </c>
      <c r="O48" s="2">
        <v>0.0</v>
      </c>
      <c r="P48" s="1">
        <f t="shared" si="3"/>
        <v>1</v>
      </c>
      <c r="Q48" s="1">
        <f t="shared" si="4"/>
        <v>4</v>
      </c>
      <c r="R48" s="1">
        <f t="shared" si="5"/>
        <v>5</v>
      </c>
      <c r="S48" s="6" t="s">
        <v>189</v>
      </c>
    </row>
    <row r="49">
      <c r="A49" s="3" t="str">
        <f t="array" ref="A49">XLOOKUP(B49,Costos_Proveedores!$B$2:$B$2000,Costos_Proveedores!$A$2:$A$2000)</f>
        <v>MULI</v>
      </c>
      <c r="B49" s="2" t="s">
        <v>190</v>
      </c>
      <c r="C49" s="2" t="s">
        <v>191</v>
      </c>
      <c r="D49" s="2" t="s">
        <v>192</v>
      </c>
      <c r="E49" s="2" t="s">
        <v>31</v>
      </c>
      <c r="G49" s="2">
        <v>0.0</v>
      </c>
      <c r="H49" s="3">
        <f t="shared" si="1"/>
        <v>0</v>
      </c>
      <c r="I49" s="2" t="s">
        <v>22</v>
      </c>
      <c r="J49" s="4">
        <f>VLOOKUP(B49,Costos_Proveedores!$B$2:$J$1000,9,FALSE())</f>
        <v>16800</v>
      </c>
      <c r="K49" s="5">
        <f t="shared" si="2"/>
        <v>0</v>
      </c>
      <c r="L49" s="2"/>
      <c r="M49" s="2"/>
      <c r="N49" s="2"/>
      <c r="O49" s="2"/>
      <c r="P49" s="1">
        <f t="shared" si="3"/>
        <v>0</v>
      </c>
      <c r="Q49" s="1">
        <f t="shared" si="4"/>
        <v>0</v>
      </c>
      <c r="R49" s="1">
        <f t="shared" si="5"/>
        <v>0</v>
      </c>
      <c r="S49" s="6" t="s">
        <v>193</v>
      </c>
    </row>
    <row r="50">
      <c r="A50" s="3" t="str">
        <f t="array" ref="A50">XLOOKUP(B50,Costos_Proveedores!$B$2:$B$2000,Costos_Proveedores!$A$2:$A$2000)</f>
        <v>MULI</v>
      </c>
      <c r="B50" s="2" t="s">
        <v>194</v>
      </c>
      <c r="C50" s="2">
        <v>107175.0</v>
      </c>
      <c r="D50" s="2" t="s">
        <v>195</v>
      </c>
      <c r="E50" s="2" t="s">
        <v>31</v>
      </c>
      <c r="F50" s="2">
        <v>0.0</v>
      </c>
      <c r="G50" s="2">
        <v>0.0</v>
      </c>
      <c r="H50" s="3">
        <f t="shared" si="1"/>
        <v>0</v>
      </c>
      <c r="I50" s="2" t="s">
        <v>22</v>
      </c>
      <c r="J50" s="4">
        <f>VLOOKUP(B50,Costos_Proveedores!$B$2:$J$1000,9,FALSE())</f>
        <v>2730</v>
      </c>
      <c r="K50" s="5">
        <f t="shared" si="2"/>
        <v>0</v>
      </c>
      <c r="L50" s="2"/>
      <c r="M50" s="2"/>
      <c r="N50" s="2"/>
      <c r="O50" s="2"/>
      <c r="P50" s="1">
        <f t="shared" si="3"/>
        <v>0</v>
      </c>
      <c r="Q50" s="1">
        <f t="shared" si="4"/>
        <v>0</v>
      </c>
      <c r="R50" s="1">
        <f t="shared" si="5"/>
        <v>0</v>
      </c>
      <c r="S50" s="6" t="s">
        <v>196</v>
      </c>
    </row>
    <row r="51">
      <c r="A51" s="3" t="str">
        <f t="array" ref="A51">XLOOKUP(B51,Costos_Proveedores!$B$2:$B$2000,Costos_Proveedores!$A$2:$A$2000)</f>
        <v>MULI</v>
      </c>
      <c r="B51" s="2" t="s">
        <v>197</v>
      </c>
      <c r="C51" s="2">
        <v>105007.0</v>
      </c>
      <c r="D51" s="2" t="s">
        <v>198</v>
      </c>
      <c r="E51" s="2" t="s">
        <v>31</v>
      </c>
      <c r="F51" s="2">
        <v>0.0</v>
      </c>
      <c r="G51" s="2">
        <v>0.0</v>
      </c>
      <c r="H51" s="3">
        <f t="shared" si="1"/>
        <v>0</v>
      </c>
      <c r="I51" s="2" t="s">
        <v>22</v>
      </c>
      <c r="J51" s="4" t="str">
        <f>VLOOKUP(B51,Costos_Proveedores!$B$2:$J$1000,9,FALSE())</f>
        <v>$ 456</v>
      </c>
      <c r="K51" s="5">
        <f t="shared" si="2"/>
        <v>0</v>
      </c>
      <c r="L51" s="2"/>
      <c r="M51" s="2"/>
      <c r="N51" s="2"/>
      <c r="O51" s="2"/>
      <c r="P51" s="1">
        <f t="shared" si="3"/>
        <v>0</v>
      </c>
      <c r="Q51" s="1">
        <f t="shared" si="4"/>
        <v>0</v>
      </c>
      <c r="R51" s="1">
        <f t="shared" si="5"/>
        <v>0</v>
      </c>
      <c r="S51" s="6" t="s">
        <v>199</v>
      </c>
    </row>
    <row r="52">
      <c r="A52" s="3" t="str">
        <f t="array" ref="A52">XLOOKUP(B52,Costos_Proveedores!$B$2:$B$2000,Costos_Proveedores!$A$2:$A$2000)</f>
        <v>MULI</v>
      </c>
      <c r="B52" s="2" t="s">
        <v>200</v>
      </c>
      <c r="C52" s="2" t="s">
        <v>201</v>
      </c>
      <c r="D52" s="2" t="s">
        <v>202</v>
      </c>
      <c r="E52" s="2" t="s">
        <v>31</v>
      </c>
      <c r="F52" s="2">
        <v>0.0</v>
      </c>
      <c r="G52" s="2">
        <v>0.0</v>
      </c>
      <c r="H52" s="3">
        <f t="shared" si="1"/>
        <v>0</v>
      </c>
      <c r="I52" s="2" t="s">
        <v>22</v>
      </c>
      <c r="J52" s="4">
        <f>VLOOKUP(B52,Costos_Proveedores!$B$2:$J$1000,9,FALSE())</f>
        <v>5880</v>
      </c>
      <c r="K52" s="5">
        <f t="shared" si="2"/>
        <v>0</v>
      </c>
      <c r="L52" s="2">
        <v>1.0</v>
      </c>
      <c r="M52" s="2">
        <v>1.0</v>
      </c>
      <c r="N52" s="2">
        <v>0.0</v>
      </c>
      <c r="O52" s="2">
        <v>0.0</v>
      </c>
      <c r="P52" s="1">
        <f t="shared" si="3"/>
        <v>1</v>
      </c>
      <c r="Q52" s="1">
        <f t="shared" si="4"/>
        <v>0</v>
      </c>
      <c r="R52" s="1">
        <f t="shared" si="5"/>
        <v>1</v>
      </c>
      <c r="S52" s="6" t="s">
        <v>203</v>
      </c>
    </row>
    <row r="53">
      <c r="A53" s="3" t="str">
        <f t="array" ref="A53">XLOOKUP(B53,Costos_Proveedores!$B$2:$B$2000,Costos_Proveedores!$A$2:$A$2000)</f>
        <v>MULI</v>
      </c>
      <c r="B53" s="2" t="s">
        <v>204</v>
      </c>
      <c r="C53" s="2">
        <v>103367.0</v>
      </c>
      <c r="D53" s="2" t="s">
        <v>205</v>
      </c>
      <c r="E53" s="2" t="s">
        <v>31</v>
      </c>
      <c r="F53" s="2">
        <v>0.0</v>
      </c>
      <c r="G53" s="2">
        <v>0.0</v>
      </c>
      <c r="H53" s="3">
        <f t="shared" si="1"/>
        <v>0</v>
      </c>
      <c r="I53" s="2" t="s">
        <v>22</v>
      </c>
      <c r="J53" s="4">
        <f>VLOOKUP(B53,Costos_Proveedores!$B$2:$J$1000,9,FALSE())</f>
        <v>4550</v>
      </c>
      <c r="K53" s="5">
        <f t="shared" si="2"/>
        <v>0</v>
      </c>
      <c r="L53" s="2"/>
      <c r="M53" s="2"/>
      <c r="N53" s="2"/>
      <c r="O53" s="2"/>
      <c r="P53" s="1">
        <f t="shared" si="3"/>
        <v>0</v>
      </c>
      <c r="Q53" s="1">
        <f t="shared" si="4"/>
        <v>0</v>
      </c>
      <c r="R53" s="1">
        <f t="shared" si="5"/>
        <v>0</v>
      </c>
      <c r="S53" s="6" t="s">
        <v>206</v>
      </c>
    </row>
    <row r="54">
      <c r="A54" s="3" t="str">
        <f t="array" ref="A54">XLOOKUP(B54,Costos_Proveedores!$B$2:$B$2000,Costos_Proveedores!$A$2:$A$2000)</f>
        <v>MULI</v>
      </c>
      <c r="B54" s="2" t="s">
        <v>207</v>
      </c>
      <c r="C54" s="2">
        <v>58484.0</v>
      </c>
      <c r="D54" s="2" t="s">
        <v>208</v>
      </c>
      <c r="E54" s="2" t="s">
        <v>31</v>
      </c>
      <c r="G54" s="2">
        <v>0.0</v>
      </c>
      <c r="H54" s="3">
        <f t="shared" si="1"/>
        <v>0</v>
      </c>
      <c r="I54" s="2" t="s">
        <v>22</v>
      </c>
      <c r="J54" s="4">
        <f>VLOOKUP(B54,Costos_Proveedores!$B$2:$J$1000,9,FALSE())</f>
        <v>40700</v>
      </c>
      <c r="K54" s="5">
        <f t="shared" si="2"/>
        <v>0</v>
      </c>
      <c r="L54" s="2"/>
      <c r="M54" s="2"/>
      <c r="N54" s="2"/>
      <c r="O54" s="2"/>
      <c r="P54" s="1">
        <f t="shared" si="3"/>
        <v>0</v>
      </c>
      <c r="Q54" s="1">
        <f t="shared" si="4"/>
        <v>0</v>
      </c>
      <c r="R54" s="1">
        <f t="shared" si="5"/>
        <v>0</v>
      </c>
      <c r="S54" s="6" t="s">
        <v>209</v>
      </c>
    </row>
    <row r="55">
      <c r="A55" s="3" t="str">
        <f t="array" ref="A55">XLOOKUP(B55,Costos_Proveedores!$B$2:$B$2000,Costos_Proveedores!$A$2:$A$2000)</f>
        <v>MULI</v>
      </c>
      <c r="B55" s="2" t="s">
        <v>210</v>
      </c>
      <c r="C55" s="2" t="s">
        <v>211</v>
      </c>
      <c r="D55" s="2" t="s">
        <v>212</v>
      </c>
      <c r="E55" s="2" t="s">
        <v>31</v>
      </c>
      <c r="F55" s="2">
        <v>0.0</v>
      </c>
      <c r="G55" s="2">
        <v>0.0</v>
      </c>
      <c r="H55" s="3">
        <f t="shared" si="1"/>
        <v>0</v>
      </c>
      <c r="I55" s="2" t="s">
        <v>22</v>
      </c>
      <c r="J55" s="4">
        <f>VLOOKUP(B55,Costos_Proveedores!$B$2:$J$1000,9,FALSE())</f>
        <v>2730</v>
      </c>
      <c r="K55" s="5">
        <f t="shared" si="2"/>
        <v>0</v>
      </c>
      <c r="L55" s="2"/>
      <c r="M55" s="2"/>
      <c r="N55" s="2"/>
      <c r="O55" s="2"/>
      <c r="P55" s="1">
        <f t="shared" si="3"/>
        <v>0</v>
      </c>
      <c r="Q55" s="1">
        <f t="shared" si="4"/>
        <v>0</v>
      </c>
      <c r="R55" s="1">
        <f t="shared" si="5"/>
        <v>0</v>
      </c>
      <c r="S55" s="6" t="s">
        <v>213</v>
      </c>
    </row>
    <row r="56">
      <c r="A56" s="3" t="str">
        <f t="array" ref="A56">XLOOKUP(B56,Costos_Proveedores!$B$2:$B$2000,Costos_Proveedores!$A$2:$A$2000)</f>
        <v>MULI</v>
      </c>
      <c r="B56" s="2" t="s">
        <v>214</v>
      </c>
      <c r="C56" s="2" t="s">
        <v>215</v>
      </c>
      <c r="D56" s="2" t="s">
        <v>216</v>
      </c>
      <c r="E56" s="2" t="s">
        <v>31</v>
      </c>
      <c r="F56" s="2">
        <v>0.0</v>
      </c>
      <c r="G56" s="2">
        <v>0.0</v>
      </c>
      <c r="H56" s="3">
        <f t="shared" si="1"/>
        <v>0</v>
      </c>
      <c r="I56" s="2" t="s">
        <v>22</v>
      </c>
      <c r="J56" s="4">
        <f>VLOOKUP(B56,Costos_Proveedores!$B$2:$J$1000,9,FALSE())</f>
        <v>2730</v>
      </c>
      <c r="K56" s="5">
        <f t="shared" si="2"/>
        <v>0</v>
      </c>
      <c r="L56" s="2"/>
      <c r="M56" s="2"/>
      <c r="N56" s="2"/>
      <c r="O56" s="2"/>
      <c r="P56" s="1">
        <f t="shared" si="3"/>
        <v>0</v>
      </c>
      <c r="Q56" s="1">
        <f t="shared" si="4"/>
        <v>0</v>
      </c>
      <c r="R56" s="1">
        <f t="shared" si="5"/>
        <v>0</v>
      </c>
      <c r="S56" s="6" t="s">
        <v>217</v>
      </c>
    </row>
    <row r="57">
      <c r="A57" s="3" t="str">
        <f t="array" ref="A57">XLOOKUP(B57,Costos_Proveedores!$B$2:$B$2000,Costos_Proveedores!$A$2:$A$2000)</f>
        <v>MULI</v>
      </c>
      <c r="B57" s="2" t="s">
        <v>218</v>
      </c>
      <c r="C57" s="2" t="s">
        <v>219</v>
      </c>
      <c r="D57" s="2" t="s">
        <v>220</v>
      </c>
      <c r="E57" s="2" t="s">
        <v>31</v>
      </c>
      <c r="F57" s="2">
        <v>0.0</v>
      </c>
      <c r="G57" s="2">
        <v>0.0</v>
      </c>
      <c r="H57" s="3">
        <f t="shared" si="1"/>
        <v>0</v>
      </c>
      <c r="I57" s="2" t="s">
        <v>22</v>
      </c>
      <c r="J57" s="4">
        <f>VLOOKUP(B57,Costos_Proveedores!$B$2:$J$1000,9,FALSE())</f>
        <v>2730</v>
      </c>
      <c r="K57" s="5">
        <f t="shared" si="2"/>
        <v>0</v>
      </c>
      <c r="L57" s="2"/>
      <c r="M57" s="2"/>
      <c r="N57" s="2"/>
      <c r="O57" s="2"/>
      <c r="P57" s="1">
        <f t="shared" si="3"/>
        <v>0</v>
      </c>
      <c r="Q57" s="1">
        <f t="shared" si="4"/>
        <v>0</v>
      </c>
      <c r="R57" s="1">
        <f t="shared" si="5"/>
        <v>0</v>
      </c>
      <c r="S57" s="6" t="s">
        <v>221</v>
      </c>
    </row>
    <row r="58">
      <c r="A58" s="3" t="str">
        <f t="array" ref="A58">XLOOKUP(B58,Costos_Proveedores!$B$2:$B$2000,Costos_Proveedores!$A$2:$A$2000)</f>
        <v>MULI</v>
      </c>
      <c r="B58" s="2" t="s">
        <v>222</v>
      </c>
      <c r="C58" s="2">
        <v>106958.0</v>
      </c>
      <c r="D58" s="2" t="s">
        <v>223</v>
      </c>
      <c r="E58" s="2" t="s">
        <v>47</v>
      </c>
      <c r="F58" s="2">
        <v>2.0</v>
      </c>
      <c r="G58" s="2">
        <v>0.0</v>
      </c>
      <c r="H58" s="3">
        <f t="shared" si="1"/>
        <v>2</v>
      </c>
      <c r="I58" s="2" t="s">
        <v>22</v>
      </c>
      <c r="J58" s="4">
        <f>VLOOKUP(B58,Costos_Proveedores!$B$2:$J$1000,9,FALSE())</f>
        <v>9800</v>
      </c>
      <c r="K58" s="5">
        <f t="shared" si="2"/>
        <v>19600</v>
      </c>
      <c r="L58" s="2">
        <v>2.0</v>
      </c>
      <c r="M58" s="2">
        <v>2.0</v>
      </c>
      <c r="N58" s="2">
        <v>0.0</v>
      </c>
      <c r="O58" s="2">
        <v>0.0</v>
      </c>
      <c r="P58" s="1">
        <f t="shared" si="3"/>
        <v>0</v>
      </c>
      <c r="Q58" s="1">
        <f t="shared" si="4"/>
        <v>0</v>
      </c>
      <c r="R58" s="1">
        <f t="shared" si="5"/>
        <v>0</v>
      </c>
      <c r="S58" s="6" t="s">
        <v>224</v>
      </c>
    </row>
    <row r="59">
      <c r="A59" s="3" t="str">
        <f t="array" ref="A59">XLOOKUP(B59,Costos_Proveedores!$B$2:$B$2000,Costos_Proveedores!$A$2:$A$2000)</f>
        <v>MULI</v>
      </c>
      <c r="B59" s="2" t="s">
        <v>225</v>
      </c>
      <c r="C59" s="2">
        <v>104996.0</v>
      </c>
      <c r="D59" s="2" t="s">
        <v>198</v>
      </c>
      <c r="E59" s="2" t="s">
        <v>31</v>
      </c>
      <c r="F59" s="2">
        <v>0.0</v>
      </c>
      <c r="G59" s="2">
        <v>0.0</v>
      </c>
      <c r="H59" s="3">
        <f t="shared" si="1"/>
        <v>0</v>
      </c>
      <c r="I59" s="2" t="s">
        <v>22</v>
      </c>
      <c r="J59" s="4">
        <f>VLOOKUP(B59,Costos_Proveedores!$B$2:$J$1000,9,FALSE())</f>
        <v>1260</v>
      </c>
      <c r="K59" s="5">
        <f t="shared" si="2"/>
        <v>0</v>
      </c>
      <c r="L59" s="2"/>
      <c r="M59" s="2"/>
      <c r="N59" s="2"/>
      <c r="O59" s="2"/>
      <c r="P59" s="1">
        <f t="shared" si="3"/>
        <v>0</v>
      </c>
      <c r="Q59" s="1">
        <f t="shared" si="4"/>
        <v>0</v>
      </c>
      <c r="R59" s="1">
        <f t="shared" si="5"/>
        <v>0</v>
      </c>
      <c r="S59" s="6" t="s">
        <v>226</v>
      </c>
    </row>
    <row r="60">
      <c r="A60" s="3" t="str">
        <f t="array" ref="A60">XLOOKUP(B60,Costos_Proveedores!$B$2:$B$2000,Costos_Proveedores!$A$2:$A$2000)</f>
        <v>EXTREMO SUR</v>
      </c>
      <c r="B60" s="2" t="s">
        <v>227</v>
      </c>
      <c r="C60" s="2">
        <v>7.804651160358E12</v>
      </c>
      <c r="D60" s="2" t="s">
        <v>228</v>
      </c>
      <c r="E60" s="2" t="s">
        <v>31</v>
      </c>
      <c r="F60" s="2">
        <v>0.0</v>
      </c>
      <c r="G60" s="2">
        <v>0.0</v>
      </c>
      <c r="H60" s="3">
        <f t="shared" si="1"/>
        <v>0</v>
      </c>
      <c r="I60" s="2" t="s">
        <v>22</v>
      </c>
      <c r="J60" s="4">
        <f>VLOOKUP(B60,Costos_Proveedores!$B$2:$J$1000,9,FALSE())</f>
        <v>6218</v>
      </c>
      <c r="K60" s="5">
        <f t="shared" si="2"/>
        <v>0</v>
      </c>
      <c r="L60" s="2"/>
      <c r="M60" s="2"/>
      <c r="N60" s="2"/>
      <c r="O60" s="2"/>
      <c r="P60" s="1">
        <f t="shared" si="3"/>
        <v>0</v>
      </c>
      <c r="Q60" s="1">
        <f t="shared" si="4"/>
        <v>0</v>
      </c>
      <c r="R60" s="1">
        <f t="shared" si="5"/>
        <v>0</v>
      </c>
      <c r="S60" s="6" t="s">
        <v>229</v>
      </c>
    </row>
    <row r="61">
      <c r="A61" s="3" t="str">
        <f t="array" ref="A61">XLOOKUP(B61,Costos_Proveedores!$B$2:$B$2000,Costos_Proveedores!$A$2:$A$2000)</f>
        <v>EXTREMO SUR</v>
      </c>
      <c r="B61" s="2" t="s">
        <v>230</v>
      </c>
      <c r="C61" s="2">
        <v>7.896108058967E12</v>
      </c>
      <c r="D61" s="2" t="s">
        <v>231</v>
      </c>
      <c r="E61" s="2" t="s">
        <v>31</v>
      </c>
      <c r="F61" s="2">
        <v>0.0</v>
      </c>
      <c r="G61" s="2">
        <v>84.0</v>
      </c>
      <c r="H61" s="3">
        <f t="shared" si="1"/>
        <v>0</v>
      </c>
      <c r="I61" s="2" t="s">
        <v>232</v>
      </c>
      <c r="J61" s="4">
        <f>VLOOKUP(B61,Costos_Proveedores!$B$2:$J$1000,9,FALSE())</f>
        <v>3392</v>
      </c>
      <c r="K61" s="5">
        <f t="shared" si="2"/>
        <v>0</v>
      </c>
      <c r="L61" s="2"/>
      <c r="M61" s="2"/>
      <c r="N61" s="2"/>
      <c r="O61" s="2"/>
      <c r="P61" s="1">
        <f t="shared" si="3"/>
        <v>0</v>
      </c>
      <c r="Q61" s="1">
        <f t="shared" si="4"/>
        <v>0</v>
      </c>
      <c r="R61" s="1">
        <f t="shared" si="5"/>
        <v>0</v>
      </c>
      <c r="S61" s="6" t="s">
        <v>233</v>
      </c>
    </row>
    <row r="62">
      <c r="A62" s="3" t="str">
        <f t="array" ref="A62">XLOOKUP(B62,Costos_Proveedores!$B$2:$B$2000,Costos_Proveedores!$A$2:$A$2000)</f>
        <v>EXTREMO SUR</v>
      </c>
      <c r="B62" s="2" t="s">
        <v>234</v>
      </c>
      <c r="C62" s="2">
        <v>7.804651160211E12</v>
      </c>
      <c r="D62" s="2" t="s">
        <v>235</v>
      </c>
      <c r="E62" s="2" t="s">
        <v>31</v>
      </c>
      <c r="F62" s="2">
        <v>0.0</v>
      </c>
      <c r="G62" s="2">
        <v>1.0</v>
      </c>
      <c r="H62" s="3">
        <f t="shared" si="1"/>
        <v>0</v>
      </c>
      <c r="I62" s="2" t="s">
        <v>232</v>
      </c>
      <c r="J62" s="4">
        <f>VLOOKUP(B62,Costos_Proveedores!$B$2:$J$1000,9,FALSE())</f>
        <v>3392</v>
      </c>
      <c r="K62" s="5">
        <f t="shared" si="2"/>
        <v>0</v>
      </c>
      <c r="L62" s="2"/>
      <c r="M62" s="2"/>
      <c r="N62" s="2"/>
      <c r="O62" s="2"/>
      <c r="P62" s="1">
        <f t="shared" si="3"/>
        <v>0</v>
      </c>
      <c r="Q62" s="1">
        <f t="shared" si="4"/>
        <v>0</v>
      </c>
      <c r="R62" s="1">
        <f t="shared" si="5"/>
        <v>0</v>
      </c>
      <c r="S62" s="6" t="s">
        <v>236</v>
      </c>
    </row>
    <row r="63">
      <c r="A63" s="3" t="str">
        <f t="array" ref="A63">XLOOKUP(B63,Costos_Proveedores!$B$2:$B$2000,Costos_Proveedores!$A$2:$A$2000)</f>
        <v>EXTREMO SUR</v>
      </c>
      <c r="B63" s="2" t="s">
        <v>237</v>
      </c>
      <c r="C63" s="2" t="s">
        <v>238</v>
      </c>
      <c r="D63" s="2" t="s">
        <v>239</v>
      </c>
      <c r="E63" s="2" t="s">
        <v>31</v>
      </c>
      <c r="F63" s="2">
        <v>0.0</v>
      </c>
      <c r="G63" s="2">
        <v>1.0</v>
      </c>
      <c r="H63" s="3">
        <f t="shared" si="1"/>
        <v>0</v>
      </c>
      <c r="I63" s="2" t="s">
        <v>232</v>
      </c>
      <c r="J63" s="4">
        <f>VLOOKUP(B63,Costos_Proveedores!$B$2:$J$1000,9,FALSE())</f>
        <v>9044</v>
      </c>
      <c r="K63" s="5">
        <f t="shared" si="2"/>
        <v>0</v>
      </c>
      <c r="L63" s="2"/>
      <c r="M63" s="2"/>
      <c r="N63" s="2"/>
      <c r="O63" s="2"/>
      <c r="P63" s="1">
        <f t="shared" si="3"/>
        <v>0</v>
      </c>
      <c r="Q63" s="1">
        <f t="shared" si="4"/>
        <v>0</v>
      </c>
      <c r="R63" s="1">
        <f t="shared" si="5"/>
        <v>0</v>
      </c>
      <c r="S63" s="6" t="s">
        <v>240</v>
      </c>
    </row>
    <row r="64">
      <c r="A64" s="3" t="str">
        <f t="array" ref="A64">XLOOKUP(B64,Costos_Proveedores!$B$2:$B$2000,Costos_Proveedores!$A$2:$A$2000)</f>
        <v>EXTREMO SUR</v>
      </c>
      <c r="B64" s="2" t="s">
        <v>241</v>
      </c>
      <c r="C64" s="2" t="s">
        <v>242</v>
      </c>
      <c r="D64" s="2" t="s">
        <v>243</v>
      </c>
      <c r="E64" s="2" t="s">
        <v>31</v>
      </c>
      <c r="F64" s="2">
        <v>0.0</v>
      </c>
      <c r="G64" s="2">
        <v>0.0</v>
      </c>
      <c r="H64" s="3">
        <f t="shared" si="1"/>
        <v>0</v>
      </c>
      <c r="I64" s="2" t="s">
        <v>232</v>
      </c>
      <c r="J64" s="4">
        <f>VLOOKUP(B64,Costos_Proveedores!$B$2:$J$1000,9,FALSE())</f>
        <v>13566</v>
      </c>
      <c r="K64" s="5">
        <f t="shared" si="2"/>
        <v>0</v>
      </c>
      <c r="L64" s="2"/>
      <c r="M64" s="2"/>
      <c r="N64" s="2"/>
      <c r="O64" s="2"/>
      <c r="P64" s="1">
        <f t="shared" si="3"/>
        <v>0</v>
      </c>
      <c r="Q64" s="1">
        <f t="shared" si="4"/>
        <v>0</v>
      </c>
      <c r="R64" s="1">
        <f t="shared" si="5"/>
        <v>0</v>
      </c>
      <c r="S64" s="6" t="s">
        <v>244</v>
      </c>
    </row>
    <row r="65">
      <c r="A65" s="3" t="str">
        <f t="array" ref="A65">XLOOKUP(B65,Costos_Proveedores!$B$2:$B$2000,Costos_Proveedores!$A$2:$A$2000)</f>
        <v>EXTREMO SUR</v>
      </c>
      <c r="B65" s="2" t="s">
        <v>245</v>
      </c>
      <c r="C65" s="2">
        <v>7.80465116031E12</v>
      </c>
      <c r="D65" s="2" t="s">
        <v>246</v>
      </c>
      <c r="E65" s="2" t="s">
        <v>31</v>
      </c>
      <c r="G65" s="2">
        <v>1.0</v>
      </c>
      <c r="H65" s="3">
        <f t="shared" si="1"/>
        <v>1</v>
      </c>
      <c r="I65" s="2" t="s">
        <v>22</v>
      </c>
      <c r="J65" s="4">
        <f>VLOOKUP(B65,Costos_Proveedores!$B$2:$J$1000,9,FALSE())</f>
        <v>10175</v>
      </c>
      <c r="K65" s="5">
        <f t="shared" si="2"/>
        <v>10175</v>
      </c>
      <c r="L65" s="2"/>
      <c r="M65" s="2"/>
      <c r="N65" s="2"/>
      <c r="O65" s="2"/>
      <c r="P65" s="1">
        <f t="shared" si="3"/>
        <v>0</v>
      </c>
      <c r="Q65" s="1">
        <f t="shared" si="4"/>
        <v>0</v>
      </c>
      <c r="R65" s="1">
        <f t="shared" si="5"/>
        <v>0</v>
      </c>
      <c r="S65" s="6" t="s">
        <v>247</v>
      </c>
    </row>
    <row r="66">
      <c r="A66" s="3" t="str">
        <f t="array" ref="A66">XLOOKUP(B66,Costos_Proveedores!$B$2:$B$2000,Costos_Proveedores!$A$2:$A$2000)</f>
        <v>EXTREMO SUR</v>
      </c>
      <c r="B66" s="2" t="s">
        <v>248</v>
      </c>
      <c r="C66" s="2" t="s">
        <v>249</v>
      </c>
      <c r="D66" s="2" t="s">
        <v>250</v>
      </c>
      <c r="E66" s="2" t="s">
        <v>31</v>
      </c>
      <c r="F66" s="2">
        <v>0.0</v>
      </c>
      <c r="G66" s="2">
        <v>1.0</v>
      </c>
      <c r="H66" s="3">
        <f t="shared" si="1"/>
        <v>0</v>
      </c>
      <c r="I66" s="2" t="s">
        <v>232</v>
      </c>
      <c r="J66" s="4">
        <f>VLOOKUP(B66,Costos_Proveedores!$B$2:$J$1000,9,FALSE())</f>
        <v>3392</v>
      </c>
      <c r="K66" s="5">
        <f t="shared" si="2"/>
        <v>0</v>
      </c>
      <c r="L66" s="2"/>
      <c r="M66" s="2"/>
      <c r="N66" s="2"/>
      <c r="O66" s="2"/>
      <c r="P66" s="1">
        <f t="shared" si="3"/>
        <v>0</v>
      </c>
      <c r="Q66" s="1">
        <f t="shared" si="4"/>
        <v>0</v>
      </c>
      <c r="R66" s="1">
        <f t="shared" si="5"/>
        <v>0</v>
      </c>
      <c r="S66" s="6" t="s">
        <v>251</v>
      </c>
    </row>
    <row r="67">
      <c r="A67" s="3" t="str">
        <f t="array" ref="A67">XLOOKUP(B67,Costos_Proveedores!$B$2:$B$2000,Costos_Proveedores!$A$2:$A$2000)</f>
        <v>EXTREMO SUR</v>
      </c>
      <c r="B67" s="2" t="s">
        <v>252</v>
      </c>
      <c r="C67" s="2" t="s">
        <v>253</v>
      </c>
      <c r="D67" s="2" t="s">
        <v>254</v>
      </c>
      <c r="E67" s="2" t="s">
        <v>31</v>
      </c>
      <c r="F67" s="2">
        <v>0.0</v>
      </c>
      <c r="G67" s="2">
        <v>84.0</v>
      </c>
      <c r="H67" s="3">
        <f t="shared" si="1"/>
        <v>0</v>
      </c>
      <c r="I67" s="2" t="s">
        <v>232</v>
      </c>
      <c r="J67" s="4">
        <f>VLOOKUP(B67,Costos_Proveedores!$B$2:$J$1000,9,FALSE())</f>
        <v>3392</v>
      </c>
      <c r="K67" s="5">
        <f t="shared" si="2"/>
        <v>0</v>
      </c>
      <c r="L67" s="2"/>
      <c r="M67" s="2"/>
      <c r="N67" s="2"/>
      <c r="O67" s="2"/>
      <c r="P67" s="1">
        <f t="shared" si="3"/>
        <v>0</v>
      </c>
      <c r="Q67" s="1">
        <f t="shared" si="4"/>
        <v>0</v>
      </c>
      <c r="R67" s="1">
        <f t="shared" si="5"/>
        <v>0</v>
      </c>
      <c r="S67" s="6" t="s">
        <v>255</v>
      </c>
    </row>
    <row r="68">
      <c r="A68" s="3" t="str">
        <f t="array" ref="A68">XLOOKUP(B68,Costos_Proveedores!$B$2:$B$2000,Costos_Proveedores!$A$2:$A$2000)</f>
        <v>EXTREMO SUR</v>
      </c>
      <c r="B68" s="2" t="s">
        <v>256</v>
      </c>
      <c r="C68" s="2" t="s">
        <v>257</v>
      </c>
      <c r="D68" s="2" t="s">
        <v>258</v>
      </c>
      <c r="E68" s="2" t="s">
        <v>31</v>
      </c>
      <c r="F68" s="2">
        <v>0.0</v>
      </c>
      <c r="G68" s="2">
        <v>100.0</v>
      </c>
      <c r="H68" s="3">
        <f t="shared" si="1"/>
        <v>0</v>
      </c>
      <c r="I68" s="2" t="s">
        <v>232</v>
      </c>
      <c r="J68" s="4">
        <f>VLOOKUP(B68,Costos_Proveedores!$B$2:$J$1000,9,FALSE())</f>
        <v>12436</v>
      </c>
      <c r="K68" s="5">
        <f t="shared" si="2"/>
        <v>0</v>
      </c>
      <c r="L68" s="2"/>
      <c r="M68" s="2"/>
      <c r="N68" s="2"/>
      <c r="O68" s="2"/>
      <c r="P68" s="1">
        <f t="shared" si="3"/>
        <v>0</v>
      </c>
      <c r="Q68" s="1">
        <f t="shared" si="4"/>
        <v>0</v>
      </c>
      <c r="R68" s="1">
        <f t="shared" si="5"/>
        <v>0</v>
      </c>
      <c r="S68" s="6" t="s">
        <v>259</v>
      </c>
    </row>
    <row r="69">
      <c r="A69" s="3" t="str">
        <f t="array" ref="A69">XLOOKUP(B69,Costos_Proveedores!$B$2:$B$2000,Costos_Proveedores!$A$2:$A$2000)</f>
        <v>EXTREMO SUR</v>
      </c>
      <c r="B69" s="2" t="s">
        <v>260</v>
      </c>
      <c r="C69" s="2" t="s">
        <v>261</v>
      </c>
      <c r="D69" s="2" t="s">
        <v>243</v>
      </c>
      <c r="E69" s="2" t="s">
        <v>31</v>
      </c>
      <c r="F69" s="2">
        <v>0.0</v>
      </c>
      <c r="G69" s="2">
        <v>0.0</v>
      </c>
      <c r="H69" s="3">
        <f t="shared" si="1"/>
        <v>0</v>
      </c>
      <c r="I69" s="2" t="s">
        <v>232</v>
      </c>
      <c r="J69" s="4">
        <f>VLOOKUP(B69,Costos_Proveedores!$B$2:$J$1000,9,FALSE())</f>
        <v>13566</v>
      </c>
      <c r="K69" s="5">
        <f t="shared" si="2"/>
        <v>0</v>
      </c>
      <c r="L69" s="2"/>
      <c r="M69" s="2"/>
      <c r="N69" s="2"/>
      <c r="O69" s="2"/>
      <c r="P69" s="1">
        <f t="shared" si="3"/>
        <v>0</v>
      </c>
      <c r="Q69" s="1">
        <f t="shared" si="4"/>
        <v>0</v>
      </c>
      <c r="R69" s="1">
        <f t="shared" si="5"/>
        <v>0</v>
      </c>
      <c r="S69" s="6" t="s">
        <v>262</v>
      </c>
    </row>
    <row r="70">
      <c r="A70" s="3" t="str">
        <f t="array" ref="A70">XLOOKUP(B70,Costos_Proveedores!$B$2:$B$2000,Costos_Proveedores!$A$2:$A$2000)</f>
        <v>EXTREMO SUR</v>
      </c>
      <c r="B70" s="2" t="s">
        <v>263</v>
      </c>
      <c r="C70" s="2">
        <v>7.804651160358E12</v>
      </c>
      <c r="D70" s="2" t="s">
        <v>264</v>
      </c>
      <c r="E70" s="2" t="s">
        <v>31</v>
      </c>
      <c r="F70" s="2">
        <v>0.0</v>
      </c>
      <c r="G70" s="2">
        <v>0.0</v>
      </c>
      <c r="H70" s="3">
        <f t="shared" si="1"/>
        <v>0</v>
      </c>
      <c r="J70" s="4">
        <f>VLOOKUP(B70,Costos_Proveedores!$B$2:$J$1000,9,FALSE())</f>
        <v>6218</v>
      </c>
      <c r="K70" s="5">
        <f t="shared" si="2"/>
        <v>0</v>
      </c>
      <c r="L70" s="2"/>
      <c r="M70" s="2"/>
      <c r="N70" s="2"/>
      <c r="O70" s="2"/>
      <c r="P70" s="1">
        <f t="shared" si="3"/>
        <v>0</v>
      </c>
      <c r="Q70" s="1">
        <f t="shared" si="4"/>
        <v>0</v>
      </c>
      <c r="R70" s="1">
        <f t="shared" si="5"/>
        <v>0</v>
      </c>
      <c r="S70" s="6" t="s">
        <v>265</v>
      </c>
    </row>
    <row r="71">
      <c r="A71" s="3" t="str">
        <f t="array" ref="A71">XLOOKUP(B71,Costos_Proveedores!$B$2:$B$2000,Costos_Proveedores!$A$2:$A$2000)</f>
        <v>EXTREMO SUR</v>
      </c>
      <c r="B71" s="2" t="s">
        <v>266</v>
      </c>
      <c r="C71" s="2" t="s">
        <v>267</v>
      </c>
      <c r="D71" s="2" t="s">
        <v>268</v>
      </c>
      <c r="E71" s="2" t="s">
        <v>31</v>
      </c>
      <c r="F71" s="2">
        <v>0.0</v>
      </c>
      <c r="G71" s="2">
        <v>100.0</v>
      </c>
      <c r="H71" s="3">
        <f t="shared" si="1"/>
        <v>0</v>
      </c>
      <c r="I71" s="2" t="s">
        <v>232</v>
      </c>
      <c r="J71" s="4">
        <f>VLOOKUP(B71,Costos_Proveedores!$B$2:$J$1000,9,FALSE())</f>
        <v>12436</v>
      </c>
      <c r="K71" s="5">
        <f t="shared" si="2"/>
        <v>0</v>
      </c>
      <c r="L71" s="2"/>
      <c r="M71" s="2"/>
      <c r="N71" s="2"/>
      <c r="O71" s="2"/>
      <c r="P71" s="1">
        <f t="shared" si="3"/>
        <v>0</v>
      </c>
      <c r="Q71" s="1">
        <f t="shared" si="4"/>
        <v>0</v>
      </c>
      <c r="R71" s="1">
        <f t="shared" si="5"/>
        <v>0</v>
      </c>
      <c r="S71" s="6" t="s">
        <v>269</v>
      </c>
    </row>
    <row r="72">
      <c r="A72" s="3" t="str">
        <f t="array" ref="A72">XLOOKUP(B72,Costos_Proveedores!$B$2:$B$2000,Costos_Proveedores!$A$2:$A$2000)</f>
        <v>EXTREMO SUR</v>
      </c>
      <c r="B72" s="2" t="s">
        <v>270</v>
      </c>
      <c r="C72" s="2" t="s">
        <v>271</v>
      </c>
      <c r="D72" s="2" t="s">
        <v>272</v>
      </c>
      <c r="E72" s="2" t="s">
        <v>31</v>
      </c>
      <c r="F72" s="2">
        <v>0.0</v>
      </c>
      <c r="G72" s="2">
        <v>1.0</v>
      </c>
      <c r="H72" s="3">
        <f t="shared" si="1"/>
        <v>0</v>
      </c>
      <c r="I72" s="2" t="s">
        <v>232</v>
      </c>
      <c r="J72" s="4">
        <f>VLOOKUP(B72,Costos_Proveedores!$B$2:$J$1000,9,FALSE())</f>
        <v>9044</v>
      </c>
      <c r="K72" s="5">
        <f t="shared" si="2"/>
        <v>0</v>
      </c>
      <c r="L72" s="2"/>
      <c r="M72" s="2"/>
      <c r="N72" s="2"/>
      <c r="O72" s="2"/>
      <c r="P72" s="1">
        <f t="shared" si="3"/>
        <v>0</v>
      </c>
      <c r="Q72" s="1">
        <f t="shared" si="4"/>
        <v>0</v>
      </c>
      <c r="R72" s="1">
        <f t="shared" si="5"/>
        <v>0</v>
      </c>
      <c r="S72" s="6" t="s">
        <v>273</v>
      </c>
    </row>
    <row r="73">
      <c r="A73" s="3" t="str">
        <f t="array" ref="A73">XLOOKUP(B73,Costos_Proveedores!$B$2:$B$2000,Costos_Proveedores!$A$2:$A$2000)</f>
        <v>EXTREMO SUR</v>
      </c>
      <c r="B73" s="2" t="s">
        <v>274</v>
      </c>
      <c r="C73" s="2" t="s">
        <v>275</v>
      </c>
      <c r="D73" s="2" t="s">
        <v>276</v>
      </c>
      <c r="E73" s="2" t="s">
        <v>31</v>
      </c>
      <c r="G73" s="2">
        <v>1.0</v>
      </c>
      <c r="H73" s="3">
        <f t="shared" si="1"/>
        <v>1</v>
      </c>
      <c r="I73" s="2" t="s">
        <v>22</v>
      </c>
      <c r="J73" s="4">
        <f>VLOOKUP(B73,Costos_Proveedores!$B$2:$J$1000,9,FALSE())</f>
        <v>3392</v>
      </c>
      <c r="K73" s="5">
        <f t="shared" si="2"/>
        <v>3392</v>
      </c>
      <c r="L73" s="2"/>
      <c r="M73" s="2"/>
      <c r="N73" s="2"/>
      <c r="O73" s="2"/>
      <c r="P73" s="1">
        <f t="shared" si="3"/>
        <v>0</v>
      </c>
      <c r="Q73" s="1">
        <f t="shared" si="4"/>
        <v>0</v>
      </c>
      <c r="R73" s="1">
        <f t="shared" si="5"/>
        <v>0</v>
      </c>
      <c r="S73" s="6" t="s">
        <v>277</v>
      </c>
    </row>
    <row r="74">
      <c r="A74" s="3" t="str">
        <f t="array" ref="A74">XLOOKUP(B74,Costos_Proveedores!$B$2:$B$2000,Costos_Proveedores!$A$2:$A$2000)</f>
        <v>MULI</v>
      </c>
      <c r="B74" s="2" t="s">
        <v>278</v>
      </c>
      <c r="C74" s="2" t="s">
        <v>279</v>
      </c>
      <c r="D74" s="2" t="s">
        <v>280</v>
      </c>
      <c r="E74" s="2" t="s">
        <v>31</v>
      </c>
      <c r="G74" s="2">
        <v>0.0</v>
      </c>
      <c r="H74" s="3">
        <f t="shared" si="1"/>
        <v>0</v>
      </c>
      <c r="I74" s="2" t="s">
        <v>22</v>
      </c>
      <c r="J74" s="4">
        <f>VLOOKUP(B74,Costos_Proveedores!$B$2:$J$1000,9,FALSE())</f>
        <v>5880</v>
      </c>
      <c r="K74" s="5">
        <f t="shared" si="2"/>
        <v>0</v>
      </c>
      <c r="L74" s="2"/>
      <c r="M74" s="2"/>
      <c r="N74" s="2"/>
      <c r="O74" s="2"/>
      <c r="P74" s="1">
        <f t="shared" si="3"/>
        <v>0</v>
      </c>
      <c r="Q74" s="1">
        <f t="shared" si="4"/>
        <v>0</v>
      </c>
      <c r="R74" s="1">
        <f t="shared" si="5"/>
        <v>0</v>
      </c>
      <c r="S74" s="6" t="s">
        <v>281</v>
      </c>
    </row>
    <row r="75">
      <c r="A75" s="3" t="str">
        <f t="array" ref="A75">XLOOKUP(B75,Costos_Proveedores!$B$2:$B$2000,Costos_Proveedores!$A$2:$A$2000)</f>
        <v>MULI</v>
      </c>
      <c r="B75" s="2" t="s">
        <v>282</v>
      </c>
      <c r="C75" s="2" t="s">
        <v>283</v>
      </c>
      <c r="D75" s="2" t="s">
        <v>284</v>
      </c>
      <c r="E75" s="2" t="s">
        <v>47</v>
      </c>
      <c r="G75" s="2">
        <v>1.0</v>
      </c>
      <c r="H75" s="3">
        <f t="shared" si="1"/>
        <v>1</v>
      </c>
      <c r="I75" s="2" t="s">
        <v>22</v>
      </c>
      <c r="J75" s="4">
        <f>VLOOKUP(B75,Costos_Proveedores!$B$2:$J$1000,9,FALSE())</f>
        <v>1512</v>
      </c>
      <c r="K75" s="5">
        <f t="shared" si="2"/>
        <v>1512</v>
      </c>
      <c r="L75" s="2"/>
      <c r="M75" s="2"/>
      <c r="N75" s="2"/>
      <c r="O75" s="2"/>
      <c r="P75" s="1">
        <f t="shared" si="3"/>
        <v>0</v>
      </c>
      <c r="Q75" s="1">
        <f t="shared" si="4"/>
        <v>0</v>
      </c>
      <c r="R75" s="1">
        <f t="shared" si="5"/>
        <v>0</v>
      </c>
      <c r="S75" s="6" t="s">
        <v>285</v>
      </c>
    </row>
    <row r="76">
      <c r="A76" s="3" t="str">
        <f t="array" ref="A76">XLOOKUP(B76,Costos_Proveedores!$B$2:$B$2000,Costos_Proveedores!$A$2:$A$2000)</f>
        <v>MULI</v>
      </c>
      <c r="B76" s="2" t="s">
        <v>286</v>
      </c>
      <c r="C76" s="2" t="s">
        <v>287</v>
      </c>
      <c r="D76" s="2" t="s">
        <v>288</v>
      </c>
      <c r="E76" s="2" t="s">
        <v>47</v>
      </c>
      <c r="G76" s="2">
        <v>1.0</v>
      </c>
      <c r="H76" s="3">
        <f t="shared" si="1"/>
        <v>1</v>
      </c>
      <c r="I76" s="2" t="s">
        <v>22</v>
      </c>
      <c r="J76" s="4">
        <f>VLOOKUP(B76,Costos_Proveedores!$B$2:$J$1000,9,FALSE())</f>
        <v>1512</v>
      </c>
      <c r="K76" s="5">
        <f t="shared" si="2"/>
        <v>1512</v>
      </c>
      <c r="L76" s="2"/>
      <c r="M76" s="2"/>
      <c r="N76" s="2"/>
      <c r="O76" s="2"/>
      <c r="P76" s="1">
        <f t="shared" si="3"/>
        <v>0</v>
      </c>
      <c r="Q76" s="1">
        <f t="shared" si="4"/>
        <v>0</v>
      </c>
      <c r="R76" s="1">
        <f t="shared" si="5"/>
        <v>0</v>
      </c>
      <c r="S76" s="6" t="s">
        <v>289</v>
      </c>
    </row>
    <row r="77">
      <c r="A77" s="3" t="str">
        <f t="array" ref="A77">XLOOKUP(B77,Costos_Proveedores!$B$2:$B$2000,Costos_Proveedores!$A$2:$A$2000)</f>
        <v>MULI</v>
      </c>
      <c r="B77" s="2" t="s">
        <v>290</v>
      </c>
      <c r="C77" s="2" t="s">
        <v>291</v>
      </c>
      <c r="D77" s="2" t="s">
        <v>292</v>
      </c>
      <c r="E77" s="2" t="s">
        <v>47</v>
      </c>
      <c r="G77" s="2">
        <v>1.0</v>
      </c>
      <c r="H77" s="3">
        <f t="shared" si="1"/>
        <v>1</v>
      </c>
      <c r="I77" s="2" t="s">
        <v>22</v>
      </c>
      <c r="J77" s="4">
        <f>VLOOKUP(B77,Costos_Proveedores!$B$2:$J$1000,9,FALSE())</f>
        <v>2520</v>
      </c>
      <c r="K77" s="5">
        <f t="shared" si="2"/>
        <v>2520</v>
      </c>
      <c r="L77" s="2"/>
      <c r="M77" s="2"/>
      <c r="N77" s="2"/>
      <c r="O77" s="2"/>
      <c r="P77" s="1">
        <f t="shared" si="3"/>
        <v>0</v>
      </c>
      <c r="Q77" s="1">
        <f t="shared" si="4"/>
        <v>0</v>
      </c>
      <c r="R77" s="1">
        <f t="shared" si="5"/>
        <v>0</v>
      </c>
      <c r="S77" s="6" t="s">
        <v>293</v>
      </c>
    </row>
    <row r="78">
      <c r="A78" s="3" t="str">
        <f t="array" ref="A78">XLOOKUP(B78,Costos_Proveedores!$B$2:$B$2000,Costos_Proveedores!$A$2:$A$2000)</f>
        <v>MULI</v>
      </c>
      <c r="B78" s="2" t="s">
        <v>294</v>
      </c>
      <c r="C78" s="2" t="s">
        <v>295</v>
      </c>
      <c r="D78" s="2" t="s">
        <v>296</v>
      </c>
      <c r="E78" s="2" t="s">
        <v>31</v>
      </c>
      <c r="G78" s="2">
        <v>0.0</v>
      </c>
      <c r="H78" s="3">
        <f t="shared" si="1"/>
        <v>0</v>
      </c>
      <c r="I78" s="2" t="s">
        <v>22</v>
      </c>
      <c r="J78" s="4">
        <f>VLOOKUP(B78,Costos_Proveedores!$B$2:$J$1000,9,FALSE())</f>
        <v>1680</v>
      </c>
      <c r="K78" s="5">
        <f t="shared" si="2"/>
        <v>0</v>
      </c>
      <c r="L78" s="2"/>
      <c r="M78" s="2"/>
      <c r="N78" s="2"/>
      <c r="O78" s="2"/>
      <c r="P78" s="1">
        <f t="shared" si="3"/>
        <v>0</v>
      </c>
      <c r="Q78" s="1">
        <f t="shared" si="4"/>
        <v>0</v>
      </c>
      <c r="R78" s="1">
        <f t="shared" si="5"/>
        <v>0</v>
      </c>
      <c r="S78" s="6" t="s">
        <v>297</v>
      </c>
    </row>
    <row r="79">
      <c r="A79" s="3" t="str">
        <f t="array" ref="A79">XLOOKUP(B79,Costos_Proveedores!$B$2:$B$2000,Costos_Proveedores!$A$2:$A$2000)</f>
        <v>MULI</v>
      </c>
      <c r="B79" s="2" t="s">
        <v>298</v>
      </c>
      <c r="C79" s="2" t="s">
        <v>299</v>
      </c>
      <c r="D79" s="2" t="s">
        <v>300</v>
      </c>
      <c r="E79" s="2" t="s">
        <v>31</v>
      </c>
      <c r="G79" s="2">
        <v>0.0</v>
      </c>
      <c r="H79" s="3">
        <f t="shared" si="1"/>
        <v>0</v>
      </c>
      <c r="I79" s="2" t="s">
        <v>22</v>
      </c>
      <c r="J79" s="4">
        <f>VLOOKUP(B79,Costos_Proveedores!$B$2:$J$1000,9,FALSE())</f>
        <v>3780</v>
      </c>
      <c r="K79" s="5">
        <f t="shared" si="2"/>
        <v>0</v>
      </c>
      <c r="L79" s="2"/>
      <c r="M79" s="2"/>
      <c r="N79" s="2"/>
      <c r="O79" s="2"/>
      <c r="P79" s="1">
        <f t="shared" si="3"/>
        <v>0</v>
      </c>
      <c r="Q79" s="1">
        <f t="shared" si="4"/>
        <v>0</v>
      </c>
      <c r="R79" s="1">
        <f t="shared" si="5"/>
        <v>0</v>
      </c>
      <c r="S79" s="6" t="s">
        <v>301</v>
      </c>
    </row>
    <row r="80">
      <c r="A80" s="3" t="str">
        <f t="array" ref="A80">XLOOKUP(B80,Costos_Proveedores!$B$2:$B$2000,Costos_Proveedores!$A$2:$A$2000)</f>
        <v>MULI</v>
      </c>
      <c r="B80" s="2" t="s">
        <v>302</v>
      </c>
      <c r="C80" s="2" t="s">
        <v>303</v>
      </c>
      <c r="D80" s="2" t="s">
        <v>304</v>
      </c>
      <c r="E80" s="2" t="s">
        <v>31</v>
      </c>
      <c r="G80" s="2">
        <v>0.0</v>
      </c>
      <c r="H80" s="3">
        <f t="shared" si="1"/>
        <v>0</v>
      </c>
      <c r="I80" s="2" t="s">
        <v>22</v>
      </c>
      <c r="J80" s="4">
        <f>VLOOKUP(B80,Costos_Proveedores!$B$2:$J$1000,9,FALSE())</f>
        <v>1176</v>
      </c>
      <c r="K80" s="5">
        <f t="shared" si="2"/>
        <v>0</v>
      </c>
      <c r="L80" s="2"/>
      <c r="M80" s="2"/>
      <c r="N80" s="2"/>
      <c r="O80" s="2"/>
      <c r="P80" s="1">
        <f t="shared" si="3"/>
        <v>0</v>
      </c>
      <c r="Q80" s="1">
        <f t="shared" si="4"/>
        <v>0</v>
      </c>
      <c r="R80" s="1">
        <f t="shared" si="5"/>
        <v>0</v>
      </c>
      <c r="S80" s="6" t="s">
        <v>305</v>
      </c>
    </row>
    <row r="81">
      <c r="A81" s="3" t="str">
        <f t="array" ref="A81">XLOOKUP(B81,Costos_Proveedores!$B$2:$B$2000,Costos_Proveedores!$A$2:$A$2000)</f>
        <v>MULI</v>
      </c>
      <c r="B81" s="2" t="s">
        <v>306</v>
      </c>
      <c r="C81" s="2" t="s">
        <v>307</v>
      </c>
      <c r="D81" s="2" t="s">
        <v>308</v>
      </c>
      <c r="E81" s="2" t="s">
        <v>31</v>
      </c>
      <c r="G81" s="2">
        <v>0.0</v>
      </c>
      <c r="H81" s="3">
        <f t="shared" si="1"/>
        <v>0</v>
      </c>
      <c r="I81" s="2" t="s">
        <v>22</v>
      </c>
      <c r="J81" s="4">
        <f>VLOOKUP(B81,Costos_Proveedores!$B$2:$J$1000,9,FALSE())</f>
        <v>1848</v>
      </c>
      <c r="K81" s="5">
        <f t="shared" si="2"/>
        <v>0</v>
      </c>
      <c r="L81" s="2"/>
      <c r="M81" s="2"/>
      <c r="N81" s="2"/>
      <c r="O81" s="2"/>
      <c r="P81" s="1">
        <f t="shared" si="3"/>
        <v>0</v>
      </c>
      <c r="Q81" s="1">
        <f t="shared" si="4"/>
        <v>0</v>
      </c>
      <c r="R81" s="1">
        <f t="shared" si="5"/>
        <v>0</v>
      </c>
      <c r="S81" s="6" t="s">
        <v>309</v>
      </c>
    </row>
    <row r="82">
      <c r="A82" s="3" t="str">
        <f t="array" ref="A82">XLOOKUP(B82,Costos_Proveedores!$B$2:$B$2000,Costos_Proveedores!$A$2:$A$2000)</f>
        <v>ZEO SPORT</v>
      </c>
      <c r="B82" s="2" t="s">
        <v>310</v>
      </c>
      <c r="C82" s="2">
        <v>6.59525122935E11</v>
      </c>
      <c r="D82" s="2" t="s">
        <v>311</v>
      </c>
      <c r="E82" s="2" t="s">
        <v>31</v>
      </c>
      <c r="F82" s="2">
        <v>0.0</v>
      </c>
      <c r="G82" s="2">
        <v>136.0</v>
      </c>
      <c r="H82" s="3">
        <f t="shared" si="1"/>
        <v>0</v>
      </c>
      <c r="I82" s="2" t="s">
        <v>232</v>
      </c>
      <c r="J82" s="4">
        <f>VLOOKUP(B82,Costos_Proveedores!$B$2:$J$1000,9,FALSE())</f>
        <v>3808</v>
      </c>
      <c r="K82" s="5">
        <f t="shared" si="2"/>
        <v>0</v>
      </c>
      <c r="L82" s="2">
        <v>84.0</v>
      </c>
      <c r="M82" s="2">
        <v>81.0</v>
      </c>
      <c r="N82" s="2">
        <v>0.0</v>
      </c>
      <c r="O82" s="2">
        <v>0.0</v>
      </c>
      <c r="P82" s="1">
        <f t="shared" si="3"/>
        <v>81</v>
      </c>
      <c r="Q82" s="1">
        <f t="shared" si="4"/>
        <v>0</v>
      </c>
      <c r="R82" s="1">
        <f t="shared" si="5"/>
        <v>81</v>
      </c>
      <c r="S82" s="6" t="s">
        <v>312</v>
      </c>
    </row>
    <row r="83">
      <c r="A83" s="3" t="str">
        <f t="array" ref="A83">XLOOKUP(B83,Costos_Proveedores!$B$2:$B$2000,Costos_Proveedores!$A$2:$A$2000)</f>
        <v>ZEO SPORT</v>
      </c>
      <c r="B83" s="2" t="s">
        <v>313</v>
      </c>
      <c r="C83" s="2">
        <v>7.81718786164E11</v>
      </c>
      <c r="D83" s="2" t="s">
        <v>314</v>
      </c>
      <c r="E83" s="2" t="s">
        <v>31</v>
      </c>
      <c r="F83" s="2">
        <v>0.0</v>
      </c>
      <c r="G83" s="2">
        <v>0.0</v>
      </c>
      <c r="H83" s="3">
        <f t="shared" si="1"/>
        <v>0</v>
      </c>
      <c r="I83" s="2" t="s">
        <v>232</v>
      </c>
      <c r="J83" s="4">
        <f>VLOOKUP(B83,Costos_Proveedores!$B$2:$J$1000,9,FALSE())</f>
        <v>3558</v>
      </c>
      <c r="K83" s="5">
        <f t="shared" si="2"/>
        <v>0</v>
      </c>
      <c r="L83" s="2">
        <v>110.0</v>
      </c>
      <c r="M83" s="2">
        <v>110.0</v>
      </c>
      <c r="N83" s="2">
        <v>0.0</v>
      </c>
      <c r="O83" s="2">
        <v>0.0</v>
      </c>
      <c r="P83" s="1">
        <f t="shared" si="3"/>
        <v>110</v>
      </c>
      <c r="Q83" s="1">
        <f t="shared" si="4"/>
        <v>0</v>
      </c>
      <c r="R83" s="1">
        <f t="shared" si="5"/>
        <v>110</v>
      </c>
      <c r="S83" s="6" t="s">
        <v>315</v>
      </c>
    </row>
    <row r="84">
      <c r="A84" s="3" t="str">
        <f t="array" ref="A84">XLOOKUP(B84,Costos_Proveedores!$B$2:$B$2000,Costos_Proveedores!$A$2:$A$2000)</f>
        <v>ZEO SPORT</v>
      </c>
      <c r="B84" s="2" t="s">
        <v>316</v>
      </c>
      <c r="C84" s="2">
        <v>7.45853432478E11</v>
      </c>
      <c r="D84" s="2" t="s">
        <v>317</v>
      </c>
      <c r="E84" s="2" t="s">
        <v>31</v>
      </c>
      <c r="F84" s="2">
        <v>0.0</v>
      </c>
      <c r="G84" s="2">
        <v>41.0</v>
      </c>
      <c r="H84" s="3">
        <f t="shared" si="1"/>
        <v>0</v>
      </c>
      <c r="I84" s="2" t="s">
        <v>232</v>
      </c>
      <c r="J84" s="4">
        <f>VLOOKUP(B84,Costos_Proveedores!$B$2:$J$1000,9,FALSE())</f>
        <v>16660</v>
      </c>
      <c r="K84" s="5">
        <f t="shared" si="2"/>
        <v>0</v>
      </c>
      <c r="L84" s="2">
        <v>73.0</v>
      </c>
      <c r="M84" s="2">
        <v>73.0</v>
      </c>
      <c r="N84" s="2">
        <v>0.0</v>
      </c>
      <c r="O84" s="2">
        <v>0.0</v>
      </c>
      <c r="P84" s="1">
        <f t="shared" si="3"/>
        <v>73</v>
      </c>
      <c r="Q84" s="1">
        <f t="shared" si="4"/>
        <v>0</v>
      </c>
      <c r="R84" s="1">
        <f t="shared" si="5"/>
        <v>73</v>
      </c>
      <c r="S84" s="6" t="s">
        <v>318</v>
      </c>
    </row>
    <row r="85">
      <c r="A85" s="3" t="str">
        <f t="array" ref="A85">XLOOKUP(B85,Costos_Proveedores!$B$2:$B$2000,Costos_Proveedores!$A$2:$A$2000)</f>
        <v>ZEO SPORT</v>
      </c>
      <c r="B85" s="2" t="s">
        <v>319</v>
      </c>
      <c r="C85" s="2">
        <v>6.59525123055E11</v>
      </c>
      <c r="D85" s="2" t="s">
        <v>320</v>
      </c>
      <c r="E85" s="2" t="s">
        <v>31</v>
      </c>
      <c r="F85" s="2">
        <v>0.0</v>
      </c>
      <c r="G85" s="2">
        <v>5.0</v>
      </c>
      <c r="H85" s="3">
        <f t="shared" si="1"/>
        <v>0</v>
      </c>
      <c r="I85" s="2" t="s">
        <v>232</v>
      </c>
      <c r="J85" s="4">
        <f>VLOOKUP(B85,Costos_Proveedores!$B$2:$J$1000,9,FALSE())</f>
        <v>4760</v>
      </c>
      <c r="K85" s="5">
        <f t="shared" si="2"/>
        <v>0</v>
      </c>
      <c r="L85" s="2">
        <v>526.0</v>
      </c>
      <c r="M85" s="2">
        <v>526.0</v>
      </c>
      <c r="N85" s="2">
        <v>0.0</v>
      </c>
      <c r="O85" s="2">
        <v>0.0</v>
      </c>
      <c r="P85" s="1">
        <f t="shared" si="3"/>
        <v>526</v>
      </c>
      <c r="Q85" s="1">
        <f t="shared" si="4"/>
        <v>0</v>
      </c>
      <c r="R85" s="1">
        <f t="shared" si="5"/>
        <v>526</v>
      </c>
      <c r="S85" s="6" t="s">
        <v>321</v>
      </c>
    </row>
    <row r="86">
      <c r="A86" s="3" t="str">
        <f t="array" ref="A86">XLOOKUP(B86,Costos_Proveedores!$B$2:$B$2000,Costos_Proveedores!$A$2:$A$2000)</f>
        <v>MULI</v>
      </c>
      <c r="B86" s="2" t="s">
        <v>322</v>
      </c>
      <c r="C86" s="2" t="s">
        <v>323</v>
      </c>
      <c r="D86" s="2" t="s">
        <v>324</v>
      </c>
      <c r="E86" s="2" t="s">
        <v>31</v>
      </c>
      <c r="G86" s="2">
        <v>0.0</v>
      </c>
      <c r="H86" s="3">
        <f t="shared" si="1"/>
        <v>0</v>
      </c>
      <c r="I86" s="2" t="s">
        <v>22</v>
      </c>
      <c r="J86" s="4">
        <f>VLOOKUP(B86,Costos_Proveedores!$B$2:$J$1000,9,FALSE())</f>
        <v>2520</v>
      </c>
      <c r="K86" s="5">
        <f t="shared" si="2"/>
        <v>0</v>
      </c>
      <c r="L86" s="2"/>
      <c r="M86" s="2"/>
      <c r="N86" s="2"/>
      <c r="O86" s="2"/>
      <c r="P86" s="1">
        <f t="shared" si="3"/>
        <v>0</v>
      </c>
      <c r="Q86" s="1">
        <f t="shared" si="4"/>
        <v>0</v>
      </c>
      <c r="R86" s="1">
        <f t="shared" si="5"/>
        <v>0</v>
      </c>
      <c r="S86" s="6" t="s">
        <v>325</v>
      </c>
    </row>
    <row r="87">
      <c r="A87" s="3" t="str">
        <f t="array" ref="A87">XLOOKUP(B87,Costos_Proveedores!$B$2:$B$2000,Costos_Proveedores!$A$2:$A$2000)</f>
        <v>CASO Y CIA</v>
      </c>
      <c r="B87" s="2" t="s">
        <v>326</v>
      </c>
      <c r="C87" s="2" t="s">
        <v>327</v>
      </c>
      <c r="D87" s="2" t="s">
        <v>328</v>
      </c>
      <c r="E87" s="2" t="s">
        <v>31</v>
      </c>
      <c r="F87" s="2">
        <v>0.0</v>
      </c>
      <c r="G87" s="2">
        <v>0.0</v>
      </c>
      <c r="H87" s="3">
        <f t="shared" si="1"/>
        <v>0</v>
      </c>
      <c r="I87" s="2" t="s">
        <v>22</v>
      </c>
      <c r="J87" s="4">
        <f>VLOOKUP(B87,Costos_Proveedores!$B$2:$J$1000,9,FALSE())</f>
        <v>5800</v>
      </c>
      <c r="K87" s="5">
        <f t="shared" si="2"/>
        <v>0</v>
      </c>
      <c r="L87" s="2"/>
      <c r="M87" s="2"/>
      <c r="N87" s="2"/>
      <c r="O87" s="2"/>
      <c r="P87" s="1">
        <f t="shared" si="3"/>
        <v>0</v>
      </c>
      <c r="Q87" s="1">
        <f t="shared" si="4"/>
        <v>0</v>
      </c>
      <c r="R87" s="1">
        <f t="shared" si="5"/>
        <v>0</v>
      </c>
      <c r="S87" s="6" t="s">
        <v>329</v>
      </c>
    </row>
    <row r="88">
      <c r="A88" s="3" t="str">
        <f t="array" ref="A88">XLOOKUP(B88,Costos_Proveedores!$B$2:$B$2000,Costos_Proveedores!$A$2:$A$2000)</f>
        <v>EXTREMO SUR</v>
      </c>
      <c r="B88" s="2" t="s">
        <v>330</v>
      </c>
      <c r="C88" s="2" t="s">
        <v>331</v>
      </c>
      <c r="D88" s="2" t="s">
        <v>332</v>
      </c>
      <c r="E88" s="2" t="s">
        <v>31</v>
      </c>
      <c r="F88" s="2">
        <v>0.0</v>
      </c>
      <c r="G88" s="2">
        <v>5.0</v>
      </c>
      <c r="H88" s="3">
        <f t="shared" si="1"/>
        <v>0</v>
      </c>
      <c r="I88" s="2" t="s">
        <v>232</v>
      </c>
      <c r="J88" s="4">
        <f>VLOOKUP(B88,Costos_Proveedores!$B$2:$J$1000,9,FALSE())</f>
        <v>10175</v>
      </c>
      <c r="K88" s="5">
        <f t="shared" si="2"/>
        <v>0</v>
      </c>
      <c r="L88" s="2"/>
      <c r="M88" s="2"/>
      <c r="N88" s="2"/>
      <c r="O88" s="2"/>
      <c r="P88" s="1">
        <f t="shared" si="3"/>
        <v>0</v>
      </c>
      <c r="Q88" s="1">
        <f t="shared" si="4"/>
        <v>0</v>
      </c>
      <c r="R88" s="1">
        <f t="shared" si="5"/>
        <v>0</v>
      </c>
      <c r="S88" s="6" t="s">
        <v>333</v>
      </c>
    </row>
    <row r="89">
      <c r="A89" s="3" t="str">
        <f t="array" ref="A89">XLOOKUP(B89,Costos_Proveedores!$B$2:$B$2000,Costos_Proveedores!$A$2:$A$2000)</f>
        <v>EXTREMO SUR</v>
      </c>
      <c r="B89" s="2" t="s">
        <v>334</v>
      </c>
      <c r="C89" s="2">
        <v>7.896108056567E12</v>
      </c>
      <c r="D89" s="2" t="s">
        <v>335</v>
      </c>
      <c r="E89" s="2" t="s">
        <v>31</v>
      </c>
      <c r="F89" s="2">
        <v>0.0</v>
      </c>
      <c r="G89" s="2">
        <v>0.0</v>
      </c>
      <c r="H89" s="3">
        <f t="shared" si="1"/>
        <v>0</v>
      </c>
      <c r="I89" s="2" t="s">
        <v>22</v>
      </c>
      <c r="J89" s="4">
        <f>VLOOKUP(B89,Costos_Proveedores!$B$2:$J$1000,9,FALSE())</f>
        <v>4296</v>
      </c>
      <c r="K89" s="5">
        <f t="shared" si="2"/>
        <v>0</v>
      </c>
      <c r="L89" s="2"/>
      <c r="M89" s="2"/>
      <c r="N89" s="2"/>
      <c r="O89" s="2"/>
      <c r="P89" s="1">
        <f t="shared" si="3"/>
        <v>0</v>
      </c>
      <c r="Q89" s="1">
        <f t="shared" si="4"/>
        <v>0</v>
      </c>
      <c r="R89" s="1">
        <f t="shared" si="5"/>
        <v>0</v>
      </c>
      <c r="S89" s="6" t="s">
        <v>336</v>
      </c>
    </row>
    <row r="90">
      <c r="A90" s="3" t="str">
        <f t="array" ref="A90">XLOOKUP(B90,Costos_Proveedores!$B$2:$B$2000,Costos_Proveedores!$A$2:$A$2000)</f>
        <v>EXTREMO SUR</v>
      </c>
      <c r="B90" s="2" t="s">
        <v>337</v>
      </c>
      <c r="C90" s="2">
        <v>7.804651160235E12</v>
      </c>
      <c r="D90" s="2" t="s">
        <v>338</v>
      </c>
      <c r="E90" s="2" t="s">
        <v>31</v>
      </c>
      <c r="F90" s="2">
        <v>0.0</v>
      </c>
      <c r="G90" s="2">
        <v>84.0</v>
      </c>
      <c r="H90" s="3">
        <f t="shared" si="1"/>
        <v>0</v>
      </c>
      <c r="I90" s="2" t="s">
        <v>232</v>
      </c>
      <c r="J90" s="4">
        <f>VLOOKUP(B90,Costos_Proveedores!$B$2:$J$1000,9,FALSE())</f>
        <v>2939</v>
      </c>
      <c r="K90" s="5">
        <f t="shared" si="2"/>
        <v>0</v>
      </c>
      <c r="L90" s="2"/>
      <c r="M90" s="2"/>
      <c r="N90" s="2"/>
      <c r="O90" s="2"/>
      <c r="P90" s="1">
        <f t="shared" si="3"/>
        <v>0</v>
      </c>
      <c r="Q90" s="1">
        <f t="shared" si="4"/>
        <v>0</v>
      </c>
      <c r="R90" s="1">
        <f t="shared" si="5"/>
        <v>0</v>
      </c>
      <c r="S90" s="6" t="s">
        <v>339</v>
      </c>
    </row>
    <row r="91">
      <c r="A91" s="3" t="str">
        <f t="array" ref="A91">XLOOKUP(B91,Costos_Proveedores!$B$2:$B$2000,Costos_Proveedores!$A$2:$A$2000)</f>
        <v>STRIVE</v>
      </c>
      <c r="B91" s="2" t="s">
        <v>340</v>
      </c>
      <c r="C91" s="2" t="s">
        <v>341</v>
      </c>
      <c r="D91" s="2" t="s">
        <v>342</v>
      </c>
      <c r="E91" s="2" t="s">
        <v>47</v>
      </c>
      <c r="F91" s="2">
        <v>201.0</v>
      </c>
      <c r="G91" s="2">
        <v>2.0</v>
      </c>
      <c r="H91" s="3">
        <f t="shared" si="1"/>
        <v>201</v>
      </c>
      <c r="I91" s="2" t="s">
        <v>232</v>
      </c>
      <c r="J91" s="4">
        <f>VLOOKUP(B91,Costos_Proveedores!$B$2:$J$1000,9,FALSE())</f>
        <v>14168</v>
      </c>
      <c r="K91" s="5">
        <f t="shared" si="2"/>
        <v>2847768</v>
      </c>
      <c r="L91" s="2">
        <v>115.0</v>
      </c>
      <c r="M91" s="2">
        <v>124.0</v>
      </c>
      <c r="N91" s="2">
        <v>0.0</v>
      </c>
      <c r="O91" s="2">
        <v>0.0</v>
      </c>
      <c r="P91" s="1">
        <f t="shared" si="3"/>
        <v>0</v>
      </c>
      <c r="Q91" s="1">
        <f t="shared" si="4"/>
        <v>0</v>
      </c>
      <c r="R91" s="1">
        <f t="shared" si="5"/>
        <v>0</v>
      </c>
      <c r="S91" s="6" t="s">
        <v>343</v>
      </c>
    </row>
    <row r="92">
      <c r="A92" s="3" t="str">
        <f t="array" ref="A92">XLOOKUP(B92,Costos_Proveedores!$B$2:$B$2000,Costos_Proveedores!$A$2:$A$2000)</f>
        <v>CASO Y CIA</v>
      </c>
      <c r="B92" s="2" t="s">
        <v>344</v>
      </c>
      <c r="C92" s="2">
        <v>710763.0</v>
      </c>
      <c r="D92" s="2" t="s">
        <v>345</v>
      </c>
      <c r="E92" s="2" t="s">
        <v>31</v>
      </c>
      <c r="F92" s="2">
        <v>0.0</v>
      </c>
      <c r="G92" s="2">
        <v>0.0</v>
      </c>
      <c r="H92" s="3">
        <f t="shared" si="1"/>
        <v>0</v>
      </c>
      <c r="I92" s="2" t="s">
        <v>22</v>
      </c>
      <c r="J92" s="4">
        <f>VLOOKUP(B92,Costos_Proveedores!$B$2:$J$1000,9,FALSE())</f>
        <v>14500</v>
      </c>
      <c r="K92" s="5">
        <f t="shared" si="2"/>
        <v>0</v>
      </c>
      <c r="L92" s="2"/>
      <c r="M92" s="2"/>
      <c r="N92" s="2"/>
      <c r="O92" s="2"/>
      <c r="P92" s="1">
        <f t="shared" si="3"/>
        <v>0</v>
      </c>
      <c r="Q92" s="1">
        <f t="shared" si="4"/>
        <v>0</v>
      </c>
      <c r="R92" s="1">
        <f t="shared" si="5"/>
        <v>0</v>
      </c>
      <c r="S92" s="6" t="s">
        <v>346</v>
      </c>
    </row>
    <row r="93">
      <c r="A93" s="3" t="str">
        <f t="array" ref="A93">XLOOKUP(B93,Costos_Proveedores!$B$2:$B$2000,Costos_Proveedores!$A$2:$A$2000)</f>
        <v>STRIVE</v>
      </c>
      <c r="B93" s="2" t="s">
        <v>347</v>
      </c>
      <c r="C93" s="2" t="s">
        <v>348</v>
      </c>
      <c r="D93" s="2" t="s">
        <v>349</v>
      </c>
      <c r="E93" s="2" t="s">
        <v>47</v>
      </c>
      <c r="F93" s="2">
        <v>222.0</v>
      </c>
      <c r="G93" s="2">
        <v>6.0</v>
      </c>
      <c r="H93" s="3">
        <f t="shared" si="1"/>
        <v>222</v>
      </c>
      <c r="I93" s="2" t="s">
        <v>232</v>
      </c>
      <c r="J93" s="4">
        <f>VLOOKUP(B93,Costos_Proveedores!$B$2:$J$1000,9,FALSE())</f>
        <v>16794</v>
      </c>
      <c r="K93" s="5">
        <f t="shared" si="2"/>
        <v>3728268</v>
      </c>
      <c r="L93" s="2">
        <v>121.0</v>
      </c>
      <c r="M93" s="2">
        <v>122.0</v>
      </c>
      <c r="N93" s="2">
        <v>0.0</v>
      </c>
      <c r="O93" s="2">
        <v>0.0</v>
      </c>
      <c r="P93" s="1">
        <f t="shared" si="3"/>
        <v>0</v>
      </c>
      <c r="Q93" s="1">
        <f t="shared" si="4"/>
        <v>0</v>
      </c>
      <c r="R93" s="1">
        <f t="shared" si="5"/>
        <v>0</v>
      </c>
      <c r="S93" s="6" t="s">
        <v>350</v>
      </c>
    </row>
    <row r="94">
      <c r="A94" s="3" t="str">
        <f t="array" ref="A94">XLOOKUP(B94,Costos_Proveedores!$B$2:$B$2000,Costos_Proveedores!$A$2:$A$2000)</f>
        <v>YOURGOAL</v>
      </c>
      <c r="B94" s="2" t="s">
        <v>351</v>
      </c>
      <c r="C94" s="2">
        <v>805164.0</v>
      </c>
      <c r="D94" s="2" t="s">
        <v>352</v>
      </c>
      <c r="E94" s="2" t="s">
        <v>47</v>
      </c>
      <c r="F94" s="2">
        <v>353.0</v>
      </c>
      <c r="G94" s="2">
        <v>6.0</v>
      </c>
      <c r="H94" s="3">
        <f t="shared" si="1"/>
        <v>353</v>
      </c>
      <c r="I94" s="2" t="s">
        <v>232</v>
      </c>
      <c r="J94" s="4">
        <f>VLOOKUP(B94,Costos_Proveedores!$B$2:$J$1000,9,FALSE())</f>
        <v>5780</v>
      </c>
      <c r="K94" s="5">
        <f t="shared" si="2"/>
        <v>2040340</v>
      </c>
      <c r="L94" s="2">
        <v>406.0</v>
      </c>
      <c r="M94" s="2">
        <v>352.0</v>
      </c>
      <c r="N94" s="2">
        <v>0.0</v>
      </c>
      <c r="O94" s="2">
        <v>0.0</v>
      </c>
      <c r="P94" s="1">
        <f t="shared" si="3"/>
        <v>0</v>
      </c>
      <c r="Q94" s="1">
        <f t="shared" si="4"/>
        <v>0</v>
      </c>
      <c r="R94" s="1">
        <f t="shared" si="5"/>
        <v>0</v>
      </c>
      <c r="S94" s="6" t="s">
        <v>353</v>
      </c>
    </row>
    <row r="95">
      <c r="A95" s="3" t="str">
        <f t="array" ref="A95">XLOOKUP(B95,Costos_Proveedores!$B$2:$B$2000,Costos_Proveedores!$A$2:$A$2000)</f>
        <v>YOURGOAL</v>
      </c>
      <c r="B95" s="2" t="s">
        <v>354</v>
      </c>
      <c r="C95" s="2">
        <v>805165.0</v>
      </c>
      <c r="D95" s="2" t="s">
        <v>355</v>
      </c>
      <c r="E95" s="2" t="s">
        <v>31</v>
      </c>
      <c r="F95" s="2">
        <v>0.0</v>
      </c>
      <c r="G95" s="2">
        <v>0.0</v>
      </c>
      <c r="H95" s="3">
        <f t="shared" si="1"/>
        <v>0</v>
      </c>
      <c r="I95" s="2" t="s">
        <v>232</v>
      </c>
      <c r="J95" s="4">
        <f>VLOOKUP(B95,Costos_Proveedores!$B$2:$J$1000,9,FALSE())</f>
        <v>5780</v>
      </c>
      <c r="K95" s="5">
        <f t="shared" si="2"/>
        <v>0</v>
      </c>
      <c r="L95" s="2">
        <v>320.0</v>
      </c>
      <c r="M95" s="2">
        <v>451.0</v>
      </c>
      <c r="N95" s="2">
        <v>0.0</v>
      </c>
      <c r="O95" s="2">
        <v>0.0</v>
      </c>
      <c r="P95" s="1">
        <f t="shared" si="3"/>
        <v>451</v>
      </c>
      <c r="Q95" s="1">
        <f t="shared" si="4"/>
        <v>0</v>
      </c>
      <c r="R95" s="1">
        <f t="shared" si="5"/>
        <v>451</v>
      </c>
      <c r="S95" s="6" t="s">
        <v>356</v>
      </c>
    </row>
    <row r="96">
      <c r="A96" s="3" t="str">
        <f t="array" ref="A96">XLOOKUP(B96,Costos_Proveedores!$B$2:$B$2000,Costos_Proveedores!$A$2:$A$2000)</f>
        <v>MULI</v>
      </c>
      <c r="B96" s="2" t="s">
        <v>357</v>
      </c>
      <c r="C96" s="2" t="s">
        <v>358</v>
      </c>
      <c r="D96" s="2" t="s">
        <v>359</v>
      </c>
      <c r="E96" s="2" t="s">
        <v>31</v>
      </c>
      <c r="F96" s="2">
        <v>0.0</v>
      </c>
      <c r="G96" s="2">
        <v>0.0</v>
      </c>
      <c r="H96" s="3">
        <f t="shared" si="1"/>
        <v>0</v>
      </c>
      <c r="I96" s="2" t="s">
        <v>22</v>
      </c>
      <c r="J96" s="4">
        <f>VLOOKUP(B96,Costos_Proveedores!$B$2:$J$1000,9,FALSE())</f>
        <v>15000</v>
      </c>
      <c r="K96" s="5">
        <f t="shared" si="2"/>
        <v>0</v>
      </c>
      <c r="L96" s="2"/>
      <c r="M96" s="2"/>
      <c r="N96" s="2"/>
      <c r="O96" s="2"/>
      <c r="P96" s="1">
        <f t="shared" si="3"/>
        <v>0</v>
      </c>
      <c r="Q96" s="1">
        <f t="shared" si="4"/>
        <v>0</v>
      </c>
      <c r="R96" s="1">
        <f t="shared" si="5"/>
        <v>0</v>
      </c>
      <c r="S96" s="6" t="s">
        <v>360</v>
      </c>
    </row>
    <row r="97">
      <c r="A97" s="3" t="str">
        <f t="array" ref="A97">XLOOKUP(B97,Costos_Proveedores!$B$2:$B$2000,Costos_Proveedores!$A$2:$A$2000)</f>
        <v>MULI</v>
      </c>
      <c r="B97" s="2" t="s">
        <v>361</v>
      </c>
      <c r="C97" s="2">
        <v>786428.0</v>
      </c>
      <c r="D97" s="2" t="s">
        <v>362</v>
      </c>
      <c r="E97" s="2" t="s">
        <v>47</v>
      </c>
      <c r="F97" s="2">
        <v>4.0</v>
      </c>
      <c r="G97" s="2">
        <v>2.0</v>
      </c>
      <c r="H97" s="3">
        <f t="shared" si="1"/>
        <v>6</v>
      </c>
      <c r="I97" s="2" t="s">
        <v>22</v>
      </c>
      <c r="J97" s="4" t="str">
        <f>VLOOKUP(B97,Costos_Proveedores!$B$2:$J$1000,9,FALSE())</f>
        <v>$ 500</v>
      </c>
      <c r="K97" s="5">
        <f t="shared" si="2"/>
        <v>3000</v>
      </c>
      <c r="L97" s="2">
        <v>2.0</v>
      </c>
      <c r="M97" s="2">
        <v>2.0</v>
      </c>
      <c r="N97" s="2">
        <v>0.0</v>
      </c>
      <c r="O97" s="2">
        <v>0.0</v>
      </c>
      <c r="P97" s="1">
        <f t="shared" si="3"/>
        <v>0</v>
      </c>
      <c r="Q97" s="1">
        <f t="shared" si="4"/>
        <v>0</v>
      </c>
      <c r="R97" s="1">
        <f t="shared" si="5"/>
        <v>0</v>
      </c>
      <c r="S97" s="6" t="s">
        <v>363</v>
      </c>
    </row>
    <row r="98">
      <c r="A98" s="3" t="str">
        <f t="array" ref="A98">XLOOKUP(B98,Costos_Proveedores!$B$2:$B$2000,Costos_Proveedores!$A$2:$A$2000)</f>
        <v>MULI</v>
      </c>
      <c r="B98" s="2" t="s">
        <v>364</v>
      </c>
      <c r="C98" s="2">
        <v>786431.0</v>
      </c>
      <c r="D98" s="2" t="s">
        <v>365</v>
      </c>
      <c r="E98" s="2" t="s">
        <v>31</v>
      </c>
      <c r="F98" s="2">
        <v>0.0</v>
      </c>
      <c r="G98" s="2">
        <v>7.0</v>
      </c>
      <c r="H98" s="3">
        <f t="shared" si="1"/>
        <v>7</v>
      </c>
      <c r="I98" s="2" t="s">
        <v>22</v>
      </c>
      <c r="J98" s="4">
        <f>VLOOKUP(B98,Costos_Proveedores!$B$2:$J$1000,9,FALSE())</f>
        <v>1344</v>
      </c>
      <c r="K98" s="5">
        <f t="shared" si="2"/>
        <v>9408</v>
      </c>
      <c r="L98" s="2"/>
      <c r="M98" s="2"/>
      <c r="N98" s="2"/>
      <c r="O98" s="2"/>
      <c r="P98" s="1">
        <f t="shared" si="3"/>
        <v>0</v>
      </c>
      <c r="Q98" s="1">
        <f t="shared" si="4"/>
        <v>0</v>
      </c>
      <c r="R98" s="1">
        <f t="shared" si="5"/>
        <v>0</v>
      </c>
      <c r="S98" s="6" t="s">
        <v>366</v>
      </c>
    </row>
    <row r="99">
      <c r="A99" s="3" t="str">
        <f t="array" ref="A99">XLOOKUP(B99,Costos_Proveedores!$B$2:$B$2000,Costos_Proveedores!$A$2:$A$2000)</f>
        <v>MULI</v>
      </c>
      <c r="B99" s="2" t="s">
        <v>367</v>
      </c>
      <c r="C99" s="2">
        <v>786432.0</v>
      </c>
      <c r="D99" s="2" t="s">
        <v>368</v>
      </c>
      <c r="E99" s="2" t="s">
        <v>31</v>
      </c>
      <c r="F99" s="2">
        <v>0.0</v>
      </c>
      <c r="G99" s="2">
        <v>2.0</v>
      </c>
      <c r="H99" s="3">
        <f t="shared" si="1"/>
        <v>2</v>
      </c>
      <c r="I99" s="2" t="s">
        <v>22</v>
      </c>
      <c r="J99" s="4" t="str">
        <f>VLOOKUP(B99,Costos_Proveedores!$B$2:$J$1000,9,FALSE())</f>
        <v>$ 400</v>
      </c>
      <c r="K99" s="5">
        <f t="shared" si="2"/>
        <v>800</v>
      </c>
      <c r="L99" s="2"/>
      <c r="M99" s="2"/>
      <c r="N99" s="2"/>
      <c r="O99" s="2"/>
      <c r="P99" s="1">
        <f t="shared" si="3"/>
        <v>0</v>
      </c>
      <c r="Q99" s="1">
        <f t="shared" si="4"/>
        <v>0</v>
      </c>
      <c r="R99" s="1">
        <f t="shared" si="5"/>
        <v>0</v>
      </c>
      <c r="S99" s="6" t="s">
        <v>369</v>
      </c>
    </row>
    <row r="100">
      <c r="A100" s="3" t="str">
        <f t="array" ref="A100">XLOOKUP(B100,Costos_Proveedores!$B$2:$B$2000,Costos_Proveedores!$A$2:$A$2000)</f>
        <v>MULI</v>
      </c>
      <c r="B100" s="2" t="s">
        <v>370</v>
      </c>
      <c r="C100" s="2">
        <v>786430.0</v>
      </c>
      <c r="D100" s="2" t="s">
        <v>371</v>
      </c>
      <c r="E100" s="2" t="s">
        <v>31</v>
      </c>
      <c r="F100" s="2">
        <v>0.0</v>
      </c>
      <c r="G100" s="2">
        <v>5.0</v>
      </c>
      <c r="H100" s="3">
        <f t="shared" si="1"/>
        <v>5</v>
      </c>
      <c r="I100" s="2" t="s">
        <v>22</v>
      </c>
      <c r="J100" s="4">
        <f>VLOOKUP(B100,Costos_Proveedores!$B$2:$J$1000,9,FALSE())</f>
        <v>1092</v>
      </c>
      <c r="K100" s="5">
        <f t="shared" si="2"/>
        <v>5460</v>
      </c>
      <c r="L100" s="2">
        <v>3.0</v>
      </c>
      <c r="M100" s="2">
        <v>3.0</v>
      </c>
      <c r="N100" s="2">
        <v>0.0</v>
      </c>
      <c r="O100" s="2">
        <v>0.0</v>
      </c>
      <c r="P100" s="1">
        <f t="shared" si="3"/>
        <v>3</v>
      </c>
      <c r="Q100" s="1">
        <f t="shared" si="4"/>
        <v>0</v>
      </c>
      <c r="R100" s="1">
        <f t="shared" si="5"/>
        <v>3</v>
      </c>
      <c r="S100" s="6" t="s">
        <v>372</v>
      </c>
    </row>
    <row r="101">
      <c r="A101" s="3" t="str">
        <f t="array" ref="A101">XLOOKUP(B101,Costos_Proveedores!$B$2:$B$2000,Costos_Proveedores!$A$2:$A$2000)</f>
        <v>ESPACIO B</v>
      </c>
      <c r="B101" s="2" t="s">
        <v>373</v>
      </c>
      <c r="C101" s="2" t="s">
        <v>374</v>
      </c>
      <c r="D101" s="2" t="s">
        <v>375</v>
      </c>
      <c r="E101" s="2" t="s">
        <v>31</v>
      </c>
      <c r="F101" s="2">
        <v>0.0</v>
      </c>
      <c r="G101" s="2">
        <v>1.0</v>
      </c>
      <c r="H101" s="3">
        <f t="shared" si="1"/>
        <v>0</v>
      </c>
      <c r="I101" s="2" t="s">
        <v>232</v>
      </c>
      <c r="J101" s="4">
        <f>VLOOKUP(B101,Costos_Proveedores!$B$2:$J$1000,9,FALSE())</f>
        <v>3114</v>
      </c>
      <c r="K101" s="5">
        <f t="shared" si="2"/>
        <v>0</v>
      </c>
      <c r="L101" s="2"/>
      <c r="M101" s="2"/>
      <c r="N101" s="2"/>
      <c r="O101" s="2"/>
      <c r="P101" s="1">
        <f t="shared" si="3"/>
        <v>0</v>
      </c>
      <c r="Q101" s="1">
        <f t="shared" si="4"/>
        <v>0</v>
      </c>
      <c r="R101" s="1">
        <f t="shared" si="5"/>
        <v>0</v>
      </c>
      <c r="S101" s="6" t="s">
        <v>376</v>
      </c>
    </row>
    <row r="102">
      <c r="A102" s="3" t="str">
        <f t="array" ref="A102">XLOOKUP(B102,Costos_Proveedores!$B$2:$B$2000,Costos_Proveedores!$A$2:$A$2000)</f>
        <v>ESPACIO B</v>
      </c>
      <c r="B102" s="2" t="s">
        <v>377</v>
      </c>
      <c r="C102" s="2" t="s">
        <v>378</v>
      </c>
      <c r="D102" s="2" t="s">
        <v>379</v>
      </c>
      <c r="E102" s="2" t="s">
        <v>31</v>
      </c>
      <c r="F102" s="2">
        <v>0.0</v>
      </c>
      <c r="G102" s="2">
        <v>94.0</v>
      </c>
      <c r="H102" s="3">
        <f t="shared" si="1"/>
        <v>94</v>
      </c>
      <c r="I102" s="2" t="s">
        <v>22</v>
      </c>
      <c r="J102" s="4">
        <f>VLOOKUP(B102,Costos_Proveedores!$B$2:$J$1000,9,FALSE())</f>
        <v>10615</v>
      </c>
      <c r="K102" s="5">
        <f t="shared" si="2"/>
        <v>997810</v>
      </c>
      <c r="L102" s="2"/>
      <c r="M102" s="2"/>
      <c r="N102" s="2"/>
      <c r="O102" s="2"/>
      <c r="P102" s="1">
        <f t="shared" si="3"/>
        <v>0</v>
      </c>
      <c r="Q102" s="1">
        <f t="shared" si="4"/>
        <v>0</v>
      </c>
      <c r="R102" s="1">
        <f t="shared" si="5"/>
        <v>0</v>
      </c>
      <c r="S102" s="6" t="s">
        <v>380</v>
      </c>
    </row>
    <row r="103">
      <c r="A103" s="3" t="str">
        <f t="array" ref="A103">XLOOKUP(B103,Costos_Proveedores!$B$2:$B$2000,Costos_Proveedores!$A$2:$A$2000)</f>
        <v>ESPACIO B</v>
      </c>
      <c r="B103" s="2" t="s">
        <v>381</v>
      </c>
      <c r="C103" s="2" t="s">
        <v>382</v>
      </c>
      <c r="D103" s="2" t="s">
        <v>383</v>
      </c>
      <c r="E103" s="2" t="s">
        <v>31</v>
      </c>
      <c r="F103" s="2">
        <v>0.0</v>
      </c>
      <c r="G103" s="2">
        <v>1.0</v>
      </c>
      <c r="H103" s="3">
        <f t="shared" si="1"/>
        <v>0</v>
      </c>
      <c r="I103" s="2" t="s">
        <v>232</v>
      </c>
      <c r="J103" s="4">
        <f>VLOOKUP(B103,Costos_Proveedores!$B$2:$J$1000,9,FALSE())</f>
        <v>4830</v>
      </c>
      <c r="K103" s="5">
        <f t="shared" si="2"/>
        <v>0</v>
      </c>
      <c r="L103" s="2"/>
      <c r="M103" s="2"/>
      <c r="N103" s="2"/>
      <c r="O103" s="2"/>
      <c r="P103" s="1">
        <f t="shared" si="3"/>
        <v>0</v>
      </c>
      <c r="Q103" s="1">
        <f t="shared" si="4"/>
        <v>0</v>
      </c>
      <c r="R103" s="1">
        <f t="shared" si="5"/>
        <v>0</v>
      </c>
      <c r="S103" s="6" t="s">
        <v>384</v>
      </c>
    </row>
    <row r="104">
      <c r="A104" s="3" t="str">
        <f t="array" ref="A104">XLOOKUP(B104,Costos_Proveedores!$B$2:$B$2000,Costos_Proveedores!$A$2:$A$2000)</f>
        <v>ESPACIO B</v>
      </c>
      <c r="B104" s="2" t="s">
        <v>385</v>
      </c>
      <c r="C104" s="2" t="s">
        <v>386</v>
      </c>
      <c r="D104" s="2" t="s">
        <v>387</v>
      </c>
      <c r="E104" s="2" t="s">
        <v>31</v>
      </c>
      <c r="F104" s="2">
        <v>0.0</v>
      </c>
      <c r="G104" s="2">
        <v>1.0</v>
      </c>
      <c r="H104" s="3">
        <f t="shared" si="1"/>
        <v>0</v>
      </c>
      <c r="I104" s="2" t="s">
        <v>232</v>
      </c>
      <c r="J104" s="4">
        <f>VLOOKUP(B104,Costos_Proveedores!$B$2:$J$1000,9,FALSE())</f>
        <v>8574</v>
      </c>
      <c r="K104" s="5">
        <f t="shared" si="2"/>
        <v>0</v>
      </c>
      <c r="L104" s="2">
        <v>35.0</v>
      </c>
      <c r="M104" s="2">
        <v>35.0</v>
      </c>
      <c r="N104" s="2">
        <v>0.0</v>
      </c>
      <c r="O104" s="2">
        <v>0.0</v>
      </c>
      <c r="P104" s="1">
        <f t="shared" si="3"/>
        <v>35</v>
      </c>
      <c r="Q104" s="1">
        <f t="shared" si="4"/>
        <v>0</v>
      </c>
      <c r="R104" s="1">
        <f t="shared" si="5"/>
        <v>35</v>
      </c>
      <c r="S104" s="6" t="s">
        <v>388</v>
      </c>
    </row>
    <row r="105">
      <c r="A105" s="3" t="str">
        <f t="array" ref="A105">XLOOKUP(B105,Costos_Proveedores!$B$2:$B$2000,Costos_Proveedores!$A$2:$A$2000)</f>
        <v>ESPACIO B</v>
      </c>
      <c r="B105" s="2" t="s">
        <v>389</v>
      </c>
      <c r="C105" s="2" t="s">
        <v>390</v>
      </c>
      <c r="D105" s="2" t="s">
        <v>391</v>
      </c>
      <c r="E105" s="2" t="s">
        <v>31</v>
      </c>
      <c r="F105" s="2">
        <v>0.0</v>
      </c>
      <c r="G105" s="2">
        <v>2.0</v>
      </c>
      <c r="H105" s="3">
        <f t="shared" si="1"/>
        <v>0</v>
      </c>
      <c r="I105" s="2" t="s">
        <v>232</v>
      </c>
      <c r="J105" s="4">
        <f>VLOOKUP(B105,Costos_Proveedores!$B$2:$J$1000,9,FALSE())</f>
        <v>6714</v>
      </c>
      <c r="K105" s="5">
        <f t="shared" si="2"/>
        <v>0</v>
      </c>
      <c r="L105" s="2"/>
      <c r="M105" s="2"/>
      <c r="N105" s="2"/>
      <c r="O105" s="2"/>
      <c r="P105" s="1">
        <f t="shared" si="3"/>
        <v>0</v>
      </c>
      <c r="Q105" s="1">
        <f t="shared" si="4"/>
        <v>0</v>
      </c>
      <c r="R105" s="1">
        <f t="shared" si="5"/>
        <v>0</v>
      </c>
      <c r="S105" s="6" t="s">
        <v>392</v>
      </c>
    </row>
    <row r="106">
      <c r="A106" s="3" t="str">
        <f t="array" ref="A106">XLOOKUP(B106,Costos_Proveedores!$B$2:$B$2000,Costos_Proveedores!$A$2:$A$2000)</f>
        <v>MULI</v>
      </c>
      <c r="B106" s="2" t="s">
        <v>393</v>
      </c>
      <c r="C106" s="2">
        <v>107123.0</v>
      </c>
      <c r="D106" s="2" t="s">
        <v>394</v>
      </c>
      <c r="E106" s="2" t="s">
        <v>31</v>
      </c>
      <c r="F106" s="2">
        <v>0.0</v>
      </c>
      <c r="G106" s="2">
        <v>1.0</v>
      </c>
      <c r="H106" s="3">
        <f t="shared" si="1"/>
        <v>1</v>
      </c>
      <c r="I106" s="2" t="s">
        <v>22</v>
      </c>
      <c r="J106" s="4">
        <f>VLOOKUP(B106,Costos_Proveedores!$B$2:$J$1000,9,FALSE())</f>
        <v>10080</v>
      </c>
      <c r="K106" s="5">
        <f t="shared" si="2"/>
        <v>10080</v>
      </c>
      <c r="L106" s="2"/>
      <c r="M106" s="2"/>
      <c r="N106" s="2"/>
      <c r="O106" s="2"/>
      <c r="P106" s="1">
        <f t="shared" si="3"/>
        <v>0</v>
      </c>
      <c r="Q106" s="1">
        <f t="shared" si="4"/>
        <v>0</v>
      </c>
      <c r="R106" s="1">
        <f t="shared" si="5"/>
        <v>0</v>
      </c>
      <c r="S106" s="6" t="s">
        <v>395</v>
      </c>
    </row>
    <row r="107">
      <c r="A107" s="3" t="str">
        <f t="array" ref="A107">XLOOKUP(B107,Costos_Proveedores!$B$2:$B$2000,Costos_Proveedores!$A$2:$A$2000)</f>
        <v>MULI</v>
      </c>
      <c r="B107" s="2" t="s">
        <v>396</v>
      </c>
      <c r="C107" s="2">
        <v>102285.0</v>
      </c>
      <c r="D107" s="2" t="s">
        <v>397</v>
      </c>
      <c r="E107" s="2" t="s">
        <v>47</v>
      </c>
      <c r="G107" s="2">
        <v>3.0</v>
      </c>
      <c r="H107" s="3">
        <f t="shared" si="1"/>
        <v>3</v>
      </c>
      <c r="I107" s="2" t="s">
        <v>22</v>
      </c>
      <c r="J107" s="4">
        <f>VLOOKUP(B107,Costos_Proveedores!$B$2:$J$1000,9,FALSE())</f>
        <v>2100</v>
      </c>
      <c r="K107" s="5">
        <f t="shared" si="2"/>
        <v>6300</v>
      </c>
      <c r="L107" s="2"/>
      <c r="M107" s="2"/>
      <c r="N107" s="2"/>
      <c r="O107" s="2"/>
      <c r="P107" s="1">
        <f t="shared" si="3"/>
        <v>0</v>
      </c>
      <c r="Q107" s="1">
        <f t="shared" si="4"/>
        <v>0</v>
      </c>
      <c r="R107" s="1">
        <f t="shared" si="5"/>
        <v>0</v>
      </c>
      <c r="S107" s="6" t="s">
        <v>398</v>
      </c>
    </row>
    <row r="108">
      <c r="A108" s="3" t="str">
        <f t="array" ref="A108">XLOOKUP(B108,Costos_Proveedores!$B$2:$B$2000,Costos_Proveedores!$A$2:$A$2000)</f>
        <v>ESPACIO B</v>
      </c>
      <c r="B108" s="2" t="s">
        <v>399</v>
      </c>
      <c r="C108" s="2" t="s">
        <v>400</v>
      </c>
      <c r="D108" s="2" t="s">
        <v>401</v>
      </c>
      <c r="E108" s="2" t="s">
        <v>31</v>
      </c>
      <c r="F108" s="2">
        <v>0.0</v>
      </c>
      <c r="G108" s="2">
        <v>1.0</v>
      </c>
      <c r="H108" s="3">
        <f t="shared" si="1"/>
        <v>0</v>
      </c>
      <c r="I108" s="2" t="s">
        <v>232</v>
      </c>
      <c r="J108" s="4">
        <f>VLOOKUP(B108,Costos_Proveedores!$B$2:$J$1000,9,FALSE())</f>
        <v>5994</v>
      </c>
      <c r="K108" s="5">
        <f t="shared" si="2"/>
        <v>0</v>
      </c>
      <c r="L108" s="2"/>
      <c r="M108" s="2"/>
      <c r="N108" s="2"/>
      <c r="O108" s="2"/>
      <c r="P108" s="1">
        <f t="shared" si="3"/>
        <v>0</v>
      </c>
      <c r="Q108" s="1">
        <f t="shared" si="4"/>
        <v>0</v>
      </c>
      <c r="R108" s="1">
        <f t="shared" si="5"/>
        <v>0</v>
      </c>
      <c r="S108" s="6" t="s">
        <v>402</v>
      </c>
    </row>
    <row r="109">
      <c r="A109" s="3" t="str">
        <f t="array" ref="A109">XLOOKUP(B109,Costos_Proveedores!$B$2:$B$2000,Costos_Proveedores!$A$2:$A$2000)</f>
        <v>ESPACIO B</v>
      </c>
      <c r="B109" s="2" t="s">
        <v>403</v>
      </c>
      <c r="C109" s="2" t="s">
        <v>404</v>
      </c>
      <c r="D109" s="2" t="s">
        <v>405</v>
      </c>
      <c r="E109" s="2" t="s">
        <v>31</v>
      </c>
      <c r="F109" s="2">
        <v>0.0</v>
      </c>
      <c r="G109" s="2">
        <v>2.0</v>
      </c>
      <c r="H109" s="3">
        <f t="shared" si="1"/>
        <v>0</v>
      </c>
      <c r="I109" s="2" t="s">
        <v>232</v>
      </c>
      <c r="J109" s="4">
        <f>VLOOKUP(B109,Costos_Proveedores!$B$2:$J$1000,9,FALSE())</f>
        <v>7014</v>
      </c>
      <c r="K109" s="5">
        <f t="shared" si="2"/>
        <v>0</v>
      </c>
      <c r="L109" s="2">
        <v>15.0</v>
      </c>
      <c r="M109" s="2">
        <v>15.0</v>
      </c>
      <c r="N109" s="2">
        <v>0.0</v>
      </c>
      <c r="O109" s="2">
        <v>0.0</v>
      </c>
      <c r="P109" s="1">
        <f t="shared" si="3"/>
        <v>15</v>
      </c>
      <c r="Q109" s="1">
        <f t="shared" si="4"/>
        <v>0</v>
      </c>
      <c r="R109" s="1">
        <f t="shared" si="5"/>
        <v>15</v>
      </c>
      <c r="S109" s="6" t="s">
        <v>406</v>
      </c>
    </row>
    <row r="110">
      <c r="A110" s="3" t="str">
        <f t="array" ref="A110">XLOOKUP(B110,Costos_Proveedores!$B$2:$B$2000,Costos_Proveedores!$A$2:$A$2000)</f>
        <v>YOURGOAL</v>
      </c>
      <c r="B110" s="2" t="s">
        <v>407</v>
      </c>
      <c r="C110" s="2">
        <v>805301.0</v>
      </c>
      <c r="D110" s="2" t="s">
        <v>408</v>
      </c>
      <c r="E110" s="2" t="s">
        <v>47</v>
      </c>
      <c r="F110" s="2">
        <v>0.0</v>
      </c>
      <c r="G110" s="2">
        <v>28.0</v>
      </c>
      <c r="H110" s="3">
        <f t="shared" si="1"/>
        <v>28</v>
      </c>
      <c r="I110" s="2" t="s">
        <v>22</v>
      </c>
      <c r="J110" s="4">
        <f>VLOOKUP(B110,Costos_Proveedores!$B$2:$J$1000,9,FALSE())</f>
        <v>19179</v>
      </c>
      <c r="K110" s="5">
        <f t="shared" si="2"/>
        <v>537012</v>
      </c>
      <c r="L110" s="2">
        <v>8.0</v>
      </c>
      <c r="M110" s="2">
        <v>0.0</v>
      </c>
      <c r="N110" s="2">
        <v>9.0</v>
      </c>
      <c r="O110" s="2">
        <v>6.0</v>
      </c>
      <c r="P110" s="1">
        <f t="shared" si="3"/>
        <v>0</v>
      </c>
      <c r="Q110" s="1">
        <f t="shared" si="4"/>
        <v>0</v>
      </c>
      <c r="R110" s="1">
        <f t="shared" si="5"/>
        <v>0</v>
      </c>
      <c r="S110" s="6" t="s">
        <v>409</v>
      </c>
    </row>
    <row r="111">
      <c r="A111" s="3" t="str">
        <f t="array" ref="A111">XLOOKUP(B111,Costos_Proveedores!$B$2:$B$2000,Costos_Proveedores!$A$2:$A$2000)</f>
        <v>YOURGOAL</v>
      </c>
      <c r="B111" s="2" t="s">
        <v>410</v>
      </c>
      <c r="C111" s="2">
        <v>805053.0</v>
      </c>
      <c r="D111" s="2" t="s">
        <v>411</v>
      </c>
      <c r="E111" s="2" t="s">
        <v>47</v>
      </c>
      <c r="F111" s="2">
        <v>115.0</v>
      </c>
      <c r="G111" s="2">
        <v>24.0</v>
      </c>
      <c r="H111" s="3">
        <f t="shared" si="1"/>
        <v>115</v>
      </c>
      <c r="I111" s="2" t="s">
        <v>232</v>
      </c>
      <c r="J111" s="4">
        <f>VLOOKUP(B111,Costos_Proveedores!$B$2:$J$1000,9,FALSE())</f>
        <v>4880</v>
      </c>
      <c r="K111" s="5">
        <f t="shared" si="2"/>
        <v>561200</v>
      </c>
      <c r="L111" s="2">
        <v>87.0</v>
      </c>
      <c r="M111" s="2">
        <v>64.0</v>
      </c>
      <c r="N111" s="2">
        <v>0.0</v>
      </c>
      <c r="O111" s="2">
        <v>0.0</v>
      </c>
      <c r="P111" s="1">
        <f t="shared" si="3"/>
        <v>0</v>
      </c>
      <c r="Q111" s="1">
        <f t="shared" si="4"/>
        <v>0</v>
      </c>
      <c r="R111" s="1">
        <f t="shared" si="5"/>
        <v>0</v>
      </c>
      <c r="S111" s="6" t="s">
        <v>412</v>
      </c>
    </row>
    <row r="112">
      <c r="A112" s="3" t="str">
        <f t="array" ref="A112">XLOOKUP(B112,Costos_Proveedores!$B$2:$B$2000,Costos_Proveedores!$A$2:$A$2000)</f>
        <v>YOURGOAL</v>
      </c>
      <c r="B112" s="2" t="s">
        <v>413</v>
      </c>
      <c r="C112" s="2">
        <v>805056.0</v>
      </c>
      <c r="D112" s="2" t="s">
        <v>414</v>
      </c>
      <c r="E112" s="2" t="s">
        <v>31</v>
      </c>
      <c r="F112" s="2">
        <v>0.0</v>
      </c>
      <c r="G112" s="2">
        <v>2.0</v>
      </c>
      <c r="H112" s="3">
        <f t="shared" si="1"/>
        <v>0</v>
      </c>
      <c r="I112" s="2" t="s">
        <v>232</v>
      </c>
      <c r="J112" s="4">
        <f>VLOOKUP(B112,Costos_Proveedores!$B$2:$J$1000,9,FALSE())</f>
        <v>4880</v>
      </c>
      <c r="K112" s="5">
        <f t="shared" si="2"/>
        <v>0</v>
      </c>
      <c r="L112" s="2">
        <v>1.0</v>
      </c>
      <c r="M112" s="2">
        <v>1.0</v>
      </c>
      <c r="N112" s="2">
        <v>0.0</v>
      </c>
      <c r="O112" s="2">
        <v>0.0</v>
      </c>
      <c r="P112" s="1">
        <f t="shared" si="3"/>
        <v>1</v>
      </c>
      <c r="Q112" s="1">
        <f t="shared" si="4"/>
        <v>0</v>
      </c>
      <c r="R112" s="1">
        <f t="shared" si="5"/>
        <v>1</v>
      </c>
      <c r="S112" s="6" t="s">
        <v>415</v>
      </c>
    </row>
    <row r="113">
      <c r="A113" s="3" t="str">
        <f t="array" ref="A113">XLOOKUP(B113,Costos_Proveedores!$B$2:$B$2000,Costos_Proveedores!$A$2:$A$2000)</f>
        <v>YOURGOAL</v>
      </c>
      <c r="B113" s="2" t="s">
        <v>416</v>
      </c>
      <c r="C113" s="2">
        <v>805302.0</v>
      </c>
      <c r="D113" s="2" t="s">
        <v>417</v>
      </c>
      <c r="E113" s="2" t="s">
        <v>47</v>
      </c>
      <c r="F113" s="2">
        <v>0.0</v>
      </c>
      <c r="G113" s="2">
        <v>24.0</v>
      </c>
      <c r="H113" s="3">
        <f t="shared" si="1"/>
        <v>24</v>
      </c>
      <c r="I113" s="2" t="s">
        <v>22</v>
      </c>
      <c r="J113" s="4">
        <f>VLOOKUP(B113,Costos_Proveedores!$B$2:$J$1000,9,FALSE())</f>
        <v>19179</v>
      </c>
      <c r="K113" s="5">
        <f t="shared" si="2"/>
        <v>460296</v>
      </c>
      <c r="L113" s="2">
        <v>95.0</v>
      </c>
      <c r="M113" s="2">
        <v>0.0</v>
      </c>
      <c r="N113" s="2">
        <v>55.0</v>
      </c>
      <c r="O113" s="2">
        <v>27.0</v>
      </c>
      <c r="P113" s="1">
        <f t="shared" si="3"/>
        <v>0</v>
      </c>
      <c r="Q113" s="1">
        <f t="shared" si="4"/>
        <v>58</v>
      </c>
      <c r="R113" s="1">
        <f t="shared" si="5"/>
        <v>58</v>
      </c>
      <c r="S113" s="6" t="s">
        <v>418</v>
      </c>
    </row>
    <row r="114">
      <c r="A114" s="3" t="str">
        <f t="array" ref="A114">XLOOKUP(B114,Costos_Proveedores!$B$2:$B$2000,Costos_Proveedores!$A$2:$A$2000)</f>
        <v>YOURGOAL</v>
      </c>
      <c r="B114" s="2" t="s">
        <v>419</v>
      </c>
      <c r="C114" s="2">
        <v>805309.0</v>
      </c>
      <c r="D114" s="2" t="s">
        <v>420</v>
      </c>
      <c r="E114" s="2" t="s">
        <v>31</v>
      </c>
      <c r="F114" s="2">
        <v>0.0</v>
      </c>
      <c r="G114" s="2">
        <v>0.0</v>
      </c>
      <c r="H114" s="3">
        <f t="shared" si="1"/>
        <v>0</v>
      </c>
      <c r="I114" s="2" t="s">
        <v>22</v>
      </c>
      <c r="J114" s="4">
        <f>VLOOKUP(B114,Costos_Proveedores!$B$2:$J$1000,9,FALSE())</f>
        <v>19179</v>
      </c>
      <c r="K114" s="5">
        <f t="shared" si="2"/>
        <v>0</v>
      </c>
      <c r="L114" s="2">
        <v>66.0</v>
      </c>
      <c r="M114" s="2">
        <v>0.0</v>
      </c>
      <c r="N114" s="2">
        <v>30.0</v>
      </c>
      <c r="O114" s="2">
        <v>32.0</v>
      </c>
      <c r="P114" s="1">
        <f t="shared" si="3"/>
        <v>0</v>
      </c>
      <c r="Q114" s="1">
        <f t="shared" si="4"/>
        <v>62</v>
      </c>
      <c r="R114" s="1">
        <f t="shared" si="5"/>
        <v>62</v>
      </c>
      <c r="S114" s="6" t="s">
        <v>421</v>
      </c>
    </row>
    <row r="115">
      <c r="A115" s="3" t="str">
        <f t="array" ref="A115">XLOOKUP(B115,Costos_Proveedores!$B$2:$B$2000,Costos_Proveedores!$A$2:$A$2000)</f>
        <v>YOURGOAL</v>
      </c>
      <c r="B115" s="2" t="s">
        <v>422</v>
      </c>
      <c r="C115" s="2">
        <v>805305.0</v>
      </c>
      <c r="D115" s="2" t="s">
        <v>423</v>
      </c>
      <c r="E115" s="2" t="s">
        <v>47</v>
      </c>
      <c r="G115" s="2">
        <v>47.0</v>
      </c>
      <c r="H115" s="3">
        <f t="shared" si="1"/>
        <v>47</v>
      </c>
      <c r="I115" s="2" t="s">
        <v>22</v>
      </c>
      <c r="J115" s="4">
        <f>VLOOKUP(B115,Costos_Proveedores!$B$2:$J$1000,9,FALSE())</f>
        <v>19179</v>
      </c>
      <c r="K115" s="5">
        <f t="shared" si="2"/>
        <v>901413</v>
      </c>
      <c r="L115" s="2">
        <v>92.0</v>
      </c>
      <c r="M115" s="2">
        <v>0.0</v>
      </c>
      <c r="N115" s="2">
        <v>77.0</v>
      </c>
      <c r="O115" s="2">
        <v>30.0</v>
      </c>
      <c r="P115" s="1">
        <f t="shared" si="3"/>
        <v>0</v>
      </c>
      <c r="Q115" s="1">
        <f t="shared" si="4"/>
        <v>60</v>
      </c>
      <c r="R115" s="1">
        <f t="shared" si="5"/>
        <v>60</v>
      </c>
      <c r="S115" s="6" t="s">
        <v>424</v>
      </c>
    </row>
    <row r="116">
      <c r="A116" s="3" t="str">
        <f t="array" ref="A116">XLOOKUP(B116,Costos_Proveedores!$B$2:$B$2000,Costos_Proveedores!$A$2:$A$2000)</f>
        <v>YOURGOAL</v>
      </c>
      <c r="B116" s="2" t="s">
        <v>425</v>
      </c>
      <c r="C116" s="2">
        <v>805051.0</v>
      </c>
      <c r="D116" s="2" t="s">
        <v>426</v>
      </c>
      <c r="E116" s="2" t="s">
        <v>31</v>
      </c>
      <c r="F116" s="2">
        <v>0.0</v>
      </c>
      <c r="G116" s="2">
        <v>2.0</v>
      </c>
      <c r="H116" s="3">
        <f t="shared" si="1"/>
        <v>0</v>
      </c>
      <c r="I116" s="2" t="s">
        <v>232</v>
      </c>
      <c r="J116" s="4">
        <f>VLOOKUP(B116,Costos_Proveedores!$B$2:$J$1000,9,FALSE())</f>
        <v>4880</v>
      </c>
      <c r="K116" s="5">
        <f t="shared" si="2"/>
        <v>0</v>
      </c>
      <c r="L116" s="2"/>
      <c r="M116" s="2"/>
      <c r="N116" s="2"/>
      <c r="O116" s="2"/>
      <c r="P116" s="1">
        <f t="shared" si="3"/>
        <v>0</v>
      </c>
      <c r="Q116" s="1">
        <f t="shared" si="4"/>
        <v>0</v>
      </c>
      <c r="R116" s="1">
        <f t="shared" si="5"/>
        <v>0</v>
      </c>
      <c r="S116" s="6" t="s">
        <v>427</v>
      </c>
    </row>
    <row r="117">
      <c r="A117" s="3" t="str">
        <f t="array" ref="A117">XLOOKUP(B117,Costos_Proveedores!$B$2:$B$2000,Costos_Proveedores!$A$2:$A$2000)</f>
        <v>YOURGOAL</v>
      </c>
      <c r="B117" s="2" t="s">
        <v>428</v>
      </c>
      <c r="C117" s="2">
        <v>805054.0</v>
      </c>
      <c r="D117" s="2" t="s">
        <v>429</v>
      </c>
      <c r="E117" s="2" t="s">
        <v>31</v>
      </c>
      <c r="F117" s="2">
        <v>0.0</v>
      </c>
      <c r="G117" s="2">
        <v>24.0</v>
      </c>
      <c r="H117" s="3">
        <f t="shared" si="1"/>
        <v>0</v>
      </c>
      <c r="I117" s="2" t="s">
        <v>232</v>
      </c>
      <c r="J117" s="4">
        <f>VLOOKUP(B117,Costos_Proveedores!$B$2:$J$1000,9,FALSE())</f>
        <v>4880</v>
      </c>
      <c r="K117" s="5">
        <f t="shared" si="2"/>
        <v>0</v>
      </c>
      <c r="L117" s="2">
        <v>70.0</v>
      </c>
      <c r="M117" s="2">
        <v>78.0</v>
      </c>
      <c r="N117" s="2">
        <v>0.0</v>
      </c>
      <c r="O117" s="2">
        <v>0.0</v>
      </c>
      <c r="P117" s="1">
        <f t="shared" si="3"/>
        <v>78</v>
      </c>
      <c r="Q117" s="1">
        <f t="shared" si="4"/>
        <v>0</v>
      </c>
      <c r="R117" s="1">
        <f t="shared" si="5"/>
        <v>78</v>
      </c>
      <c r="S117" s="6" t="s">
        <v>430</v>
      </c>
    </row>
    <row r="118">
      <c r="A118" s="3" t="str">
        <f t="array" ref="A118">XLOOKUP(B118,Costos_Proveedores!$B$2:$B$2000,Costos_Proveedores!$A$2:$A$2000)</f>
        <v>PRATER</v>
      </c>
      <c r="B118" s="2" t="s">
        <v>431</v>
      </c>
      <c r="C118" s="2" t="s">
        <v>432</v>
      </c>
      <c r="D118" s="2" t="s">
        <v>433</v>
      </c>
      <c r="E118" s="2" t="s">
        <v>31</v>
      </c>
      <c r="G118" s="2">
        <v>0.0</v>
      </c>
      <c r="H118" s="3">
        <f t="shared" si="1"/>
        <v>0</v>
      </c>
      <c r="I118" s="2" t="s">
        <v>22</v>
      </c>
      <c r="J118" s="4">
        <f>VLOOKUP(B118,Costos_Proveedores!$B$2:$J$1000,9,FALSE())</f>
        <v>2900</v>
      </c>
      <c r="K118" s="5">
        <f t="shared" si="2"/>
        <v>0</v>
      </c>
      <c r="L118" s="2"/>
      <c r="M118" s="2"/>
      <c r="N118" s="2"/>
      <c r="O118" s="2"/>
      <c r="P118" s="1">
        <f t="shared" si="3"/>
        <v>0</v>
      </c>
      <c r="Q118" s="1">
        <f t="shared" si="4"/>
        <v>0</v>
      </c>
      <c r="R118" s="1">
        <f t="shared" si="5"/>
        <v>0</v>
      </c>
      <c r="S118" s="6" t="s">
        <v>434</v>
      </c>
    </row>
    <row r="119">
      <c r="A119" s="3" t="str">
        <f t="array" ref="A119">XLOOKUP(B119,Costos_Proveedores!$B$2:$B$2000,Costos_Proveedores!$A$2:$A$2000)</f>
        <v>PRATER</v>
      </c>
      <c r="B119" s="2" t="s">
        <v>435</v>
      </c>
      <c r="C119" s="2" t="s">
        <v>436</v>
      </c>
      <c r="D119" s="2" t="s">
        <v>437</v>
      </c>
      <c r="E119" s="2" t="s">
        <v>31</v>
      </c>
      <c r="G119" s="2">
        <v>0.0</v>
      </c>
      <c r="H119" s="3">
        <f t="shared" si="1"/>
        <v>0</v>
      </c>
      <c r="I119" s="2" t="s">
        <v>22</v>
      </c>
      <c r="J119" s="4">
        <f>VLOOKUP(B119,Costos_Proveedores!$B$2:$J$1000,9,FALSE())</f>
        <v>2900</v>
      </c>
      <c r="K119" s="5">
        <f t="shared" si="2"/>
        <v>0</v>
      </c>
      <c r="L119" s="2"/>
      <c r="M119" s="2"/>
      <c r="N119" s="2"/>
      <c r="O119" s="2"/>
      <c r="P119" s="1">
        <f t="shared" si="3"/>
        <v>0</v>
      </c>
      <c r="Q119" s="1">
        <f t="shared" si="4"/>
        <v>0</v>
      </c>
      <c r="R119" s="1">
        <f t="shared" si="5"/>
        <v>0</v>
      </c>
      <c r="S119" s="6" t="s">
        <v>438</v>
      </c>
    </row>
    <row r="120">
      <c r="A120" s="3" t="str">
        <f t="array" ref="A120">XLOOKUP(B120,Costos_Proveedores!$B$2:$B$2000,Costos_Proveedores!$A$2:$A$2000)</f>
        <v>PRATER</v>
      </c>
      <c r="B120" s="2" t="s">
        <v>439</v>
      </c>
      <c r="C120" s="2" t="s">
        <v>440</v>
      </c>
      <c r="D120" s="2" t="s">
        <v>441</v>
      </c>
      <c r="E120" s="2" t="s">
        <v>31</v>
      </c>
      <c r="F120" s="2">
        <v>0.0</v>
      </c>
      <c r="G120" s="2">
        <v>1.0</v>
      </c>
      <c r="H120" s="3">
        <f t="shared" si="1"/>
        <v>0</v>
      </c>
      <c r="I120" s="2" t="s">
        <v>232</v>
      </c>
      <c r="J120" s="4">
        <f>VLOOKUP(B120,Costos_Proveedores!$B$2:$J$1000,9,FALSE())</f>
        <v>2836</v>
      </c>
      <c r="K120" s="5">
        <f t="shared" si="2"/>
        <v>0</v>
      </c>
      <c r="L120" s="2"/>
      <c r="M120" s="2"/>
      <c r="N120" s="2"/>
      <c r="O120" s="2"/>
      <c r="P120" s="1">
        <f t="shared" si="3"/>
        <v>0</v>
      </c>
      <c r="Q120" s="1">
        <f t="shared" si="4"/>
        <v>0</v>
      </c>
      <c r="R120" s="1">
        <f t="shared" si="5"/>
        <v>0</v>
      </c>
      <c r="S120" s="6" t="s">
        <v>442</v>
      </c>
    </row>
    <row r="121">
      <c r="A121" s="3" t="str">
        <f t="array" ref="A121">XLOOKUP(B121,Costos_Proveedores!$B$2:$B$2000,Costos_Proveedores!$A$2:$A$2000)</f>
        <v>PRATER</v>
      </c>
      <c r="B121" s="2" t="s">
        <v>443</v>
      </c>
      <c r="C121" s="2" t="s">
        <v>444</v>
      </c>
      <c r="D121" s="2" t="s">
        <v>445</v>
      </c>
      <c r="E121" s="2" t="s">
        <v>31</v>
      </c>
      <c r="F121" s="2">
        <v>0.0</v>
      </c>
      <c r="G121" s="2">
        <v>2.0</v>
      </c>
      <c r="H121" s="3">
        <f t="shared" si="1"/>
        <v>0</v>
      </c>
      <c r="I121" s="2" t="s">
        <v>232</v>
      </c>
      <c r="J121" s="4">
        <f>VLOOKUP(B121,Costos_Proveedores!$B$2:$J$1000,9,FALSE())</f>
        <v>6381</v>
      </c>
      <c r="K121" s="5">
        <f t="shared" si="2"/>
        <v>0</v>
      </c>
      <c r="L121" s="2"/>
      <c r="M121" s="2"/>
      <c r="N121" s="2"/>
      <c r="O121" s="2"/>
      <c r="P121" s="1">
        <f t="shared" si="3"/>
        <v>0</v>
      </c>
      <c r="Q121" s="1">
        <f t="shared" si="4"/>
        <v>0</v>
      </c>
      <c r="R121" s="1">
        <f t="shared" si="5"/>
        <v>0</v>
      </c>
      <c r="S121" s="6" t="s">
        <v>446</v>
      </c>
    </row>
    <row r="122">
      <c r="A122" s="3" t="str">
        <f t="array" ref="A122">XLOOKUP(B122,Costos_Proveedores!$B$2:$B$2000,Costos_Proveedores!$A$2:$A$2000)</f>
        <v>PRATER</v>
      </c>
      <c r="B122" s="2" t="s">
        <v>447</v>
      </c>
      <c r="C122" s="2" t="s">
        <v>448</v>
      </c>
      <c r="D122" s="2" t="s">
        <v>449</v>
      </c>
      <c r="E122" s="2" t="s">
        <v>31</v>
      </c>
      <c r="F122" s="2">
        <v>0.0</v>
      </c>
      <c r="G122" s="2">
        <v>1.0</v>
      </c>
      <c r="H122" s="3">
        <f t="shared" si="1"/>
        <v>0</v>
      </c>
      <c r="I122" s="2" t="s">
        <v>232</v>
      </c>
      <c r="J122" s="4">
        <f>VLOOKUP(B122,Costos_Proveedores!$B$2:$J$1000,9,FALSE())</f>
        <v>10578</v>
      </c>
      <c r="K122" s="5">
        <f t="shared" si="2"/>
        <v>0</v>
      </c>
      <c r="L122" s="2"/>
      <c r="M122" s="2"/>
      <c r="N122" s="2"/>
      <c r="O122" s="2"/>
      <c r="P122" s="1">
        <f t="shared" si="3"/>
        <v>0</v>
      </c>
      <c r="Q122" s="1">
        <f t="shared" si="4"/>
        <v>0</v>
      </c>
      <c r="R122" s="1">
        <f t="shared" si="5"/>
        <v>0</v>
      </c>
      <c r="S122" s="6" t="s">
        <v>450</v>
      </c>
    </row>
    <row r="123">
      <c r="A123" s="3" t="str">
        <f t="array" ref="A123">XLOOKUP(B123,Costos_Proveedores!$B$2:$B$2000,Costos_Proveedores!$A$2:$A$2000)</f>
        <v>PRATER</v>
      </c>
      <c r="B123" s="2" t="s">
        <v>451</v>
      </c>
      <c r="C123" s="2">
        <v>7.804918450949E12</v>
      </c>
      <c r="D123" s="2" t="s">
        <v>452</v>
      </c>
      <c r="E123" s="2" t="s">
        <v>31</v>
      </c>
      <c r="F123" s="2">
        <v>0.0</v>
      </c>
      <c r="G123" s="2">
        <v>1.0</v>
      </c>
      <c r="H123" s="3">
        <f t="shared" si="1"/>
        <v>0</v>
      </c>
      <c r="I123" s="2" t="s">
        <v>232</v>
      </c>
      <c r="J123" s="4">
        <f>VLOOKUP(B123,Costos_Proveedores!$B$2:$J$1000,9,FALSE())</f>
        <v>10073</v>
      </c>
      <c r="K123" s="5">
        <f t="shared" si="2"/>
        <v>0</v>
      </c>
      <c r="L123" s="2">
        <v>3.0</v>
      </c>
      <c r="M123" s="2">
        <v>3.0</v>
      </c>
      <c r="N123" s="2">
        <v>0.0</v>
      </c>
      <c r="O123" s="2">
        <v>0.0</v>
      </c>
      <c r="P123" s="1">
        <f t="shared" si="3"/>
        <v>3</v>
      </c>
      <c r="Q123" s="1">
        <f t="shared" si="4"/>
        <v>0</v>
      </c>
      <c r="R123" s="1">
        <f t="shared" si="5"/>
        <v>3</v>
      </c>
      <c r="S123" s="6" t="s">
        <v>453</v>
      </c>
    </row>
    <row r="124">
      <c r="A124" s="3" t="str">
        <f t="array" ref="A124">XLOOKUP(B124,Costos_Proveedores!$B$2:$B$2000,Costos_Proveedores!$A$2:$A$2000)</f>
        <v>PRATER</v>
      </c>
      <c r="B124" s="2" t="s">
        <v>454</v>
      </c>
      <c r="C124" s="2" t="s">
        <v>455</v>
      </c>
      <c r="D124" s="2" t="s">
        <v>456</v>
      </c>
      <c r="E124" s="2" t="s">
        <v>31</v>
      </c>
      <c r="G124" s="2">
        <v>1.0</v>
      </c>
      <c r="H124" s="3">
        <f t="shared" si="1"/>
        <v>1</v>
      </c>
      <c r="I124" s="2" t="s">
        <v>22</v>
      </c>
      <c r="J124" s="4">
        <f>VLOOKUP(B124,Costos_Proveedores!$B$2:$J$1000,9,FALSE())</f>
        <v>3911</v>
      </c>
      <c r="K124" s="5">
        <f t="shared" si="2"/>
        <v>3911</v>
      </c>
      <c r="L124" s="2"/>
      <c r="M124" s="2"/>
      <c r="N124" s="2"/>
      <c r="O124" s="2"/>
      <c r="P124" s="1">
        <f t="shared" si="3"/>
        <v>0</v>
      </c>
      <c r="Q124" s="1">
        <f t="shared" si="4"/>
        <v>0</v>
      </c>
      <c r="R124" s="1">
        <f t="shared" si="5"/>
        <v>0</v>
      </c>
      <c r="S124" s="6" t="s">
        <v>457</v>
      </c>
    </row>
    <row r="125">
      <c r="A125" s="3" t="str">
        <f t="array" ref="A125">XLOOKUP(B125,Costos_Proveedores!$B$2:$B$2000,Costos_Proveedores!$A$2:$A$2000)</f>
        <v>PRATER</v>
      </c>
      <c r="B125" s="2" t="s">
        <v>458</v>
      </c>
      <c r="C125" s="2" t="s">
        <v>459</v>
      </c>
      <c r="D125" s="2" t="s">
        <v>460</v>
      </c>
      <c r="E125" s="2" t="s">
        <v>31</v>
      </c>
      <c r="G125" s="2">
        <v>0.0</v>
      </c>
      <c r="H125" s="3">
        <f t="shared" si="1"/>
        <v>0</v>
      </c>
      <c r="I125" s="2" t="s">
        <v>22</v>
      </c>
      <c r="J125" s="4">
        <f>VLOOKUP(B125,Costos_Proveedores!$B$2:$J$1000,9,FALSE())</f>
        <v>6716</v>
      </c>
      <c r="K125" s="5">
        <f t="shared" si="2"/>
        <v>0</v>
      </c>
      <c r="L125" s="2"/>
      <c r="M125" s="2"/>
      <c r="N125" s="2"/>
      <c r="O125" s="2"/>
      <c r="P125" s="1">
        <f t="shared" si="3"/>
        <v>0</v>
      </c>
      <c r="Q125" s="1">
        <f t="shared" si="4"/>
        <v>0</v>
      </c>
      <c r="R125" s="1">
        <f t="shared" si="5"/>
        <v>0</v>
      </c>
      <c r="S125" s="6" t="s">
        <v>461</v>
      </c>
    </row>
    <row r="126">
      <c r="A126" s="3" t="str">
        <f t="array" ref="A126">XLOOKUP(B126,Costos_Proveedores!$B$2:$B$2000,Costos_Proveedores!$A$2:$A$2000)</f>
        <v>PRATER</v>
      </c>
      <c r="B126" s="2" t="s">
        <v>462</v>
      </c>
      <c r="C126" s="2" t="s">
        <v>463</v>
      </c>
      <c r="D126" s="2" t="s">
        <v>464</v>
      </c>
      <c r="E126" s="2" t="s">
        <v>31</v>
      </c>
      <c r="F126" s="2">
        <v>0.0</v>
      </c>
      <c r="G126" s="2">
        <v>1.0</v>
      </c>
      <c r="H126" s="3">
        <f t="shared" si="1"/>
        <v>0</v>
      </c>
      <c r="I126" s="2" t="s">
        <v>232</v>
      </c>
      <c r="J126" s="4">
        <f>VLOOKUP(B126,Costos_Proveedores!$B$2:$J$1000,9,FALSE())</f>
        <v>3251</v>
      </c>
      <c r="K126" s="5">
        <f t="shared" si="2"/>
        <v>0</v>
      </c>
      <c r="L126" s="2"/>
      <c r="M126" s="2"/>
      <c r="N126" s="2"/>
      <c r="O126" s="2"/>
      <c r="P126" s="1">
        <f t="shared" si="3"/>
        <v>0</v>
      </c>
      <c r="Q126" s="1">
        <f t="shared" si="4"/>
        <v>0</v>
      </c>
      <c r="R126" s="1">
        <f t="shared" si="5"/>
        <v>0</v>
      </c>
      <c r="S126" s="6" t="s">
        <v>465</v>
      </c>
    </row>
    <row r="127">
      <c r="A127" s="3" t="str">
        <f t="array" ref="A127">XLOOKUP(B127,Costos_Proveedores!$B$2:$B$2000,Costos_Proveedores!$A$2:$A$2000)</f>
        <v>PRATER</v>
      </c>
      <c r="B127" s="2" t="s">
        <v>466</v>
      </c>
      <c r="C127" s="2" t="s">
        <v>467</v>
      </c>
      <c r="D127" s="2" t="s">
        <v>468</v>
      </c>
      <c r="E127" s="2" t="s">
        <v>31</v>
      </c>
      <c r="F127" s="2">
        <v>0.0</v>
      </c>
      <c r="G127" s="2">
        <v>1.0</v>
      </c>
      <c r="H127" s="3">
        <f t="shared" si="1"/>
        <v>0</v>
      </c>
      <c r="I127" s="2" t="s">
        <v>232</v>
      </c>
      <c r="J127" s="4">
        <f>VLOOKUP(B127,Costos_Proveedores!$B$2:$J$1000,9,FALSE())</f>
        <v>2836</v>
      </c>
      <c r="K127" s="5">
        <f t="shared" si="2"/>
        <v>0</v>
      </c>
      <c r="L127" s="2"/>
      <c r="M127" s="2"/>
      <c r="N127" s="2"/>
      <c r="O127" s="2"/>
      <c r="P127" s="1">
        <f t="shared" si="3"/>
        <v>0</v>
      </c>
      <c r="Q127" s="1">
        <f t="shared" si="4"/>
        <v>0</v>
      </c>
      <c r="R127" s="1">
        <f t="shared" si="5"/>
        <v>0</v>
      </c>
      <c r="S127" s="6" t="s">
        <v>469</v>
      </c>
    </row>
    <row r="128">
      <c r="A128" s="3" t="str">
        <f t="array" ref="A128">XLOOKUP(B128,Costos_Proveedores!$B$2:$B$2000,Costos_Proveedores!$A$2:$A$2000)</f>
        <v>ORTOMOLECULAR</v>
      </c>
      <c r="B128" s="2" t="s">
        <v>470</v>
      </c>
      <c r="C128" s="2" t="s">
        <v>471</v>
      </c>
      <c r="D128" s="2" t="s">
        <v>472</v>
      </c>
      <c r="E128" s="2" t="s">
        <v>31</v>
      </c>
      <c r="F128" s="2">
        <v>0.0</v>
      </c>
      <c r="G128" s="2">
        <v>0.0</v>
      </c>
      <c r="H128" s="3">
        <f t="shared" si="1"/>
        <v>0</v>
      </c>
      <c r="I128" s="2" t="s">
        <v>22</v>
      </c>
      <c r="J128" s="4">
        <f>VLOOKUP(B128,Costos_Proveedores!$B$2:$J$1000,9,FALSE())</f>
        <v>8806</v>
      </c>
      <c r="K128" s="5">
        <f t="shared" si="2"/>
        <v>0</v>
      </c>
      <c r="L128" s="2"/>
      <c r="M128" s="2"/>
      <c r="N128" s="2"/>
      <c r="O128" s="2"/>
      <c r="P128" s="1">
        <f t="shared" si="3"/>
        <v>0</v>
      </c>
      <c r="Q128" s="1">
        <f t="shared" si="4"/>
        <v>0</v>
      </c>
      <c r="R128" s="1">
        <f t="shared" si="5"/>
        <v>0</v>
      </c>
      <c r="S128" s="6" t="s">
        <v>473</v>
      </c>
    </row>
    <row r="129">
      <c r="A129" s="3" t="str">
        <f t="array" ref="A129">XLOOKUP(B129,Costos_Proveedores!$B$2:$B$2000,Costos_Proveedores!$A$2:$A$2000)</f>
        <v>ORTOMOLECULAR</v>
      </c>
      <c r="B129" s="2" t="s">
        <v>474</v>
      </c>
      <c r="C129" s="2" t="s">
        <v>475</v>
      </c>
      <c r="D129" s="2" t="s">
        <v>476</v>
      </c>
      <c r="E129" s="2" t="s">
        <v>31</v>
      </c>
      <c r="F129" s="2">
        <v>0.0</v>
      </c>
      <c r="G129" s="2">
        <v>0.0</v>
      </c>
      <c r="H129" s="3">
        <f t="shared" si="1"/>
        <v>0</v>
      </c>
      <c r="I129" s="2" t="s">
        <v>22</v>
      </c>
      <c r="J129" s="4">
        <f>VLOOKUP(B129,Costos_Proveedores!$B$2:$J$1000,9,FALSE())</f>
        <v>12594</v>
      </c>
      <c r="K129" s="5">
        <f t="shared" si="2"/>
        <v>0</v>
      </c>
      <c r="L129" s="2"/>
      <c r="M129" s="2"/>
      <c r="N129" s="2"/>
      <c r="O129" s="2"/>
      <c r="P129" s="1">
        <f t="shared" si="3"/>
        <v>0</v>
      </c>
      <c r="Q129" s="1">
        <f t="shared" si="4"/>
        <v>0</v>
      </c>
      <c r="R129" s="1">
        <f t="shared" si="5"/>
        <v>0</v>
      </c>
      <c r="S129" s="6" t="s">
        <v>477</v>
      </c>
    </row>
    <row r="130">
      <c r="A130" s="3" t="str">
        <f t="array" ref="A130">XLOOKUP(B130,Costos_Proveedores!$B$2:$B$2000,Costos_Proveedores!$A$2:$A$2000)</f>
        <v>ORTOMOLECULAR</v>
      </c>
      <c r="B130" s="2" t="s">
        <v>478</v>
      </c>
      <c r="C130" s="2" t="s">
        <v>479</v>
      </c>
      <c r="D130" s="2" t="s">
        <v>480</v>
      </c>
      <c r="E130" s="2" t="s">
        <v>31</v>
      </c>
      <c r="F130" s="2">
        <v>0.0</v>
      </c>
      <c r="G130" s="2">
        <v>1.0</v>
      </c>
      <c r="H130" s="3">
        <f t="shared" si="1"/>
        <v>0</v>
      </c>
      <c r="I130" s="2" t="s">
        <v>232</v>
      </c>
      <c r="J130" s="4">
        <f>VLOOKUP(B130,Costos_Proveedores!$B$2:$J$1000,9,FALSE())</f>
        <v>13314</v>
      </c>
      <c r="K130" s="5">
        <f t="shared" si="2"/>
        <v>0</v>
      </c>
      <c r="L130" s="2"/>
      <c r="M130" s="2"/>
      <c r="N130" s="2"/>
      <c r="O130" s="2"/>
      <c r="P130" s="1">
        <f t="shared" si="3"/>
        <v>0</v>
      </c>
      <c r="Q130" s="1">
        <f t="shared" si="4"/>
        <v>0</v>
      </c>
      <c r="R130" s="1">
        <f t="shared" si="5"/>
        <v>0</v>
      </c>
      <c r="S130" s="6" t="s">
        <v>481</v>
      </c>
    </row>
    <row r="131">
      <c r="A131" s="3" t="str">
        <f t="array" ref="A131">XLOOKUP(B131,Costos_Proveedores!$B$2:$B$2000,Costos_Proveedores!$A$2:$A$2000)</f>
        <v>ORTOMOLECULAR</v>
      </c>
      <c r="B131" s="2" t="s">
        <v>482</v>
      </c>
      <c r="C131" s="2" t="s">
        <v>483</v>
      </c>
      <c r="D131" s="2" t="s">
        <v>484</v>
      </c>
      <c r="E131" s="2" t="s">
        <v>31</v>
      </c>
      <c r="F131" s="2">
        <v>0.0</v>
      </c>
      <c r="G131" s="2">
        <v>1.0</v>
      </c>
      <c r="H131" s="3">
        <f t="shared" si="1"/>
        <v>0</v>
      </c>
      <c r="I131" s="2" t="s">
        <v>232</v>
      </c>
      <c r="J131" s="4">
        <f>VLOOKUP(B131,Costos_Proveedores!$B$2:$J$1000,9,FALSE())</f>
        <v>13614</v>
      </c>
      <c r="K131" s="5">
        <f t="shared" si="2"/>
        <v>0</v>
      </c>
      <c r="L131" s="2"/>
      <c r="M131" s="2"/>
      <c r="N131" s="2"/>
      <c r="O131" s="2"/>
      <c r="P131" s="1">
        <f t="shared" si="3"/>
        <v>0</v>
      </c>
      <c r="Q131" s="1">
        <f t="shared" si="4"/>
        <v>0</v>
      </c>
      <c r="R131" s="1">
        <f t="shared" si="5"/>
        <v>0</v>
      </c>
      <c r="S131" s="6" t="s">
        <v>485</v>
      </c>
    </row>
    <row r="132">
      <c r="A132" s="3" t="str">
        <f t="array" ref="A132">XLOOKUP(B132,Costos_Proveedores!$B$2:$B$2000,Costos_Proveedores!$A$2:$A$2000)</f>
        <v>ORTOMOLECULAR</v>
      </c>
      <c r="B132" s="2" t="s">
        <v>486</v>
      </c>
      <c r="C132" s="2" t="s">
        <v>487</v>
      </c>
      <c r="D132" s="2" t="s">
        <v>488</v>
      </c>
      <c r="E132" s="2" t="s">
        <v>31</v>
      </c>
      <c r="F132" s="2">
        <v>0.0</v>
      </c>
      <c r="G132" s="2">
        <v>0.0</v>
      </c>
      <c r="H132" s="3">
        <f t="shared" si="1"/>
        <v>0</v>
      </c>
      <c r="I132" s="2" t="s">
        <v>232</v>
      </c>
      <c r="J132" s="4">
        <f>VLOOKUP(B132,Costos_Proveedores!$B$2:$J$1000,9,FALSE())</f>
        <v>25794</v>
      </c>
      <c r="K132" s="5">
        <f t="shared" si="2"/>
        <v>0</v>
      </c>
      <c r="L132" s="2"/>
      <c r="M132" s="2"/>
      <c r="N132" s="2"/>
      <c r="O132" s="2"/>
      <c r="P132" s="1">
        <f t="shared" si="3"/>
        <v>0</v>
      </c>
      <c r="Q132" s="1">
        <f t="shared" si="4"/>
        <v>0</v>
      </c>
      <c r="R132" s="1">
        <f t="shared" si="5"/>
        <v>0</v>
      </c>
      <c r="S132" s="6" t="s">
        <v>489</v>
      </c>
    </row>
    <row r="133">
      <c r="A133" s="3" t="str">
        <f t="array" ref="A133">XLOOKUP(B133,Costos_Proveedores!$B$2:$B$2000,Costos_Proveedores!$A$2:$A$2000)</f>
        <v>RITZY MASH</v>
      </c>
      <c r="B133" s="2" t="s">
        <v>490</v>
      </c>
      <c r="C133" s="2" t="s">
        <v>491</v>
      </c>
      <c r="D133" s="2" t="s">
        <v>492</v>
      </c>
      <c r="E133" s="2" t="s">
        <v>47</v>
      </c>
      <c r="F133" s="2">
        <v>48.0</v>
      </c>
      <c r="G133" s="2">
        <v>1.0</v>
      </c>
      <c r="H133" s="3">
        <f t="shared" si="1"/>
        <v>48</v>
      </c>
      <c r="I133" s="2" t="s">
        <v>232</v>
      </c>
      <c r="J133" s="4">
        <f>VLOOKUP(B133,Costos_Proveedores!$B$2:$J$1000,9,FALSE())</f>
        <v>9793</v>
      </c>
      <c r="K133" s="5">
        <f t="shared" si="2"/>
        <v>470064</v>
      </c>
      <c r="L133" s="2">
        <v>70.0</v>
      </c>
      <c r="M133" s="2">
        <v>71.0</v>
      </c>
      <c r="N133" s="2">
        <v>0.0</v>
      </c>
      <c r="O133" s="2">
        <v>0.0</v>
      </c>
      <c r="P133" s="1">
        <f t="shared" si="3"/>
        <v>23</v>
      </c>
      <c r="Q133" s="1">
        <f t="shared" si="4"/>
        <v>0</v>
      </c>
      <c r="R133" s="1">
        <f t="shared" si="5"/>
        <v>23</v>
      </c>
      <c r="S133" s="6" t="s">
        <v>493</v>
      </c>
    </row>
    <row r="134">
      <c r="A134" s="3" t="str">
        <f t="array" ref="A134">XLOOKUP(B134,Costos_Proveedores!$B$2:$B$2000,Costos_Proveedores!$A$2:$A$2000)</f>
        <v>FUNGI PHARMA</v>
      </c>
      <c r="B134" s="2" t="s">
        <v>494</v>
      </c>
      <c r="C134" s="2" t="s">
        <v>495</v>
      </c>
      <c r="D134" s="2" t="s">
        <v>496</v>
      </c>
      <c r="E134" s="2" t="s">
        <v>47</v>
      </c>
      <c r="F134" s="2">
        <v>84.0</v>
      </c>
      <c r="G134" s="2">
        <v>108.0</v>
      </c>
      <c r="H134" s="3">
        <f t="shared" si="1"/>
        <v>84</v>
      </c>
      <c r="I134" s="2" t="s">
        <v>232</v>
      </c>
      <c r="J134" s="4">
        <f>VLOOKUP(B134,Costos_Proveedores!$B$2:$J$1000,9,FALSE())</f>
        <v>8949</v>
      </c>
      <c r="K134" s="5">
        <f t="shared" si="2"/>
        <v>751716</v>
      </c>
      <c r="L134" s="2">
        <v>25.0</v>
      </c>
      <c r="M134" s="2">
        <v>24.0</v>
      </c>
      <c r="N134" s="2">
        <v>0.0</v>
      </c>
      <c r="O134" s="2">
        <v>0.0</v>
      </c>
      <c r="P134" s="1">
        <f t="shared" si="3"/>
        <v>0</v>
      </c>
      <c r="Q134" s="1">
        <f t="shared" si="4"/>
        <v>0</v>
      </c>
      <c r="R134" s="1">
        <f t="shared" si="5"/>
        <v>0</v>
      </c>
      <c r="S134" s="6" t="s">
        <v>497</v>
      </c>
    </row>
    <row r="135">
      <c r="A135" s="3" t="str">
        <f t="array" ref="A135">XLOOKUP(B135,Costos_Proveedores!$B$2:$B$2000,Costos_Proveedores!$A$2:$A$2000)</f>
        <v>FUNGI PHARMA</v>
      </c>
      <c r="B135" s="2" t="s">
        <v>498</v>
      </c>
      <c r="C135" s="2" t="s">
        <v>499</v>
      </c>
      <c r="D135" s="2" t="s">
        <v>500</v>
      </c>
      <c r="E135" s="2" t="s">
        <v>47</v>
      </c>
      <c r="F135" s="2">
        <v>161.0</v>
      </c>
      <c r="G135" s="2">
        <v>21.0</v>
      </c>
      <c r="H135" s="3">
        <f t="shared" si="1"/>
        <v>161</v>
      </c>
      <c r="I135" s="2" t="s">
        <v>232</v>
      </c>
      <c r="J135" s="4">
        <f>VLOOKUP(B135,Costos_Proveedores!$B$2:$J$1000,9,FALSE())</f>
        <v>8949</v>
      </c>
      <c r="K135" s="5">
        <f t="shared" si="2"/>
        <v>1440789</v>
      </c>
      <c r="L135" s="2">
        <v>32.0</v>
      </c>
      <c r="M135" s="2">
        <v>40.0</v>
      </c>
      <c r="N135" s="2">
        <v>0.0</v>
      </c>
      <c r="O135" s="2">
        <v>0.0</v>
      </c>
      <c r="P135" s="1">
        <f t="shared" si="3"/>
        <v>0</v>
      </c>
      <c r="Q135" s="1">
        <f t="shared" si="4"/>
        <v>0</v>
      </c>
      <c r="R135" s="1">
        <f t="shared" si="5"/>
        <v>0</v>
      </c>
      <c r="S135" s="6" t="s">
        <v>501</v>
      </c>
    </row>
    <row r="136">
      <c r="A136" s="3" t="str">
        <f t="array" ref="A136">XLOOKUP(B136,Costos_Proveedores!$B$2:$B$2000,Costos_Proveedores!$A$2:$A$2000)</f>
        <v>ESPACIO B</v>
      </c>
      <c r="B136" s="2" t="s">
        <v>502</v>
      </c>
      <c r="C136" s="2" t="s">
        <v>503</v>
      </c>
      <c r="D136" s="2" t="s">
        <v>504</v>
      </c>
      <c r="E136" s="2" t="s">
        <v>31</v>
      </c>
      <c r="F136" s="2">
        <v>0.0</v>
      </c>
      <c r="G136" s="2">
        <v>10.0</v>
      </c>
      <c r="H136" s="3">
        <f t="shared" si="1"/>
        <v>0</v>
      </c>
      <c r="I136" s="2" t="s">
        <v>232</v>
      </c>
      <c r="J136" s="4">
        <f>VLOOKUP(B136,Costos_Proveedores!$B$2:$J$1000,9,FALSE())</f>
        <v>3951</v>
      </c>
      <c r="K136" s="5">
        <f t="shared" si="2"/>
        <v>0</v>
      </c>
      <c r="L136" s="2">
        <v>8.0</v>
      </c>
      <c r="M136" s="2">
        <v>8.0</v>
      </c>
      <c r="N136" s="2">
        <v>0.0</v>
      </c>
      <c r="O136" s="2">
        <v>0.0</v>
      </c>
      <c r="P136" s="1">
        <f t="shared" si="3"/>
        <v>8</v>
      </c>
      <c r="Q136" s="1">
        <f t="shared" si="4"/>
        <v>0</v>
      </c>
      <c r="R136" s="1">
        <f t="shared" si="5"/>
        <v>8</v>
      </c>
      <c r="S136" s="6" t="s">
        <v>505</v>
      </c>
    </row>
    <row r="137">
      <c r="A137" s="3" t="str">
        <f t="array" ref="A137">XLOOKUP(B137,Costos_Proveedores!$B$2:$B$2000,Costos_Proveedores!$A$2:$A$2000)</f>
        <v>ESPACIO B</v>
      </c>
      <c r="B137" s="2" t="s">
        <v>506</v>
      </c>
      <c r="C137" s="2" t="s">
        <v>507</v>
      </c>
      <c r="D137" s="2" t="s">
        <v>508</v>
      </c>
      <c r="E137" s="2" t="s">
        <v>31</v>
      </c>
      <c r="F137" s="2">
        <v>0.0</v>
      </c>
      <c r="G137" s="2">
        <v>10.0</v>
      </c>
      <c r="H137" s="3">
        <f t="shared" si="1"/>
        <v>0</v>
      </c>
      <c r="I137" s="2" t="s">
        <v>232</v>
      </c>
      <c r="J137" s="4">
        <f>VLOOKUP(B137,Costos_Proveedores!$B$2:$J$1000,9,FALSE())</f>
        <v>6355</v>
      </c>
      <c r="K137" s="5">
        <f t="shared" si="2"/>
        <v>0</v>
      </c>
      <c r="L137" s="2"/>
      <c r="M137" s="2"/>
      <c r="N137" s="2"/>
      <c r="O137" s="2"/>
      <c r="P137" s="1">
        <f t="shared" si="3"/>
        <v>0</v>
      </c>
      <c r="Q137" s="1">
        <f t="shared" si="4"/>
        <v>0</v>
      </c>
      <c r="R137" s="1">
        <f t="shared" si="5"/>
        <v>0</v>
      </c>
      <c r="S137" s="6" t="s">
        <v>509</v>
      </c>
    </row>
    <row r="138">
      <c r="A138" s="3" t="str">
        <f t="array" ref="A138">XLOOKUP(B138,Costos_Proveedores!$B$2:$B$2000,Costos_Proveedores!$A$2:$A$2000)</f>
        <v>STRIVE</v>
      </c>
      <c r="B138" s="2" t="s">
        <v>510</v>
      </c>
      <c r="C138" s="2">
        <v>7.99192051555E11</v>
      </c>
      <c r="D138" s="2" t="s">
        <v>511</v>
      </c>
      <c r="E138" s="2" t="s">
        <v>31</v>
      </c>
      <c r="F138" s="2">
        <v>0.0</v>
      </c>
      <c r="G138" s="2">
        <v>1.0</v>
      </c>
      <c r="H138" s="3">
        <f t="shared" si="1"/>
        <v>0</v>
      </c>
      <c r="I138" s="2" t="s">
        <v>232</v>
      </c>
      <c r="J138" s="4">
        <f>VLOOKUP(B138,Costos_Proveedores!$B$2:$J$1000,9,FALSE())</f>
        <v>14799</v>
      </c>
      <c r="K138" s="5">
        <f t="shared" si="2"/>
        <v>0</v>
      </c>
      <c r="L138" s="2"/>
      <c r="M138" s="2"/>
      <c r="N138" s="2"/>
      <c r="O138" s="2"/>
      <c r="P138" s="1">
        <f t="shared" si="3"/>
        <v>0</v>
      </c>
      <c r="Q138" s="1">
        <f t="shared" si="4"/>
        <v>0</v>
      </c>
      <c r="R138" s="1">
        <f t="shared" si="5"/>
        <v>0</v>
      </c>
      <c r="S138" s="6" t="s">
        <v>512</v>
      </c>
    </row>
    <row r="139">
      <c r="A139" s="3" t="str">
        <f t="array" ref="A139">XLOOKUP(B139,Costos_Proveedores!$B$2:$B$2000,Costos_Proveedores!$A$2:$A$2000)</f>
        <v>STRIVE</v>
      </c>
      <c r="B139" s="2" t="s">
        <v>513</v>
      </c>
      <c r="C139" s="2">
        <v>7.9919241802E11</v>
      </c>
      <c r="D139" s="2" t="s">
        <v>514</v>
      </c>
      <c r="E139" s="2" t="s">
        <v>47</v>
      </c>
      <c r="F139" s="2">
        <v>3.0</v>
      </c>
      <c r="G139" s="2">
        <v>4.0</v>
      </c>
      <c r="H139" s="3">
        <f t="shared" si="1"/>
        <v>3</v>
      </c>
      <c r="I139" s="2" t="s">
        <v>232</v>
      </c>
      <c r="J139" s="4">
        <f>VLOOKUP(B139,Costos_Proveedores!$B$2:$J$1000,9,FALSE())</f>
        <v>11195</v>
      </c>
      <c r="K139" s="5">
        <f t="shared" si="2"/>
        <v>33585</v>
      </c>
      <c r="L139" s="2">
        <v>7.0</v>
      </c>
      <c r="M139" s="2">
        <v>6.0</v>
      </c>
      <c r="N139" s="2">
        <v>0.0</v>
      </c>
      <c r="O139" s="2">
        <v>0.0</v>
      </c>
      <c r="P139" s="1">
        <f t="shared" si="3"/>
        <v>3</v>
      </c>
      <c r="Q139" s="1">
        <f t="shared" si="4"/>
        <v>0</v>
      </c>
      <c r="R139" s="1">
        <f t="shared" si="5"/>
        <v>3</v>
      </c>
      <c r="S139" s="6" t="s">
        <v>515</v>
      </c>
    </row>
    <row r="140">
      <c r="A140" s="3" t="str">
        <f t="array" ref="A140">XLOOKUP(B140,Costos_Proveedores!$B$2:$B$2000,Costos_Proveedores!$A$2:$A$2000)</f>
        <v>STRIVE</v>
      </c>
      <c r="B140" s="2" t="s">
        <v>516</v>
      </c>
      <c r="C140" s="2">
        <v>7.99192051562E11</v>
      </c>
      <c r="D140" s="2" t="s">
        <v>517</v>
      </c>
      <c r="E140" s="2" t="s">
        <v>47</v>
      </c>
      <c r="F140" s="2">
        <v>8.0</v>
      </c>
      <c r="G140" s="2">
        <v>0.0</v>
      </c>
      <c r="H140" s="3">
        <f t="shared" si="1"/>
        <v>8</v>
      </c>
      <c r="I140" s="2" t="s">
        <v>232</v>
      </c>
      <c r="J140" s="4">
        <f>VLOOKUP(B140,Costos_Proveedores!$B$2:$J$1000,9,FALSE())</f>
        <v>6769</v>
      </c>
      <c r="K140" s="5">
        <f t="shared" si="2"/>
        <v>54152</v>
      </c>
      <c r="L140" s="2">
        <v>5.0</v>
      </c>
      <c r="M140" s="2"/>
      <c r="N140" s="2"/>
      <c r="O140" s="2"/>
      <c r="P140" s="1">
        <f t="shared" si="3"/>
        <v>0</v>
      </c>
      <c r="Q140" s="1">
        <f t="shared" si="4"/>
        <v>0</v>
      </c>
      <c r="R140" s="1">
        <f t="shared" si="5"/>
        <v>0</v>
      </c>
      <c r="S140" s="6" t="s">
        <v>518</v>
      </c>
    </row>
    <row r="141">
      <c r="A141" s="3" t="str">
        <f t="array" ref="A141">XLOOKUP(B141,Costos_Proveedores!$B$2:$B$2000,Costos_Proveedores!$A$2:$A$2000)</f>
        <v>STRIVE</v>
      </c>
      <c r="B141" s="2" t="s">
        <v>519</v>
      </c>
      <c r="C141" s="2">
        <v>7.99192418013E11</v>
      </c>
      <c r="D141" s="2" t="s">
        <v>520</v>
      </c>
      <c r="E141" s="2" t="s">
        <v>31</v>
      </c>
      <c r="F141" s="2">
        <v>0.0</v>
      </c>
      <c r="G141" s="2">
        <v>0.0</v>
      </c>
      <c r="H141" s="3">
        <f t="shared" si="1"/>
        <v>0</v>
      </c>
      <c r="I141" s="2" t="s">
        <v>232</v>
      </c>
      <c r="J141" s="4">
        <f>VLOOKUP(B141,Costos_Proveedores!$B$2:$J$1000,9,FALSE())</f>
        <v>11195</v>
      </c>
      <c r="K141" s="5">
        <f t="shared" si="2"/>
        <v>0</v>
      </c>
      <c r="L141" s="2">
        <v>3.0</v>
      </c>
      <c r="M141" s="2"/>
      <c r="N141" s="2"/>
      <c r="O141" s="2"/>
      <c r="P141" s="1">
        <f t="shared" si="3"/>
        <v>0</v>
      </c>
      <c r="Q141" s="1">
        <f t="shared" si="4"/>
        <v>0</v>
      </c>
      <c r="R141" s="1">
        <f t="shared" si="5"/>
        <v>0</v>
      </c>
      <c r="S141" s="6" t="s">
        <v>521</v>
      </c>
    </row>
    <row r="142">
      <c r="A142" s="3" t="str">
        <f t="array" ref="A142">XLOOKUP(B142,Costos_Proveedores!$B$2:$B$2000,Costos_Proveedores!$A$2:$A$2000)</f>
        <v>STRIVE</v>
      </c>
      <c r="B142" s="2" t="s">
        <v>522</v>
      </c>
      <c r="C142" s="2">
        <v>7.99192051531E11</v>
      </c>
      <c r="D142" s="2" t="s">
        <v>523</v>
      </c>
      <c r="E142" s="2" t="s">
        <v>47</v>
      </c>
      <c r="F142" s="2">
        <v>3.0</v>
      </c>
      <c r="G142" s="2">
        <v>43.0</v>
      </c>
      <c r="H142" s="3">
        <f t="shared" si="1"/>
        <v>3</v>
      </c>
      <c r="I142" s="2" t="s">
        <v>232</v>
      </c>
      <c r="J142" s="4">
        <f>VLOOKUP(B142,Costos_Proveedores!$B$2:$J$1000,9,FALSE())</f>
        <v>12875</v>
      </c>
      <c r="K142" s="5">
        <f t="shared" si="2"/>
        <v>38625</v>
      </c>
      <c r="L142" s="2">
        <v>12.0</v>
      </c>
      <c r="M142" s="2"/>
      <c r="N142" s="2"/>
      <c r="O142" s="2"/>
      <c r="P142" s="1">
        <f t="shared" si="3"/>
        <v>0</v>
      </c>
      <c r="Q142" s="1">
        <f t="shared" si="4"/>
        <v>0</v>
      </c>
      <c r="R142" s="1">
        <f t="shared" si="5"/>
        <v>0</v>
      </c>
      <c r="S142" s="6" t="s">
        <v>524</v>
      </c>
    </row>
    <row r="143">
      <c r="A143" s="3" t="str">
        <f t="array" ref="A143">XLOOKUP(B143,Costos_Proveedores!$B$2:$B$2000,Costos_Proveedores!$A$2:$A$2000)</f>
        <v>STRIVE</v>
      </c>
      <c r="B143" s="2" t="s">
        <v>525</v>
      </c>
      <c r="C143" s="2">
        <v>7.99192418051E11</v>
      </c>
      <c r="D143" s="2" t="s">
        <v>526</v>
      </c>
      <c r="E143" s="2" t="s">
        <v>31</v>
      </c>
      <c r="F143" s="2">
        <v>0.0</v>
      </c>
      <c r="G143" s="2">
        <v>1.0</v>
      </c>
      <c r="H143" s="3">
        <f t="shared" si="1"/>
        <v>0</v>
      </c>
      <c r="I143" s="2" t="s">
        <v>232</v>
      </c>
      <c r="J143" s="4">
        <f>VLOOKUP(B143,Costos_Proveedores!$B$2:$J$1000,9,FALSE())</f>
        <v>12315</v>
      </c>
      <c r="K143" s="5">
        <f t="shared" si="2"/>
        <v>0</v>
      </c>
      <c r="L143" s="2">
        <v>6.0</v>
      </c>
      <c r="M143" s="2"/>
      <c r="N143" s="2"/>
      <c r="O143" s="2"/>
      <c r="P143" s="1">
        <f t="shared" si="3"/>
        <v>0</v>
      </c>
      <c r="Q143" s="1">
        <f t="shared" si="4"/>
        <v>0</v>
      </c>
      <c r="R143" s="1">
        <f t="shared" si="5"/>
        <v>0</v>
      </c>
      <c r="S143" s="6" t="s">
        <v>527</v>
      </c>
    </row>
    <row r="144">
      <c r="A144" s="3" t="str">
        <f t="array" ref="A144">XLOOKUP(B144,Costos_Proveedores!$B$2:$B$2000,Costos_Proveedores!$A$2:$A$2000)</f>
        <v>EXTREMO SUR</v>
      </c>
      <c r="B144" s="2" t="s">
        <v>528</v>
      </c>
      <c r="C144" s="2">
        <v>7.804651160389E12</v>
      </c>
      <c r="D144" s="2" t="s">
        <v>529</v>
      </c>
      <c r="E144" s="2" t="s">
        <v>31</v>
      </c>
      <c r="F144" s="2">
        <v>0.0</v>
      </c>
      <c r="G144" s="2">
        <v>144.0</v>
      </c>
      <c r="H144" s="3">
        <f t="shared" si="1"/>
        <v>0</v>
      </c>
      <c r="I144" s="2" t="s">
        <v>232</v>
      </c>
      <c r="J144" s="4">
        <f>VLOOKUP(B144,Costos_Proveedores!$B$2:$J$1000,9,FALSE())</f>
        <v>3279</v>
      </c>
      <c r="K144" s="5">
        <f t="shared" si="2"/>
        <v>0</v>
      </c>
      <c r="L144" s="2"/>
      <c r="M144" s="2"/>
      <c r="N144" s="2"/>
      <c r="O144" s="2"/>
      <c r="P144" s="1">
        <f t="shared" si="3"/>
        <v>0</v>
      </c>
      <c r="Q144" s="1">
        <f t="shared" si="4"/>
        <v>0</v>
      </c>
      <c r="R144" s="1">
        <f t="shared" si="5"/>
        <v>0</v>
      </c>
      <c r="S144" s="6" t="s">
        <v>530</v>
      </c>
    </row>
    <row r="145">
      <c r="A145" s="3" t="str">
        <f t="array" ref="A145">XLOOKUP(B145,Costos_Proveedores!$B$2:$B$2000,Costos_Proveedores!$A$2:$A$2000)</f>
        <v>BLENDS N TEA</v>
      </c>
      <c r="B145" s="2" t="s">
        <v>531</v>
      </c>
      <c r="C145" s="2" t="s">
        <v>532</v>
      </c>
      <c r="D145" s="2" t="s">
        <v>533</v>
      </c>
      <c r="E145" s="2" t="s">
        <v>31</v>
      </c>
      <c r="F145" s="2">
        <v>0.0</v>
      </c>
      <c r="G145" s="2">
        <v>1.0</v>
      </c>
      <c r="H145" s="3">
        <f t="shared" si="1"/>
        <v>0</v>
      </c>
      <c r="I145" s="2" t="s">
        <v>232</v>
      </c>
      <c r="J145" s="4">
        <f>VLOOKUP(B145,Costos_Proveedores!$B$2:$J$1000,9,FALSE())</f>
        <v>8033</v>
      </c>
      <c r="K145" s="5">
        <f t="shared" si="2"/>
        <v>0</v>
      </c>
      <c r="L145" s="2">
        <v>1.0</v>
      </c>
      <c r="M145" s="2">
        <v>1.0</v>
      </c>
      <c r="N145" s="2">
        <v>0.0</v>
      </c>
      <c r="O145" s="2">
        <v>0.0</v>
      </c>
      <c r="P145" s="1">
        <f t="shared" si="3"/>
        <v>1</v>
      </c>
      <c r="Q145" s="1">
        <f t="shared" si="4"/>
        <v>0</v>
      </c>
      <c r="R145" s="1">
        <f t="shared" si="5"/>
        <v>1</v>
      </c>
      <c r="S145" s="6" t="s">
        <v>534</v>
      </c>
    </row>
    <row r="146">
      <c r="A146" s="3" t="str">
        <f t="array" ref="A146">XLOOKUP(B146,Costos_Proveedores!$B$2:$B$2000,Costos_Proveedores!$A$2:$A$2000)</f>
        <v>ALMA</v>
      </c>
      <c r="B146" s="2" t="s">
        <v>535</v>
      </c>
      <c r="C146" s="2">
        <v>7.45853477929E11</v>
      </c>
      <c r="D146" s="2" t="s">
        <v>536</v>
      </c>
      <c r="E146" s="2" t="s">
        <v>47</v>
      </c>
      <c r="F146" s="2">
        <v>78.0</v>
      </c>
      <c r="G146" s="2">
        <v>5.0</v>
      </c>
      <c r="H146" s="3">
        <f t="shared" si="1"/>
        <v>78</v>
      </c>
      <c r="I146" s="2" t="s">
        <v>232</v>
      </c>
      <c r="J146" s="4">
        <f>VLOOKUP(B146,Costos_Proveedores!$B$2:$J$1000,9,FALSE())</f>
        <v>12977</v>
      </c>
      <c r="K146" s="5">
        <f t="shared" si="2"/>
        <v>1012206</v>
      </c>
      <c r="L146" s="2">
        <v>38.0</v>
      </c>
      <c r="M146" s="2"/>
      <c r="N146" s="2"/>
      <c r="O146" s="2"/>
      <c r="P146" s="1">
        <f t="shared" si="3"/>
        <v>0</v>
      </c>
      <c r="Q146" s="1">
        <f t="shared" si="4"/>
        <v>0</v>
      </c>
      <c r="R146" s="1">
        <f t="shared" si="5"/>
        <v>0</v>
      </c>
      <c r="S146" s="6" t="s">
        <v>537</v>
      </c>
    </row>
    <row r="147">
      <c r="A147" s="3" t="str">
        <f t="array" ref="A147">XLOOKUP(B147,Costos_Proveedores!$B$2:$B$2000,Costos_Proveedores!$A$2:$A$2000)</f>
        <v>KUNA</v>
      </c>
      <c r="B147" s="2" t="s">
        <v>538</v>
      </c>
      <c r="C147" s="2" t="s">
        <v>539</v>
      </c>
      <c r="D147" s="2" t="s">
        <v>540</v>
      </c>
      <c r="E147" s="2" t="s">
        <v>47</v>
      </c>
      <c r="F147" s="2">
        <v>16.0</v>
      </c>
      <c r="G147" s="2">
        <v>1.0</v>
      </c>
      <c r="H147" s="3">
        <f t="shared" si="1"/>
        <v>16</v>
      </c>
      <c r="I147" s="2" t="s">
        <v>232</v>
      </c>
      <c r="J147" s="4">
        <f>VLOOKUP(B147,Costos_Proveedores!$B$2:$J$1000,9,FALSE())</f>
        <v>3865</v>
      </c>
      <c r="K147" s="5">
        <f t="shared" si="2"/>
        <v>61840</v>
      </c>
      <c r="L147" s="2">
        <v>71.0</v>
      </c>
      <c r="M147" s="2">
        <v>75.0</v>
      </c>
      <c r="N147" s="2">
        <v>0.0</v>
      </c>
      <c r="O147" s="2">
        <v>0.0</v>
      </c>
      <c r="P147" s="1">
        <f t="shared" si="3"/>
        <v>59</v>
      </c>
      <c r="Q147" s="1">
        <f t="shared" si="4"/>
        <v>0</v>
      </c>
      <c r="R147" s="1">
        <f t="shared" si="5"/>
        <v>59</v>
      </c>
      <c r="S147" s="6" t="s">
        <v>541</v>
      </c>
    </row>
    <row r="148">
      <c r="A148" s="3" t="str">
        <f t="array" ref="A148">XLOOKUP(B148,Costos_Proveedores!$B$2:$B$2000,Costos_Proveedores!$A$2:$A$2000)</f>
        <v>GSM</v>
      </c>
      <c r="B148" s="2" t="s">
        <v>542</v>
      </c>
      <c r="C148" s="2">
        <v>6.931474782472E12</v>
      </c>
      <c r="D148" s="2" t="s">
        <v>543</v>
      </c>
      <c r="E148" s="2" t="s">
        <v>31</v>
      </c>
      <c r="F148" s="2">
        <v>0.0</v>
      </c>
      <c r="G148" s="2">
        <v>1.0</v>
      </c>
      <c r="H148" s="3">
        <f t="shared" si="1"/>
        <v>1</v>
      </c>
      <c r="I148" s="2" t="s">
        <v>22</v>
      </c>
      <c r="J148" s="4">
        <f>VLOOKUP(B148,Costos_Proveedores!$B$2:$J$1000,9,FALSE())</f>
        <v>9000</v>
      </c>
      <c r="K148" s="5">
        <f t="shared" si="2"/>
        <v>9000</v>
      </c>
      <c r="L148" s="2"/>
      <c r="M148" s="2"/>
      <c r="N148" s="2"/>
      <c r="O148" s="2"/>
      <c r="P148" s="1">
        <f t="shared" si="3"/>
        <v>0</v>
      </c>
      <c r="Q148" s="1">
        <f t="shared" si="4"/>
        <v>0</v>
      </c>
      <c r="R148" s="1">
        <f t="shared" si="5"/>
        <v>0</v>
      </c>
      <c r="S148" s="6" t="s">
        <v>544</v>
      </c>
    </row>
    <row r="149">
      <c r="A149" s="3" t="str">
        <f t="array" ref="A149">XLOOKUP(B149,Costos_Proveedores!$B$2:$B$2000,Costos_Proveedores!$A$2:$A$2000)</f>
        <v>BLENDS N TEA</v>
      </c>
      <c r="B149" s="2" t="s">
        <v>545</v>
      </c>
      <c r="C149" s="2" t="s">
        <v>546</v>
      </c>
      <c r="D149" s="2" t="s">
        <v>547</v>
      </c>
      <c r="E149" s="2" t="s">
        <v>31</v>
      </c>
      <c r="F149" s="2">
        <v>0.0</v>
      </c>
      <c r="G149" s="2">
        <v>1.0</v>
      </c>
      <c r="H149" s="3">
        <f t="shared" si="1"/>
        <v>0</v>
      </c>
      <c r="I149" s="2" t="s">
        <v>232</v>
      </c>
      <c r="J149" s="4">
        <f>VLOOKUP(B149,Costos_Proveedores!$B$2:$J$1000,9,FALSE())</f>
        <v>8033</v>
      </c>
      <c r="K149" s="5">
        <f t="shared" si="2"/>
        <v>0</v>
      </c>
      <c r="L149" s="2"/>
      <c r="M149" s="2"/>
      <c r="N149" s="2"/>
      <c r="O149" s="2"/>
      <c r="P149" s="1">
        <f t="shared" si="3"/>
        <v>0</v>
      </c>
      <c r="Q149" s="1">
        <f t="shared" si="4"/>
        <v>0</v>
      </c>
      <c r="R149" s="1">
        <f t="shared" si="5"/>
        <v>0</v>
      </c>
      <c r="S149" s="6" t="s">
        <v>548</v>
      </c>
    </row>
    <row r="150">
      <c r="A150" s="3" t="str">
        <f t="array" ref="A150">XLOOKUP(B150,Costos_Proveedores!$B$2:$B$2000,Costos_Proveedores!$A$2:$A$2000)</f>
        <v>GSM</v>
      </c>
      <c r="B150" s="2" t="s">
        <v>549</v>
      </c>
      <c r="C150" s="2">
        <v>6.942007616355E12</v>
      </c>
      <c r="D150" s="2" t="s">
        <v>550</v>
      </c>
      <c r="E150" s="2" t="s">
        <v>31</v>
      </c>
      <c r="F150" s="2">
        <v>0.0</v>
      </c>
      <c r="G150" s="2">
        <v>0.0</v>
      </c>
      <c r="H150" s="3">
        <f t="shared" si="1"/>
        <v>0</v>
      </c>
      <c r="I150" s="2" t="s">
        <v>22</v>
      </c>
      <c r="J150" s="4">
        <f>VLOOKUP(B150,Costos_Proveedores!$B$2:$J$1000,9,FALSE())</f>
        <v>10350</v>
      </c>
      <c r="K150" s="5">
        <f t="shared" si="2"/>
        <v>0</v>
      </c>
      <c r="L150" s="2"/>
      <c r="M150" s="2"/>
      <c r="N150" s="2"/>
      <c r="O150" s="2"/>
      <c r="P150" s="1">
        <f t="shared" si="3"/>
        <v>0</v>
      </c>
      <c r="Q150" s="1">
        <f t="shared" si="4"/>
        <v>0</v>
      </c>
      <c r="R150" s="1">
        <f t="shared" si="5"/>
        <v>0</v>
      </c>
      <c r="S150" s="6" t="s">
        <v>551</v>
      </c>
    </row>
    <row r="151">
      <c r="A151" s="3" t="str">
        <f t="array" ref="A151">XLOOKUP(B151,Costos_Proveedores!$B$2:$B$2000,Costos_Proveedores!$A$2:$A$2000)</f>
        <v>GSM</v>
      </c>
      <c r="B151" s="2" t="s">
        <v>552</v>
      </c>
      <c r="C151" s="2">
        <v>6.927900092048E12</v>
      </c>
      <c r="D151" s="2" t="s">
        <v>553</v>
      </c>
      <c r="E151" s="2" t="s">
        <v>31</v>
      </c>
      <c r="F151" s="2">
        <v>0.0</v>
      </c>
      <c r="G151" s="2">
        <v>1.0</v>
      </c>
      <c r="H151" s="3">
        <f t="shared" si="1"/>
        <v>1</v>
      </c>
      <c r="I151" s="2" t="s">
        <v>22</v>
      </c>
      <c r="J151" s="4">
        <f>VLOOKUP(B151,Costos_Proveedores!$B$2:$J$1000,9,FALSE())</f>
        <v>36999</v>
      </c>
      <c r="K151" s="5">
        <f t="shared" si="2"/>
        <v>36999</v>
      </c>
      <c r="L151" s="2"/>
      <c r="M151" s="2"/>
      <c r="N151" s="2"/>
      <c r="O151" s="2"/>
      <c r="P151" s="1">
        <f t="shared" si="3"/>
        <v>0</v>
      </c>
      <c r="Q151" s="1">
        <f t="shared" si="4"/>
        <v>0</v>
      </c>
      <c r="R151" s="1">
        <f t="shared" si="5"/>
        <v>0</v>
      </c>
      <c r="S151" s="6" t="s">
        <v>554</v>
      </c>
    </row>
    <row r="152">
      <c r="A152" s="3" t="str">
        <f t="array" ref="A152">XLOOKUP(B152,Costos_Proveedores!$B$2:$B$2000,Costos_Proveedores!$A$2:$A$2000)</f>
        <v>CASO Y CIA</v>
      </c>
      <c r="B152" s="2" t="s">
        <v>555</v>
      </c>
      <c r="C152" s="2" t="s">
        <v>556</v>
      </c>
      <c r="D152" s="2" t="s">
        <v>557</v>
      </c>
      <c r="E152" s="2" t="s">
        <v>31</v>
      </c>
      <c r="F152" s="2">
        <v>0.0</v>
      </c>
      <c r="G152" s="2">
        <v>0.0</v>
      </c>
      <c r="H152" s="3">
        <f t="shared" si="1"/>
        <v>0</v>
      </c>
      <c r="I152" s="2" t="s">
        <v>22</v>
      </c>
      <c r="J152" s="4">
        <f>VLOOKUP(B152,Costos_Proveedores!$B$2:$J$1000,9,FALSE())</f>
        <v>11542</v>
      </c>
      <c r="K152" s="5">
        <f t="shared" si="2"/>
        <v>0</v>
      </c>
      <c r="L152" s="2">
        <v>1.0</v>
      </c>
      <c r="M152" s="2">
        <v>0.0</v>
      </c>
      <c r="N152" s="2">
        <v>1.0</v>
      </c>
      <c r="O152" s="2">
        <v>0.0</v>
      </c>
      <c r="P152" s="1">
        <f t="shared" si="3"/>
        <v>0</v>
      </c>
      <c r="Q152" s="1">
        <f t="shared" si="4"/>
        <v>1</v>
      </c>
      <c r="R152" s="1">
        <f t="shared" si="5"/>
        <v>1</v>
      </c>
      <c r="S152" s="6" t="s">
        <v>558</v>
      </c>
    </row>
    <row r="153">
      <c r="A153" s="3" t="str">
        <f t="array" ref="A153">XLOOKUP(B153,Costos_Proveedores!$B$2:$B$2000,Costos_Proveedores!$A$2:$A$2000)</f>
        <v>ZEO SPORT</v>
      </c>
      <c r="B153" s="2" t="s">
        <v>559</v>
      </c>
      <c r="C153" s="2">
        <v>7.45853478896E11</v>
      </c>
      <c r="D153" s="2" t="s">
        <v>560</v>
      </c>
      <c r="E153" s="2" t="s">
        <v>31</v>
      </c>
      <c r="F153" s="2">
        <v>0.0</v>
      </c>
      <c r="G153" s="2">
        <v>2.0</v>
      </c>
      <c r="H153" s="3">
        <f t="shared" si="1"/>
        <v>0</v>
      </c>
      <c r="I153" s="2" t="s">
        <v>232</v>
      </c>
      <c r="J153" s="4">
        <f>VLOOKUP(B153,Costos_Proveedores!$B$2:$J$1000,9,FALSE())</f>
        <v>8330</v>
      </c>
      <c r="K153" s="5">
        <f t="shared" si="2"/>
        <v>0</v>
      </c>
      <c r="L153" s="2">
        <v>42.0</v>
      </c>
      <c r="M153" s="2"/>
      <c r="N153" s="2"/>
      <c r="O153" s="2"/>
      <c r="P153" s="1">
        <f t="shared" si="3"/>
        <v>0</v>
      </c>
      <c r="Q153" s="1">
        <f t="shared" si="4"/>
        <v>0</v>
      </c>
      <c r="R153" s="1">
        <f t="shared" si="5"/>
        <v>0</v>
      </c>
      <c r="S153" s="6" t="s">
        <v>561</v>
      </c>
    </row>
    <row r="154">
      <c r="A154" s="3" t="str">
        <f t="array" ref="A154">XLOOKUP(B154,Costos_Proveedores!$B$2:$B$2000,Costos_Proveedores!$A$2:$A$2000)</f>
        <v>ZEO SPORT</v>
      </c>
      <c r="B154" s="2" t="s">
        <v>562</v>
      </c>
      <c r="C154" s="2">
        <v>7.45853432409E11</v>
      </c>
      <c r="D154" s="2" t="s">
        <v>563</v>
      </c>
      <c r="E154" s="2" t="s">
        <v>47</v>
      </c>
      <c r="F154" s="2">
        <v>17.0</v>
      </c>
      <c r="G154" s="2">
        <v>1.0</v>
      </c>
      <c r="H154" s="3">
        <f t="shared" si="1"/>
        <v>17</v>
      </c>
      <c r="I154" s="2" t="s">
        <v>232</v>
      </c>
      <c r="J154" s="4">
        <f>VLOOKUP(B154,Costos_Proveedores!$B$2:$J$1000,9,FALSE())</f>
        <v>3570</v>
      </c>
      <c r="K154" s="5">
        <f t="shared" si="2"/>
        <v>60690</v>
      </c>
      <c r="L154" s="2">
        <v>21.0</v>
      </c>
      <c r="M154" s="2"/>
      <c r="N154" s="2"/>
      <c r="O154" s="2"/>
      <c r="P154" s="1">
        <f t="shared" si="3"/>
        <v>0</v>
      </c>
      <c r="Q154" s="1">
        <f t="shared" si="4"/>
        <v>0</v>
      </c>
      <c r="R154" s="1">
        <f t="shared" si="5"/>
        <v>0</v>
      </c>
      <c r="S154" s="6" t="s">
        <v>564</v>
      </c>
    </row>
    <row r="155">
      <c r="A155" s="3" t="str">
        <f t="array" ref="A155">XLOOKUP(B155,Costos_Proveedores!$B$2:$B$2000,Costos_Proveedores!$A$2:$A$2000)</f>
        <v>ZEO SPORT</v>
      </c>
      <c r="B155" s="2" t="s">
        <v>565</v>
      </c>
      <c r="C155" s="2">
        <v>7.45853478834E11</v>
      </c>
      <c r="D155" s="2" t="s">
        <v>566</v>
      </c>
      <c r="E155" s="2" t="s">
        <v>31</v>
      </c>
      <c r="F155" s="2">
        <v>0.0</v>
      </c>
      <c r="G155" s="2">
        <v>1.0</v>
      </c>
      <c r="H155" s="3">
        <f t="shared" si="1"/>
        <v>0</v>
      </c>
      <c r="I155" s="2" t="s">
        <v>232</v>
      </c>
      <c r="J155" s="4">
        <f>VLOOKUP(B155,Costos_Proveedores!$B$2:$J$1000,9,FALSE())</f>
        <v>7140</v>
      </c>
      <c r="K155" s="5">
        <f t="shared" si="2"/>
        <v>0</v>
      </c>
      <c r="L155" s="2">
        <v>52.0</v>
      </c>
      <c r="M155" s="2"/>
      <c r="N155" s="2"/>
      <c r="O155" s="2"/>
      <c r="P155" s="1">
        <f t="shared" si="3"/>
        <v>0</v>
      </c>
      <c r="Q155" s="1">
        <f t="shared" si="4"/>
        <v>0</v>
      </c>
      <c r="R155" s="1">
        <f t="shared" si="5"/>
        <v>0</v>
      </c>
      <c r="S155" s="6" t="s">
        <v>567</v>
      </c>
    </row>
    <row r="156">
      <c r="A156" s="3" t="str">
        <f t="array" ref="A156">XLOOKUP(B156,Costos_Proveedores!$B$2:$B$2000,Costos_Proveedores!$A$2:$A$2000)</f>
        <v>ESPACIO B</v>
      </c>
      <c r="B156" s="2" t="s">
        <v>568</v>
      </c>
      <c r="C156" s="2" t="s">
        <v>569</v>
      </c>
      <c r="D156" s="2" t="s">
        <v>570</v>
      </c>
      <c r="E156" s="2" t="s">
        <v>31</v>
      </c>
      <c r="F156" s="2">
        <v>0.0</v>
      </c>
      <c r="G156" s="2">
        <v>1.0</v>
      </c>
      <c r="H156" s="3">
        <f t="shared" si="1"/>
        <v>0</v>
      </c>
      <c r="I156" s="2" t="s">
        <v>232</v>
      </c>
      <c r="J156" s="4">
        <f>VLOOKUP(B156,Costos_Proveedores!$B$2:$J$1000,9,FALSE())</f>
        <v>8274</v>
      </c>
      <c r="K156" s="5">
        <f t="shared" si="2"/>
        <v>0</v>
      </c>
      <c r="L156" s="2"/>
      <c r="M156" s="2"/>
      <c r="N156" s="2"/>
      <c r="O156" s="2"/>
      <c r="P156" s="1">
        <f t="shared" si="3"/>
        <v>0</v>
      </c>
      <c r="Q156" s="1">
        <f t="shared" si="4"/>
        <v>0</v>
      </c>
      <c r="R156" s="1">
        <f t="shared" si="5"/>
        <v>0</v>
      </c>
      <c r="S156" s="6" t="s">
        <v>571</v>
      </c>
    </row>
    <row r="157">
      <c r="A157" s="3" t="str">
        <f t="array" ref="A157">XLOOKUP(B157,Costos_Proveedores!$B$2:$B$2000,Costos_Proveedores!$A$2:$A$2000)</f>
        <v>ESPACIO B</v>
      </c>
      <c r="B157" s="2" t="s">
        <v>572</v>
      </c>
      <c r="C157" s="2" t="s">
        <v>573</v>
      </c>
      <c r="D157" s="2" t="s">
        <v>574</v>
      </c>
      <c r="E157" s="2" t="s">
        <v>31</v>
      </c>
      <c r="F157" s="2">
        <v>0.0</v>
      </c>
      <c r="G157" s="2">
        <v>1.0</v>
      </c>
      <c r="H157" s="3">
        <f t="shared" si="1"/>
        <v>0</v>
      </c>
      <c r="I157" s="2" t="s">
        <v>232</v>
      </c>
      <c r="J157" s="4">
        <f>VLOOKUP(B157,Costos_Proveedores!$B$2:$J$1000,9,FALSE())</f>
        <v>3834</v>
      </c>
      <c r="K157" s="5">
        <f t="shared" si="2"/>
        <v>0</v>
      </c>
      <c r="L157" s="2"/>
      <c r="M157" s="2"/>
      <c r="N157" s="2"/>
      <c r="O157" s="2"/>
      <c r="P157" s="1">
        <f t="shared" si="3"/>
        <v>0</v>
      </c>
      <c r="Q157" s="1">
        <f t="shared" si="4"/>
        <v>0</v>
      </c>
      <c r="R157" s="1">
        <f t="shared" si="5"/>
        <v>0</v>
      </c>
      <c r="S157" s="6" t="s">
        <v>575</v>
      </c>
    </row>
    <row r="158">
      <c r="A158" s="3" t="str">
        <f t="array" ref="A158">XLOOKUP(B158,Costos_Proveedores!$B$2:$B$2000,Costos_Proveedores!$A$2:$A$2000)</f>
        <v>ESPACIO B</v>
      </c>
      <c r="B158" s="2" t="s">
        <v>576</v>
      </c>
      <c r="C158" s="2" t="s">
        <v>577</v>
      </c>
      <c r="D158" s="2" t="s">
        <v>578</v>
      </c>
      <c r="E158" s="2" t="s">
        <v>31</v>
      </c>
      <c r="F158" s="2">
        <v>0.0</v>
      </c>
      <c r="G158" s="2">
        <v>1.0</v>
      </c>
      <c r="H158" s="3">
        <f t="shared" si="1"/>
        <v>0</v>
      </c>
      <c r="I158" s="2" t="s">
        <v>232</v>
      </c>
      <c r="J158" s="4">
        <f>VLOOKUP(B158,Costos_Proveedores!$B$2:$J$1000,9,FALSE())</f>
        <v>5009</v>
      </c>
      <c r="K158" s="5">
        <f t="shared" si="2"/>
        <v>0</v>
      </c>
      <c r="L158" s="2"/>
      <c r="M158" s="2"/>
      <c r="N158" s="2"/>
      <c r="O158" s="2"/>
      <c r="P158" s="1">
        <f t="shared" si="3"/>
        <v>0</v>
      </c>
      <c r="Q158" s="1">
        <f t="shared" si="4"/>
        <v>0</v>
      </c>
      <c r="R158" s="1">
        <f t="shared" si="5"/>
        <v>0</v>
      </c>
      <c r="S158" s="6" t="s">
        <v>579</v>
      </c>
    </row>
    <row r="159">
      <c r="A159" s="3" t="str">
        <f t="array" ref="A159">XLOOKUP(B159,Costos_Proveedores!$B$2:$B$2000,Costos_Proveedores!$A$2:$A$2000)</f>
        <v>ESPACIO B</v>
      </c>
      <c r="B159" s="2" t="s">
        <v>580</v>
      </c>
      <c r="C159" s="2">
        <v>7.36658953275E11</v>
      </c>
      <c r="D159" s="2" t="s">
        <v>581</v>
      </c>
      <c r="E159" s="2" t="s">
        <v>31</v>
      </c>
      <c r="F159" s="2">
        <v>0.0</v>
      </c>
      <c r="G159" s="2">
        <v>1.0</v>
      </c>
      <c r="H159" s="3">
        <f t="shared" si="1"/>
        <v>1</v>
      </c>
      <c r="I159" s="2" t="s">
        <v>22</v>
      </c>
      <c r="J159" s="4">
        <f>VLOOKUP(B159,Costos_Proveedores!$B$2:$J$1000,9,FALSE())</f>
        <v>8443</v>
      </c>
      <c r="K159" s="5">
        <f t="shared" si="2"/>
        <v>8443</v>
      </c>
      <c r="L159" s="2"/>
      <c r="M159" s="2"/>
      <c r="N159" s="2"/>
      <c r="O159" s="2"/>
      <c r="P159" s="1">
        <f t="shared" si="3"/>
        <v>0</v>
      </c>
      <c r="Q159" s="1">
        <f t="shared" si="4"/>
        <v>0</v>
      </c>
      <c r="R159" s="1">
        <f t="shared" si="5"/>
        <v>0</v>
      </c>
      <c r="S159" s="6" t="s">
        <v>582</v>
      </c>
    </row>
    <row r="160">
      <c r="A160" s="3" t="str">
        <f t="array" ref="A160">XLOOKUP(B160,Costos_Proveedores!$B$2:$B$2000,Costos_Proveedores!$A$2:$A$2000)</f>
        <v>ESPACIO B</v>
      </c>
      <c r="B160" s="2" t="s">
        <v>583</v>
      </c>
      <c r="C160" s="2" t="s">
        <v>584</v>
      </c>
      <c r="D160" s="2" t="s">
        <v>585</v>
      </c>
      <c r="E160" s="2" t="s">
        <v>31</v>
      </c>
      <c r="F160" s="2">
        <v>0.0</v>
      </c>
      <c r="G160" s="2">
        <v>1.0</v>
      </c>
      <c r="H160" s="3">
        <f t="shared" si="1"/>
        <v>0</v>
      </c>
      <c r="I160" s="2" t="s">
        <v>232</v>
      </c>
      <c r="J160" s="4">
        <f>VLOOKUP(B160,Costos_Proveedores!$B$2:$J$1000,9,FALSE())</f>
        <v>4493</v>
      </c>
      <c r="K160" s="5">
        <f t="shared" si="2"/>
        <v>0</v>
      </c>
      <c r="L160" s="2"/>
      <c r="M160" s="2"/>
      <c r="N160" s="2"/>
      <c r="O160" s="2"/>
      <c r="P160" s="1">
        <f t="shared" si="3"/>
        <v>0</v>
      </c>
      <c r="Q160" s="1">
        <f t="shared" si="4"/>
        <v>0</v>
      </c>
      <c r="R160" s="1">
        <f t="shared" si="5"/>
        <v>0</v>
      </c>
      <c r="S160" s="6" t="s">
        <v>586</v>
      </c>
    </row>
    <row r="161">
      <c r="A161" s="3" t="str">
        <f t="array" ref="A161">XLOOKUP(B161,Costos_Proveedores!$B$2:$B$2000,Costos_Proveedores!$A$2:$A$2000)</f>
        <v>ZEO SPORT</v>
      </c>
      <c r="B161" s="2" t="s">
        <v>587</v>
      </c>
      <c r="C161" s="2">
        <v>7.45853432492E11</v>
      </c>
      <c r="D161" s="2" t="s">
        <v>588</v>
      </c>
      <c r="E161" s="2" t="s">
        <v>31</v>
      </c>
      <c r="F161" s="2">
        <v>0.0</v>
      </c>
      <c r="G161" s="2">
        <v>1.0</v>
      </c>
      <c r="H161" s="3">
        <f t="shared" si="1"/>
        <v>0</v>
      </c>
      <c r="I161" s="2" t="s">
        <v>232</v>
      </c>
      <c r="J161" s="4">
        <f>VLOOKUP(B161,Costos_Proveedores!$B$2:$J$1000,9,FALSE())</f>
        <v>17838</v>
      </c>
      <c r="K161" s="5">
        <f t="shared" si="2"/>
        <v>0</v>
      </c>
      <c r="L161" s="2">
        <v>58.0</v>
      </c>
      <c r="M161" s="2"/>
      <c r="N161" s="2"/>
      <c r="O161" s="2"/>
      <c r="P161" s="1">
        <f t="shared" si="3"/>
        <v>0</v>
      </c>
      <c r="Q161" s="1">
        <f t="shared" si="4"/>
        <v>0</v>
      </c>
      <c r="R161" s="1">
        <f t="shared" si="5"/>
        <v>0</v>
      </c>
      <c r="S161" s="6" t="s">
        <v>589</v>
      </c>
    </row>
    <row r="162">
      <c r="A162" s="3" t="str">
        <f t="array" ref="A162">XLOOKUP(B162,Costos_Proveedores!$B$2:$B$2000,Costos_Proveedores!$A$2:$A$2000)</f>
        <v>ZEO SPORT</v>
      </c>
      <c r="B162" s="2" t="s">
        <v>590</v>
      </c>
      <c r="C162" s="2">
        <v>7.45853478841E11</v>
      </c>
      <c r="D162" s="2" t="s">
        <v>591</v>
      </c>
      <c r="E162" s="2" t="s">
        <v>47</v>
      </c>
      <c r="F162" s="2">
        <v>9.0</v>
      </c>
      <c r="G162" s="2">
        <v>1.0</v>
      </c>
      <c r="H162" s="3">
        <f t="shared" si="1"/>
        <v>9</v>
      </c>
      <c r="I162" s="2" t="s">
        <v>232</v>
      </c>
      <c r="J162" s="4">
        <f>VLOOKUP(B162,Costos_Proveedores!$B$2:$J$1000,9,FALSE())</f>
        <v>7140</v>
      </c>
      <c r="K162" s="5">
        <f t="shared" si="2"/>
        <v>64260</v>
      </c>
      <c r="L162" s="2">
        <v>31.0</v>
      </c>
      <c r="M162" s="2"/>
      <c r="N162" s="2"/>
      <c r="O162" s="2"/>
      <c r="P162" s="1">
        <f t="shared" si="3"/>
        <v>0</v>
      </c>
      <c r="Q162" s="1">
        <f t="shared" si="4"/>
        <v>0</v>
      </c>
      <c r="R162" s="1">
        <f t="shared" si="5"/>
        <v>0</v>
      </c>
      <c r="S162" s="6" t="s">
        <v>592</v>
      </c>
    </row>
    <row r="163">
      <c r="A163" s="3" t="str">
        <f t="array" ref="A163">XLOOKUP(B163,Costos_Proveedores!$B$2:$B$2000,Costos_Proveedores!$A$2:$A$2000)</f>
        <v>ESPACIO B</v>
      </c>
      <c r="B163" s="2" t="s">
        <v>593</v>
      </c>
      <c r="C163" s="2">
        <v>3.504105036126E12</v>
      </c>
      <c r="D163" s="2" t="s">
        <v>594</v>
      </c>
      <c r="E163" s="2" t="s">
        <v>31</v>
      </c>
      <c r="F163" s="2">
        <v>0.0</v>
      </c>
      <c r="G163" s="2">
        <v>1.0</v>
      </c>
      <c r="H163" s="3">
        <f t="shared" si="1"/>
        <v>0</v>
      </c>
      <c r="I163" s="2" t="s">
        <v>232</v>
      </c>
      <c r="J163" s="4">
        <f>VLOOKUP(B163,Costos_Proveedores!$B$2:$J$1000,9,FALSE())</f>
        <v>3750</v>
      </c>
      <c r="K163" s="5">
        <f t="shared" si="2"/>
        <v>0</v>
      </c>
      <c r="L163" s="2"/>
      <c r="M163" s="2"/>
      <c r="N163" s="2"/>
      <c r="O163" s="2"/>
      <c r="P163" s="1">
        <f t="shared" si="3"/>
        <v>0</v>
      </c>
      <c r="Q163" s="1">
        <f t="shared" si="4"/>
        <v>0</v>
      </c>
      <c r="R163" s="1">
        <f t="shared" si="5"/>
        <v>0</v>
      </c>
      <c r="S163" s="6" t="s">
        <v>595</v>
      </c>
    </row>
    <row r="164">
      <c r="A164" s="3" t="str">
        <f t="array" ref="A164">XLOOKUP(B164,Costos_Proveedores!$B$2:$B$2000,Costos_Proveedores!$A$2:$A$2000)</f>
        <v>ESPACIO B</v>
      </c>
      <c r="B164" s="2" t="s">
        <v>596</v>
      </c>
      <c r="C164" s="2" t="s">
        <v>597</v>
      </c>
      <c r="D164" s="2" t="s">
        <v>598</v>
      </c>
      <c r="E164" s="2" t="s">
        <v>31</v>
      </c>
      <c r="F164" s="2">
        <v>0.0</v>
      </c>
      <c r="G164" s="2">
        <v>1.0</v>
      </c>
      <c r="H164" s="3">
        <f t="shared" si="1"/>
        <v>0</v>
      </c>
      <c r="I164" s="2" t="s">
        <v>232</v>
      </c>
      <c r="J164" s="4">
        <f>VLOOKUP(B164,Costos_Proveedores!$B$2:$J$1000,9,FALSE())</f>
        <v>4799</v>
      </c>
      <c r="K164" s="5">
        <f t="shared" si="2"/>
        <v>0</v>
      </c>
      <c r="L164" s="2">
        <v>9.0</v>
      </c>
      <c r="M164" s="2">
        <v>9.0</v>
      </c>
      <c r="N164" s="2">
        <v>0.0</v>
      </c>
      <c r="O164" s="2">
        <v>0.0</v>
      </c>
      <c r="P164" s="1">
        <f t="shared" si="3"/>
        <v>9</v>
      </c>
      <c r="Q164" s="1">
        <f t="shared" si="4"/>
        <v>0</v>
      </c>
      <c r="R164" s="1">
        <f t="shared" si="5"/>
        <v>9</v>
      </c>
      <c r="S164" s="6" t="s">
        <v>599</v>
      </c>
    </row>
    <row r="165">
      <c r="A165" s="3" t="str">
        <f t="array" ref="A165">XLOOKUP(B165,Costos_Proveedores!$B$2:$B$2000,Costos_Proveedores!$A$2:$A$2000)</f>
        <v>ESPACIO B</v>
      </c>
      <c r="B165" s="2" t="s">
        <v>600</v>
      </c>
      <c r="C165" s="2" t="s">
        <v>601</v>
      </c>
      <c r="D165" s="2" t="s">
        <v>602</v>
      </c>
      <c r="E165" s="2" t="s">
        <v>31</v>
      </c>
      <c r="F165" s="2">
        <v>0.0</v>
      </c>
      <c r="G165" s="2">
        <v>1.0</v>
      </c>
      <c r="H165" s="3">
        <f t="shared" si="1"/>
        <v>0</v>
      </c>
      <c r="I165" s="2" t="s">
        <v>232</v>
      </c>
      <c r="J165" s="4">
        <f>VLOOKUP(B165,Costos_Proveedores!$B$2:$J$1000,9,FALSE())</f>
        <v>7723</v>
      </c>
      <c r="K165" s="5">
        <f t="shared" si="2"/>
        <v>0</v>
      </c>
      <c r="L165" s="2"/>
      <c r="M165" s="2"/>
      <c r="N165" s="2"/>
      <c r="O165" s="2"/>
      <c r="P165" s="1">
        <f t="shared" si="3"/>
        <v>0</v>
      </c>
      <c r="Q165" s="1">
        <f t="shared" si="4"/>
        <v>0</v>
      </c>
      <c r="R165" s="1">
        <f t="shared" si="5"/>
        <v>0</v>
      </c>
      <c r="S165" s="6" t="s">
        <v>603</v>
      </c>
    </row>
    <row r="166">
      <c r="A166" s="3" t="str">
        <f t="array" ref="A166">XLOOKUP(B166,Costos_Proveedores!$B$2:$B$2000,Costos_Proveedores!$A$2:$A$2000)</f>
        <v>ESPACIO B</v>
      </c>
      <c r="B166" s="2" t="s">
        <v>604</v>
      </c>
      <c r="C166" s="2" t="s">
        <v>605</v>
      </c>
      <c r="D166" s="2" t="s">
        <v>606</v>
      </c>
      <c r="E166" s="2" t="s">
        <v>31</v>
      </c>
      <c r="F166" s="2">
        <v>0.0</v>
      </c>
      <c r="G166" s="2">
        <v>0.0</v>
      </c>
      <c r="H166" s="3">
        <f t="shared" si="1"/>
        <v>0</v>
      </c>
      <c r="I166" s="2" t="s">
        <v>22</v>
      </c>
      <c r="J166" s="4">
        <f>VLOOKUP(B166,Costos_Proveedores!$B$2:$J$1000,9,FALSE())</f>
        <v>7795</v>
      </c>
      <c r="K166" s="5">
        <f t="shared" si="2"/>
        <v>0</v>
      </c>
      <c r="L166" s="2"/>
      <c r="M166" s="2"/>
      <c r="N166" s="2"/>
      <c r="O166" s="2"/>
      <c r="P166" s="1">
        <f t="shared" si="3"/>
        <v>0</v>
      </c>
      <c r="Q166" s="1">
        <f t="shared" si="4"/>
        <v>0</v>
      </c>
      <c r="R166" s="1">
        <f t="shared" si="5"/>
        <v>0</v>
      </c>
      <c r="S166" s="6" t="s">
        <v>607</v>
      </c>
    </row>
    <row r="167">
      <c r="A167" s="3" t="str">
        <f t="array" ref="A167">XLOOKUP(B167,Costos_Proveedores!$B$2:$B$2000,Costos_Proveedores!$A$2:$A$2000)</f>
        <v>ESPACIO B</v>
      </c>
      <c r="B167" s="2" t="s">
        <v>608</v>
      </c>
      <c r="C167" s="2">
        <v>3.504105035815E12</v>
      </c>
      <c r="D167" s="2" t="s">
        <v>609</v>
      </c>
      <c r="E167" s="2" t="s">
        <v>31</v>
      </c>
      <c r="F167" s="2">
        <v>0.0</v>
      </c>
      <c r="G167" s="2">
        <v>1.0</v>
      </c>
      <c r="H167" s="3">
        <f t="shared" si="1"/>
        <v>0</v>
      </c>
      <c r="I167" s="2" t="s">
        <v>232</v>
      </c>
      <c r="J167" s="4">
        <f>VLOOKUP(B167,Costos_Proveedores!$B$2:$J$1000,9,FALSE())</f>
        <v>3894</v>
      </c>
      <c r="K167" s="5">
        <f t="shared" si="2"/>
        <v>0</v>
      </c>
      <c r="L167" s="2"/>
      <c r="M167" s="2"/>
      <c r="N167" s="2"/>
      <c r="O167" s="2"/>
      <c r="P167" s="1">
        <f t="shared" si="3"/>
        <v>0</v>
      </c>
      <c r="Q167" s="1">
        <f t="shared" si="4"/>
        <v>0</v>
      </c>
      <c r="R167" s="1">
        <f t="shared" si="5"/>
        <v>0</v>
      </c>
      <c r="S167" s="6" t="s">
        <v>610</v>
      </c>
    </row>
    <row r="168">
      <c r="A168" s="3" t="str">
        <f t="array" ref="A168">XLOOKUP(B168,Costos_Proveedores!$B$2:$B$2000,Costos_Proveedores!$A$2:$A$2000)</f>
        <v>ESPACIO B</v>
      </c>
      <c r="B168" s="2" t="s">
        <v>611</v>
      </c>
      <c r="C168" s="2" t="s">
        <v>612</v>
      </c>
      <c r="D168" s="2" t="s">
        <v>613</v>
      </c>
      <c r="E168" s="2" t="s">
        <v>31</v>
      </c>
      <c r="F168" s="2">
        <v>0.0</v>
      </c>
      <c r="G168" s="2">
        <v>1.0</v>
      </c>
      <c r="H168" s="3">
        <f t="shared" si="1"/>
        <v>0</v>
      </c>
      <c r="I168" s="2" t="s">
        <v>232</v>
      </c>
      <c r="J168" s="4">
        <f>VLOOKUP(B168,Costos_Proveedores!$B$2:$J$1000,9,FALSE())</f>
        <v>3293</v>
      </c>
      <c r="K168" s="5">
        <f t="shared" si="2"/>
        <v>0</v>
      </c>
      <c r="L168" s="2"/>
      <c r="M168" s="2"/>
      <c r="N168" s="2"/>
      <c r="O168" s="2"/>
      <c r="P168" s="1">
        <f t="shared" si="3"/>
        <v>0</v>
      </c>
      <c r="Q168" s="1">
        <f t="shared" si="4"/>
        <v>0</v>
      </c>
      <c r="R168" s="1">
        <f t="shared" si="5"/>
        <v>0</v>
      </c>
      <c r="S168" s="6" t="s">
        <v>614</v>
      </c>
    </row>
    <row r="169">
      <c r="A169" s="3" t="str">
        <f t="array" ref="A169">XLOOKUP(B169,Costos_Proveedores!$B$2:$B$2000,Costos_Proveedores!$A$2:$A$2000)</f>
        <v>ESPACIO B</v>
      </c>
      <c r="B169" s="2" t="s">
        <v>615</v>
      </c>
      <c r="C169" s="2">
        <v>4.001499112942E12</v>
      </c>
      <c r="D169" s="2" t="s">
        <v>616</v>
      </c>
      <c r="E169" s="2" t="s">
        <v>31</v>
      </c>
      <c r="G169" s="2">
        <v>4.0</v>
      </c>
      <c r="H169" s="3">
        <f t="shared" si="1"/>
        <v>4</v>
      </c>
      <c r="I169" s="2" t="s">
        <v>22</v>
      </c>
      <c r="J169" s="4">
        <f>VLOOKUP(B169,Costos_Proveedores!$B$2:$J$1000,9,FALSE())</f>
        <v>2843</v>
      </c>
      <c r="K169" s="5">
        <f t="shared" si="2"/>
        <v>11372</v>
      </c>
      <c r="L169" s="2"/>
      <c r="M169" s="2"/>
      <c r="N169" s="2"/>
      <c r="O169" s="2"/>
      <c r="P169" s="1">
        <f t="shared" si="3"/>
        <v>0</v>
      </c>
      <c r="Q169" s="1">
        <f t="shared" si="4"/>
        <v>0</v>
      </c>
      <c r="R169" s="1">
        <f t="shared" si="5"/>
        <v>0</v>
      </c>
      <c r="S169" s="6" t="s">
        <v>617</v>
      </c>
    </row>
    <row r="170">
      <c r="A170" s="3" t="str">
        <f t="array" ref="A170">XLOOKUP(B170,Costos_Proveedores!$B$2:$B$2000,Costos_Proveedores!$A$2:$A$2000)</f>
        <v>PRATER</v>
      </c>
      <c r="B170" s="2" t="s">
        <v>618</v>
      </c>
      <c r="C170" s="2">
        <v>7.804918402375E12</v>
      </c>
      <c r="D170" s="2" t="s">
        <v>619</v>
      </c>
      <c r="E170" s="2" t="s">
        <v>31</v>
      </c>
      <c r="F170" s="2">
        <v>0.0</v>
      </c>
      <c r="G170" s="2">
        <v>1.0</v>
      </c>
      <c r="H170" s="3">
        <f t="shared" si="1"/>
        <v>0</v>
      </c>
      <c r="I170" s="2" t="s">
        <v>232</v>
      </c>
      <c r="J170" s="4">
        <f>VLOOKUP(B170,Costos_Proveedores!$B$2:$J$1000,9,FALSE())</f>
        <v>3298</v>
      </c>
      <c r="K170" s="5">
        <f t="shared" si="2"/>
        <v>0</v>
      </c>
      <c r="L170" s="2"/>
      <c r="M170" s="2"/>
      <c r="N170" s="2"/>
      <c r="O170" s="2"/>
      <c r="P170" s="1">
        <f t="shared" si="3"/>
        <v>0</v>
      </c>
      <c r="Q170" s="1">
        <f t="shared" si="4"/>
        <v>0</v>
      </c>
      <c r="R170" s="1">
        <f t="shared" si="5"/>
        <v>0</v>
      </c>
      <c r="S170" s="6" t="s">
        <v>620</v>
      </c>
    </row>
    <row r="171">
      <c r="A171" s="3" t="str">
        <f t="array" ref="A171">XLOOKUP(B171,Costos_Proveedores!$B$2:$B$2000,Costos_Proveedores!$A$2:$A$2000)</f>
        <v>GSM</v>
      </c>
      <c r="B171" s="2" t="s">
        <v>621</v>
      </c>
      <c r="C171" s="2">
        <v>6.931474789211E12</v>
      </c>
      <c r="D171" s="2" t="s">
        <v>622</v>
      </c>
      <c r="E171" s="2" t="s">
        <v>47</v>
      </c>
      <c r="F171" s="2">
        <v>0.0</v>
      </c>
      <c r="G171" s="2">
        <v>84.0</v>
      </c>
      <c r="H171" s="3">
        <f t="shared" si="1"/>
        <v>84</v>
      </c>
      <c r="I171" s="2" t="s">
        <v>22</v>
      </c>
      <c r="J171" s="4">
        <f>VLOOKUP(B171,Costos_Proveedores!$B$2:$J$1000,9,FALSE())</f>
        <v>8100</v>
      </c>
      <c r="K171" s="5">
        <f t="shared" si="2"/>
        <v>680400</v>
      </c>
      <c r="L171" s="2">
        <v>20.0</v>
      </c>
      <c r="M171" s="2">
        <v>14.0</v>
      </c>
      <c r="N171" s="2">
        <v>6.0</v>
      </c>
      <c r="O171" s="2">
        <v>0.0</v>
      </c>
      <c r="P171" s="1">
        <f t="shared" si="3"/>
        <v>14</v>
      </c>
      <c r="Q171" s="1">
        <f t="shared" si="4"/>
        <v>0</v>
      </c>
      <c r="R171" s="1">
        <f t="shared" si="5"/>
        <v>14</v>
      </c>
      <c r="S171" s="6" t="s">
        <v>623</v>
      </c>
    </row>
    <row r="172">
      <c r="A172" s="3" t="str">
        <f t="array" ref="A172">XLOOKUP(B172,Costos_Proveedores!$B$2:$B$2000,Costos_Proveedores!$A$2:$A$2000)</f>
        <v>MASTERG</v>
      </c>
      <c r="B172" s="2" t="s">
        <v>624</v>
      </c>
      <c r="C172" s="2">
        <v>4.3160296024E11</v>
      </c>
      <c r="D172" s="2" t="s">
        <v>625</v>
      </c>
      <c r="E172" s="2" t="s">
        <v>47</v>
      </c>
      <c r="G172" s="2">
        <v>6.0</v>
      </c>
      <c r="H172" s="3">
        <f t="shared" si="1"/>
        <v>6</v>
      </c>
      <c r="I172" s="2" t="s">
        <v>22</v>
      </c>
      <c r="J172" s="4">
        <f>VLOOKUP(B172,Costos_Proveedores!$B$2:$J$1000,9,FALSE())</f>
        <v>16219</v>
      </c>
      <c r="K172" s="5">
        <f t="shared" si="2"/>
        <v>97314</v>
      </c>
      <c r="L172" s="2"/>
      <c r="M172" s="2"/>
      <c r="N172" s="2"/>
      <c r="O172" s="2"/>
      <c r="P172" s="1">
        <f t="shared" si="3"/>
        <v>0</v>
      </c>
      <c r="Q172" s="1">
        <f t="shared" si="4"/>
        <v>0</v>
      </c>
      <c r="R172" s="1">
        <f t="shared" si="5"/>
        <v>0</v>
      </c>
      <c r="S172" s="6" t="s">
        <v>626</v>
      </c>
    </row>
    <row r="173">
      <c r="A173" s="3" t="str">
        <f t="array" ref="A173">XLOOKUP(B173,Costos_Proveedores!$B$2:$B$2000,Costos_Proveedores!$A$2:$A$2000)</f>
        <v>GSM</v>
      </c>
      <c r="B173" s="2" t="s">
        <v>627</v>
      </c>
      <c r="C173" s="2">
        <v>6.934177789328E12</v>
      </c>
      <c r="D173" s="2" t="s">
        <v>628</v>
      </c>
      <c r="E173" s="2" t="s">
        <v>31</v>
      </c>
      <c r="G173" s="2">
        <v>1.0</v>
      </c>
      <c r="H173" s="3">
        <f t="shared" si="1"/>
        <v>1</v>
      </c>
      <c r="I173" s="2" t="s">
        <v>22</v>
      </c>
      <c r="J173" s="4" t="str">
        <f>VLOOKUP(B173,Costos_Proveedores!$B$2:$J$1000,9,FALSE())</f>
        <v/>
      </c>
      <c r="K173" s="5">
        <f t="shared" si="2"/>
        <v>0</v>
      </c>
      <c r="L173" s="2"/>
      <c r="M173" s="2"/>
      <c r="N173" s="2"/>
      <c r="O173" s="2"/>
      <c r="P173" s="1">
        <f t="shared" si="3"/>
        <v>0</v>
      </c>
      <c r="Q173" s="1">
        <f t="shared" si="4"/>
        <v>0</v>
      </c>
      <c r="R173" s="1">
        <f t="shared" si="5"/>
        <v>0</v>
      </c>
      <c r="S173" s="6" t="s">
        <v>629</v>
      </c>
    </row>
    <row r="174">
      <c r="A174" s="3" t="str">
        <f t="array" ref="A174">XLOOKUP(B174,Costos_Proveedores!$B$2:$B$2000,Costos_Proveedores!$A$2:$A$2000)</f>
        <v>MASTERG</v>
      </c>
      <c r="B174" s="2" t="s">
        <v>630</v>
      </c>
      <c r="C174" s="2">
        <v>4.31602960235E11</v>
      </c>
      <c r="D174" s="2" t="s">
        <v>631</v>
      </c>
      <c r="E174" s="2" t="s">
        <v>31</v>
      </c>
      <c r="F174" s="2">
        <v>0.0</v>
      </c>
      <c r="G174" s="2">
        <v>1.0</v>
      </c>
      <c r="H174" s="3">
        <f t="shared" si="1"/>
        <v>1</v>
      </c>
      <c r="I174" s="2" t="s">
        <v>22</v>
      </c>
      <c r="J174" s="4">
        <f>VLOOKUP(B174,Costos_Proveedores!$B$2:$J$1000,9,FALSE())</f>
        <v>11242</v>
      </c>
      <c r="K174" s="5">
        <f t="shared" si="2"/>
        <v>11242</v>
      </c>
      <c r="L174" s="2"/>
      <c r="M174" s="2"/>
      <c r="N174" s="2"/>
      <c r="O174" s="2"/>
      <c r="P174" s="1">
        <f t="shared" si="3"/>
        <v>0</v>
      </c>
      <c r="Q174" s="1">
        <f t="shared" si="4"/>
        <v>0</v>
      </c>
      <c r="R174" s="1">
        <f t="shared" si="5"/>
        <v>0</v>
      </c>
      <c r="S174" s="6" t="s">
        <v>632</v>
      </c>
    </row>
    <row r="175">
      <c r="A175" s="3" t="str">
        <f t="array" ref="A175">XLOOKUP(B175,Costos_Proveedores!$B$2:$B$2000,Costos_Proveedores!$A$2:$A$2000)</f>
        <v>ZEO SPORT</v>
      </c>
      <c r="B175" s="2" t="s">
        <v>633</v>
      </c>
      <c r="C175" s="2">
        <v>6.14143337437E11</v>
      </c>
      <c r="D175" s="2" t="s">
        <v>634</v>
      </c>
      <c r="E175" s="2" t="s">
        <v>47</v>
      </c>
      <c r="F175" s="2">
        <v>13.0</v>
      </c>
      <c r="G175" s="2">
        <v>1.0</v>
      </c>
      <c r="H175" s="3">
        <f t="shared" si="1"/>
        <v>13</v>
      </c>
      <c r="I175" s="2" t="s">
        <v>232</v>
      </c>
      <c r="J175" s="4">
        <f>VLOOKUP(B175,Costos_Proveedores!$B$2:$J$1000,9,FALSE())</f>
        <v>4284</v>
      </c>
      <c r="K175" s="5">
        <f t="shared" si="2"/>
        <v>55692</v>
      </c>
      <c r="L175" s="2">
        <v>26.0</v>
      </c>
      <c r="M175" s="2"/>
      <c r="N175" s="2"/>
      <c r="O175" s="2"/>
      <c r="P175" s="1">
        <f t="shared" si="3"/>
        <v>0</v>
      </c>
      <c r="Q175" s="1">
        <f t="shared" si="4"/>
        <v>0</v>
      </c>
      <c r="R175" s="1">
        <f t="shared" si="5"/>
        <v>0</v>
      </c>
      <c r="S175" s="6" t="s">
        <v>635</v>
      </c>
    </row>
    <row r="176">
      <c r="A176" s="3" t="str">
        <f t="array" ref="A176">XLOOKUP(B176,Costos_Proveedores!$B$2:$B$2000,Costos_Proveedores!$A$2:$A$2000)</f>
        <v>ESPACIO B</v>
      </c>
      <c r="B176" s="2" t="s">
        <v>636</v>
      </c>
      <c r="C176" s="2">
        <v>4.001499921629E12</v>
      </c>
      <c r="D176" s="2" t="s">
        <v>637</v>
      </c>
      <c r="E176" s="2" t="s">
        <v>31</v>
      </c>
      <c r="G176" s="2">
        <v>1.0</v>
      </c>
      <c r="H176" s="3">
        <f t="shared" si="1"/>
        <v>1</v>
      </c>
      <c r="I176" s="2" t="s">
        <v>22</v>
      </c>
      <c r="J176" s="4">
        <f>VLOOKUP(B176,Costos_Proveedores!$B$2:$J$1000,9,FALSE())</f>
        <v>3875</v>
      </c>
      <c r="K176" s="5">
        <f t="shared" si="2"/>
        <v>3875</v>
      </c>
      <c r="L176" s="2"/>
      <c r="M176" s="2"/>
      <c r="N176" s="2"/>
      <c r="O176" s="2"/>
      <c r="P176" s="1">
        <f t="shared" si="3"/>
        <v>0</v>
      </c>
      <c r="Q176" s="1">
        <f t="shared" si="4"/>
        <v>0</v>
      </c>
      <c r="R176" s="1">
        <f t="shared" si="5"/>
        <v>0</v>
      </c>
      <c r="S176" s="6" t="s">
        <v>638</v>
      </c>
    </row>
    <row r="177">
      <c r="A177" s="3" t="str">
        <f t="array" ref="A177">XLOOKUP(B177,Costos_Proveedores!$B$2:$B$2000,Costos_Proveedores!$A$2:$A$2000)</f>
        <v>GERMAN-ENERGY</v>
      </c>
      <c r="B177" s="2" t="s">
        <v>639</v>
      </c>
      <c r="C177" s="2">
        <v>7.804671180121E12</v>
      </c>
      <c r="D177" s="2" t="s">
        <v>640</v>
      </c>
      <c r="E177" s="2" t="s">
        <v>31</v>
      </c>
      <c r="F177" s="2">
        <v>0.0</v>
      </c>
      <c r="G177" s="2">
        <v>39.0</v>
      </c>
      <c r="H177" s="3">
        <f t="shared" si="1"/>
        <v>0</v>
      </c>
      <c r="I177" s="2" t="s">
        <v>232</v>
      </c>
      <c r="J177" s="4">
        <f>VLOOKUP(B177,Costos_Proveedores!$B$2:$J$1000,9,FALSE())</f>
        <v>2435</v>
      </c>
      <c r="K177" s="5">
        <f t="shared" si="2"/>
        <v>0</v>
      </c>
      <c r="L177" s="2"/>
      <c r="M177" s="2"/>
      <c r="N177" s="2"/>
      <c r="O177" s="2"/>
      <c r="P177" s="1">
        <f t="shared" si="3"/>
        <v>0</v>
      </c>
      <c r="Q177" s="1">
        <f t="shared" si="4"/>
        <v>0</v>
      </c>
      <c r="R177" s="1">
        <f t="shared" si="5"/>
        <v>0</v>
      </c>
      <c r="S177" s="6" t="s">
        <v>641</v>
      </c>
    </row>
    <row r="178">
      <c r="A178" s="3" t="str">
        <f t="array" ref="A178">XLOOKUP(B178,Costos_Proveedores!$B$2:$B$2000,Costos_Proveedores!$A$2:$A$2000)</f>
        <v>GERMAN-ENERGY</v>
      </c>
      <c r="B178" s="2" t="s">
        <v>642</v>
      </c>
      <c r="C178" s="2">
        <v>7.804671180718E12</v>
      </c>
      <c r="D178" s="2" t="s">
        <v>643</v>
      </c>
      <c r="E178" s="2" t="s">
        <v>31</v>
      </c>
      <c r="F178" s="2">
        <v>0.0</v>
      </c>
      <c r="G178" s="2">
        <v>21.0</v>
      </c>
      <c r="H178" s="3">
        <f t="shared" si="1"/>
        <v>0</v>
      </c>
      <c r="I178" s="2" t="s">
        <v>232</v>
      </c>
      <c r="J178" s="4">
        <f>VLOOKUP(B178,Costos_Proveedores!$B$2:$J$1000,9,FALSE())</f>
        <v>4748</v>
      </c>
      <c r="K178" s="5">
        <f t="shared" si="2"/>
        <v>0</v>
      </c>
      <c r="L178" s="2"/>
      <c r="M178" s="2"/>
      <c r="N178" s="2"/>
      <c r="O178" s="2"/>
      <c r="P178" s="1">
        <f t="shared" si="3"/>
        <v>0</v>
      </c>
      <c r="Q178" s="1">
        <f t="shared" si="4"/>
        <v>0</v>
      </c>
      <c r="R178" s="1">
        <f t="shared" si="5"/>
        <v>0</v>
      </c>
      <c r="S178" s="6" t="s">
        <v>644</v>
      </c>
    </row>
    <row r="179">
      <c r="A179" s="3" t="str">
        <f t="array" ref="A179">XLOOKUP(B179,Costos_Proveedores!$B$2:$B$2000,Costos_Proveedores!$A$2:$A$2000)</f>
        <v>GERMAN-ENERGY</v>
      </c>
      <c r="B179" s="2" t="s">
        <v>645</v>
      </c>
      <c r="C179" s="2">
        <v>7.804671180145E12</v>
      </c>
      <c r="D179" s="2" t="s">
        <v>646</v>
      </c>
      <c r="E179" s="2" t="s">
        <v>31</v>
      </c>
      <c r="G179" s="2">
        <v>3.0</v>
      </c>
      <c r="H179" s="3">
        <f t="shared" si="1"/>
        <v>3</v>
      </c>
      <c r="I179" s="2" t="s">
        <v>22</v>
      </c>
      <c r="J179" s="4">
        <f>VLOOKUP(B179,Costos_Proveedores!$B$2:$J$1000,9,FALSE())</f>
        <v>6105</v>
      </c>
      <c r="K179" s="5">
        <f t="shared" si="2"/>
        <v>18315</v>
      </c>
      <c r="L179" s="2"/>
      <c r="M179" s="2"/>
      <c r="N179" s="2"/>
      <c r="O179" s="2"/>
      <c r="P179" s="1">
        <f t="shared" si="3"/>
        <v>0</v>
      </c>
      <c r="Q179" s="1">
        <f t="shared" si="4"/>
        <v>0</v>
      </c>
      <c r="R179" s="1">
        <f t="shared" si="5"/>
        <v>0</v>
      </c>
      <c r="S179" s="6" t="s">
        <v>647</v>
      </c>
    </row>
    <row r="180">
      <c r="A180" s="3" t="str">
        <f t="array" ref="A180">XLOOKUP(B180,Costos_Proveedores!$B$2:$B$2000,Costos_Proveedores!$A$2:$A$2000)</f>
        <v>LALOBERIA</v>
      </c>
      <c r="B180" s="2" t="s">
        <v>648</v>
      </c>
      <c r="C180" s="2" t="s">
        <v>649</v>
      </c>
      <c r="D180" s="2" t="s">
        <v>650</v>
      </c>
      <c r="E180" s="2" t="s">
        <v>47</v>
      </c>
      <c r="F180" s="2">
        <v>1.0</v>
      </c>
      <c r="G180" s="2">
        <v>1.0</v>
      </c>
      <c r="H180" s="3">
        <f t="shared" si="1"/>
        <v>1</v>
      </c>
      <c r="I180" s="2" t="s">
        <v>232</v>
      </c>
      <c r="J180" s="4">
        <f>VLOOKUP(B180,Costos_Proveedores!$B$2:$J$1000,9,FALSE())</f>
        <v>3773</v>
      </c>
      <c r="K180" s="5">
        <f t="shared" si="2"/>
        <v>3773</v>
      </c>
      <c r="L180" s="2">
        <v>72.0</v>
      </c>
      <c r="M180" s="2">
        <v>69.0</v>
      </c>
      <c r="N180" s="2">
        <v>0.0</v>
      </c>
      <c r="O180" s="2">
        <v>0.0</v>
      </c>
      <c r="P180" s="1">
        <f t="shared" si="3"/>
        <v>68</v>
      </c>
      <c r="Q180" s="1">
        <f t="shared" si="4"/>
        <v>0</v>
      </c>
      <c r="R180" s="1">
        <f t="shared" si="5"/>
        <v>68</v>
      </c>
      <c r="S180" s="6" t="s">
        <v>651</v>
      </c>
    </row>
    <row r="181">
      <c r="A181" s="3" t="str">
        <f t="array" ref="A181">XLOOKUP(B181,Costos_Proveedores!$B$2:$B$2000,Costos_Proveedores!$A$2:$A$2000)</f>
        <v>GERMAN-ENERGY</v>
      </c>
      <c r="B181" s="2" t="s">
        <v>652</v>
      </c>
      <c r="C181" s="2">
        <v>7.804671180107E12</v>
      </c>
      <c r="D181" s="2" t="s">
        <v>653</v>
      </c>
      <c r="E181" s="2" t="s">
        <v>31</v>
      </c>
      <c r="F181" s="2">
        <v>0.0</v>
      </c>
      <c r="G181" s="2">
        <v>62.0</v>
      </c>
      <c r="H181" s="3">
        <f t="shared" si="1"/>
        <v>0</v>
      </c>
      <c r="I181" s="2" t="s">
        <v>232</v>
      </c>
      <c r="J181" s="4">
        <f>VLOOKUP(B181,Costos_Proveedores!$B$2:$J$1000,9,FALSE())</f>
        <v>1660</v>
      </c>
      <c r="K181" s="5">
        <f t="shared" si="2"/>
        <v>0</v>
      </c>
      <c r="L181" s="2"/>
      <c r="M181" s="2"/>
      <c r="N181" s="2"/>
      <c r="O181" s="2"/>
      <c r="P181" s="1">
        <f t="shared" si="3"/>
        <v>0</v>
      </c>
      <c r="Q181" s="1">
        <f t="shared" si="4"/>
        <v>0</v>
      </c>
      <c r="R181" s="1">
        <f t="shared" si="5"/>
        <v>0</v>
      </c>
      <c r="S181" s="6" t="s">
        <v>654</v>
      </c>
    </row>
    <row r="182">
      <c r="A182" s="3" t="str">
        <f t="array" ref="A182">XLOOKUP(B182,Costos_Proveedores!$B$2:$B$2000,Costos_Proveedores!$A$2:$A$2000)</f>
        <v>ESPACIO B</v>
      </c>
      <c r="B182" s="2" t="s">
        <v>655</v>
      </c>
      <c r="C182" s="2" t="s">
        <v>656</v>
      </c>
      <c r="D182" s="2" t="s">
        <v>657</v>
      </c>
      <c r="E182" s="2" t="s">
        <v>31</v>
      </c>
      <c r="F182" s="2">
        <v>0.0</v>
      </c>
      <c r="G182" s="2">
        <v>1.0</v>
      </c>
      <c r="H182" s="3">
        <f t="shared" si="1"/>
        <v>0</v>
      </c>
      <c r="I182" s="2" t="s">
        <v>232</v>
      </c>
      <c r="J182" s="4">
        <f>VLOOKUP(B182,Costos_Proveedores!$B$2:$J$1000,9,FALSE())</f>
        <v>3834</v>
      </c>
      <c r="K182" s="5">
        <f t="shared" si="2"/>
        <v>0</v>
      </c>
      <c r="L182" s="2"/>
      <c r="M182" s="2"/>
      <c r="N182" s="2"/>
      <c r="O182" s="2"/>
      <c r="P182" s="1">
        <f t="shared" si="3"/>
        <v>0</v>
      </c>
      <c r="Q182" s="1">
        <f t="shared" si="4"/>
        <v>0</v>
      </c>
      <c r="R182" s="1">
        <f t="shared" si="5"/>
        <v>0</v>
      </c>
      <c r="S182" s="6" t="s">
        <v>658</v>
      </c>
    </row>
    <row r="183">
      <c r="A183" s="3" t="str">
        <f t="array" ref="A183">XLOOKUP(B183,Costos_Proveedores!$B$2:$B$2000,Costos_Proveedores!$A$2:$A$2000)</f>
        <v>ESPACIO B</v>
      </c>
      <c r="B183" s="2" t="s">
        <v>659</v>
      </c>
      <c r="C183" s="2" t="s">
        <v>660</v>
      </c>
      <c r="D183" s="2" t="s">
        <v>661</v>
      </c>
      <c r="E183" s="2" t="s">
        <v>31</v>
      </c>
      <c r="F183" s="2">
        <v>0.0</v>
      </c>
      <c r="G183" s="2">
        <v>1.0</v>
      </c>
      <c r="H183" s="3">
        <f t="shared" si="1"/>
        <v>0</v>
      </c>
      <c r="I183" s="2" t="s">
        <v>232</v>
      </c>
      <c r="J183" s="4">
        <f>VLOOKUP(B183,Costos_Proveedores!$B$2:$J$1000,9,FALSE())</f>
        <v>3834</v>
      </c>
      <c r="K183" s="5">
        <f t="shared" si="2"/>
        <v>0</v>
      </c>
      <c r="L183" s="2"/>
      <c r="M183" s="2"/>
      <c r="N183" s="2"/>
      <c r="O183" s="2"/>
      <c r="P183" s="1">
        <f t="shared" si="3"/>
        <v>0</v>
      </c>
      <c r="Q183" s="1">
        <f t="shared" si="4"/>
        <v>0</v>
      </c>
      <c r="R183" s="1">
        <f t="shared" si="5"/>
        <v>0</v>
      </c>
      <c r="S183" s="6" t="s">
        <v>662</v>
      </c>
    </row>
    <row r="184">
      <c r="A184" s="3" t="str">
        <f t="array" ref="A184">XLOOKUP(B184,Costos_Proveedores!$B$2:$B$2000,Costos_Proveedores!$A$2:$A$2000)</f>
        <v>GERMAN-ENERGY</v>
      </c>
      <c r="B184" s="2" t="s">
        <v>663</v>
      </c>
      <c r="C184" s="2">
        <v>7.804665350134E12</v>
      </c>
      <c r="D184" s="2" t="s">
        <v>664</v>
      </c>
      <c r="E184" s="2" t="s">
        <v>31</v>
      </c>
      <c r="F184" s="2">
        <v>0.0</v>
      </c>
      <c r="G184" s="2">
        <v>10.0</v>
      </c>
      <c r="H184" s="3">
        <f t="shared" si="1"/>
        <v>0</v>
      </c>
      <c r="I184" s="2" t="s">
        <v>232</v>
      </c>
      <c r="J184" s="4">
        <f>VLOOKUP(B184,Costos_Proveedores!$B$2:$J$1000,9,FALSE())</f>
        <v>3862</v>
      </c>
      <c r="K184" s="5">
        <f t="shared" si="2"/>
        <v>0</v>
      </c>
      <c r="L184" s="2"/>
      <c r="M184" s="2"/>
      <c r="N184" s="2"/>
      <c r="O184" s="2"/>
      <c r="P184" s="1">
        <f t="shared" si="3"/>
        <v>0</v>
      </c>
      <c r="Q184" s="1">
        <f t="shared" si="4"/>
        <v>0</v>
      </c>
      <c r="R184" s="1">
        <f t="shared" si="5"/>
        <v>0</v>
      </c>
      <c r="S184" s="6" t="s">
        <v>665</v>
      </c>
    </row>
    <row r="185">
      <c r="A185" s="3" t="str">
        <f t="array" ref="A185">XLOOKUP(B185,Costos_Proveedores!$B$2:$B$2000,Costos_Proveedores!$A$2:$A$2000)</f>
        <v>PRATER</v>
      </c>
      <c r="B185" s="2" t="s">
        <v>666</v>
      </c>
      <c r="C185" s="2">
        <v>7.804918404034E12</v>
      </c>
      <c r="D185" s="2" t="s">
        <v>667</v>
      </c>
      <c r="E185" s="2" t="s">
        <v>31</v>
      </c>
      <c r="F185" s="2">
        <v>0.0</v>
      </c>
      <c r="G185" s="2">
        <v>1.0</v>
      </c>
      <c r="H185" s="3">
        <f t="shared" si="1"/>
        <v>0</v>
      </c>
      <c r="I185" s="2" t="s">
        <v>232</v>
      </c>
      <c r="J185" s="4">
        <f>VLOOKUP(B185,Costos_Proveedores!$B$2:$J$1000,9,FALSE())</f>
        <v>2943</v>
      </c>
      <c r="K185" s="5">
        <f t="shared" si="2"/>
        <v>0</v>
      </c>
      <c r="L185" s="2"/>
      <c r="M185" s="2"/>
      <c r="N185" s="2"/>
      <c r="O185" s="2"/>
      <c r="P185" s="1">
        <f t="shared" si="3"/>
        <v>0</v>
      </c>
      <c r="Q185" s="1">
        <f t="shared" si="4"/>
        <v>0</v>
      </c>
      <c r="R185" s="1">
        <f t="shared" si="5"/>
        <v>0</v>
      </c>
      <c r="S185" s="6" t="s">
        <v>668</v>
      </c>
    </row>
    <row r="186">
      <c r="A186" s="3" t="str">
        <f t="array" ref="A186">XLOOKUP(B186,Costos_Proveedores!$B$2:$B$2000,Costos_Proveedores!$A$2:$A$2000)</f>
        <v>ESPACIO B</v>
      </c>
      <c r="B186" s="2" t="s">
        <v>669</v>
      </c>
      <c r="C186" s="2">
        <v>3.504105025786E12</v>
      </c>
      <c r="D186" s="2" t="s">
        <v>670</v>
      </c>
      <c r="E186" s="2" t="s">
        <v>31</v>
      </c>
      <c r="F186" s="2">
        <v>0.0</v>
      </c>
      <c r="G186" s="2">
        <v>6.0</v>
      </c>
      <c r="H186" s="3">
        <f t="shared" si="1"/>
        <v>0</v>
      </c>
      <c r="I186" s="2" t="s">
        <v>232</v>
      </c>
      <c r="J186" s="4">
        <f>VLOOKUP(B186,Costos_Proveedores!$B$2:$J$1000,9,FALSE())</f>
        <v>3174</v>
      </c>
      <c r="K186" s="5">
        <f t="shared" si="2"/>
        <v>0</v>
      </c>
      <c r="L186" s="2"/>
      <c r="M186" s="2"/>
      <c r="N186" s="2"/>
      <c r="O186" s="2"/>
      <c r="P186" s="1">
        <f t="shared" si="3"/>
        <v>0</v>
      </c>
      <c r="Q186" s="1">
        <f t="shared" si="4"/>
        <v>0</v>
      </c>
      <c r="R186" s="1">
        <f t="shared" si="5"/>
        <v>0</v>
      </c>
      <c r="S186" s="6" t="s">
        <v>671</v>
      </c>
    </row>
    <row r="187">
      <c r="A187" s="3" t="str">
        <f t="array" ref="A187">XLOOKUP(B187,Costos_Proveedores!$B$2:$B$2000,Costos_Proveedores!$A$2:$A$2000)</f>
        <v>BLENDS N TEA</v>
      </c>
      <c r="B187" s="2" t="s">
        <v>672</v>
      </c>
      <c r="C187" s="2" t="s">
        <v>673</v>
      </c>
      <c r="D187" s="2" t="s">
        <v>674</v>
      </c>
      <c r="E187" s="2" t="s">
        <v>31</v>
      </c>
      <c r="F187" s="2">
        <v>0.0</v>
      </c>
      <c r="G187" s="2">
        <v>2.0</v>
      </c>
      <c r="H187" s="3">
        <f t="shared" si="1"/>
        <v>0</v>
      </c>
      <c r="I187" s="2" t="s">
        <v>232</v>
      </c>
      <c r="J187" s="4">
        <f>VLOOKUP(B187,Costos_Proveedores!$B$2:$J$1000,9,FALSE())</f>
        <v>12054</v>
      </c>
      <c r="K187" s="5">
        <f t="shared" si="2"/>
        <v>0</v>
      </c>
      <c r="L187" s="2"/>
      <c r="M187" s="2"/>
      <c r="N187" s="2"/>
      <c r="O187" s="2"/>
      <c r="P187" s="1">
        <f t="shared" si="3"/>
        <v>0</v>
      </c>
      <c r="Q187" s="1">
        <f t="shared" si="4"/>
        <v>0</v>
      </c>
      <c r="R187" s="1">
        <f t="shared" si="5"/>
        <v>0</v>
      </c>
      <c r="S187" s="6" t="s">
        <v>675</v>
      </c>
    </row>
    <row r="188">
      <c r="A188" s="3" t="str">
        <f t="array" ref="A188">XLOOKUP(B188,Costos_Proveedores!$B$2:$B$2000,Costos_Proveedores!$A$2:$A$2000)</f>
        <v>ESPACIO B</v>
      </c>
      <c r="B188" s="2" t="s">
        <v>676</v>
      </c>
      <c r="C188" s="2">
        <v>7.750075060685E12</v>
      </c>
      <c r="D188" s="2" t="s">
        <v>677</v>
      </c>
      <c r="E188" s="2" t="s">
        <v>31</v>
      </c>
      <c r="G188" s="2">
        <v>1.0</v>
      </c>
      <c r="H188" s="3">
        <f t="shared" si="1"/>
        <v>1</v>
      </c>
      <c r="I188" s="2" t="s">
        <v>22</v>
      </c>
      <c r="J188" s="4">
        <f>VLOOKUP(B188,Costos_Proveedores!$B$2:$J$1000,9,FALSE())</f>
        <v>5009</v>
      </c>
      <c r="K188" s="5">
        <f t="shared" si="2"/>
        <v>5009</v>
      </c>
      <c r="L188" s="2"/>
      <c r="M188" s="2"/>
      <c r="N188" s="2"/>
      <c r="O188" s="2"/>
      <c r="P188" s="1">
        <f t="shared" si="3"/>
        <v>0</v>
      </c>
      <c r="Q188" s="1">
        <f t="shared" si="4"/>
        <v>0</v>
      </c>
      <c r="R188" s="1">
        <f t="shared" si="5"/>
        <v>0</v>
      </c>
      <c r="S188" s="6" t="s">
        <v>678</v>
      </c>
    </row>
    <row r="189">
      <c r="A189" s="3" t="str">
        <f t="array" ref="A189">XLOOKUP(B189,Costos_Proveedores!$B$2:$B$2000,Costos_Proveedores!$A$2:$A$2000)</f>
        <v>GSM</v>
      </c>
      <c r="B189" s="2" t="s">
        <v>679</v>
      </c>
      <c r="C189" s="2">
        <v>6.942007606646E12</v>
      </c>
      <c r="D189" s="2" t="s">
        <v>680</v>
      </c>
      <c r="E189" s="2" t="s">
        <v>47</v>
      </c>
      <c r="F189" s="2">
        <v>0.0</v>
      </c>
      <c r="G189" s="2">
        <v>83.0</v>
      </c>
      <c r="H189" s="3">
        <f t="shared" si="1"/>
        <v>83</v>
      </c>
      <c r="I189" s="2" t="s">
        <v>22</v>
      </c>
      <c r="J189" s="4">
        <f>VLOOKUP(B189,Costos_Proveedores!$B$2:$J$1000,9,FALSE())</f>
        <v>5400</v>
      </c>
      <c r="K189" s="5">
        <f t="shared" si="2"/>
        <v>448200</v>
      </c>
      <c r="L189" s="2">
        <v>5.0</v>
      </c>
      <c r="M189" s="2">
        <v>0.0</v>
      </c>
      <c r="N189" s="2">
        <v>5.0</v>
      </c>
      <c r="O189" s="2">
        <v>0.0</v>
      </c>
      <c r="P189" s="1">
        <f t="shared" si="3"/>
        <v>0</v>
      </c>
      <c r="Q189" s="1">
        <f t="shared" si="4"/>
        <v>0</v>
      </c>
      <c r="R189" s="1">
        <f t="shared" si="5"/>
        <v>0</v>
      </c>
      <c r="S189" s="6" t="s">
        <v>681</v>
      </c>
    </row>
    <row r="190">
      <c r="A190" s="3" t="str">
        <f t="array" ref="A190">XLOOKUP(B190,Costos_Proveedores!$B$2:$B$2000,Costos_Proveedores!$A$2:$A$2000)</f>
        <v>GSM</v>
      </c>
      <c r="B190" s="2" t="s">
        <v>682</v>
      </c>
      <c r="C190" s="2">
        <v>6.931474782519E12</v>
      </c>
      <c r="D190" s="2" t="s">
        <v>683</v>
      </c>
      <c r="E190" s="2" t="s">
        <v>31</v>
      </c>
      <c r="F190" s="2">
        <v>0.0</v>
      </c>
      <c r="G190" s="2">
        <v>1.0</v>
      </c>
      <c r="H190" s="3">
        <f t="shared" si="1"/>
        <v>1</v>
      </c>
      <c r="I190" s="2" t="s">
        <v>22</v>
      </c>
      <c r="J190" s="4">
        <f>VLOOKUP(B190,Costos_Proveedores!$B$2:$J$1000,9,FALSE())</f>
        <v>19800</v>
      </c>
      <c r="K190" s="5">
        <f t="shared" si="2"/>
        <v>19800</v>
      </c>
      <c r="L190" s="2"/>
      <c r="M190" s="2"/>
      <c r="N190" s="2"/>
      <c r="O190" s="2"/>
      <c r="P190" s="1">
        <f t="shared" si="3"/>
        <v>0</v>
      </c>
      <c r="Q190" s="1">
        <f t="shared" si="4"/>
        <v>0</v>
      </c>
      <c r="R190" s="1">
        <f t="shared" si="5"/>
        <v>0</v>
      </c>
      <c r="S190" s="6" t="s">
        <v>684</v>
      </c>
    </row>
    <row r="191">
      <c r="A191" s="3" t="str">
        <f t="array" ref="A191">XLOOKUP(B191,Costos_Proveedores!$B$2:$B$2000,Costos_Proveedores!$A$2:$A$2000)</f>
        <v>ESPACIO B</v>
      </c>
      <c r="B191" s="2" t="s">
        <v>685</v>
      </c>
      <c r="C191" s="2" t="s">
        <v>686</v>
      </c>
      <c r="D191" s="2" t="s">
        <v>687</v>
      </c>
      <c r="E191" s="2" t="s">
        <v>31</v>
      </c>
      <c r="G191" s="2">
        <v>1.0</v>
      </c>
      <c r="H191" s="3">
        <f t="shared" si="1"/>
        <v>1</v>
      </c>
      <c r="I191" s="2" t="s">
        <v>22</v>
      </c>
      <c r="J191" s="4">
        <f>VLOOKUP(B191,Costos_Proveedores!$B$2:$J$1000,9,FALSE())</f>
        <v>5009</v>
      </c>
      <c r="K191" s="5">
        <f t="shared" si="2"/>
        <v>5009</v>
      </c>
      <c r="L191" s="2"/>
      <c r="M191" s="2"/>
      <c r="N191" s="2"/>
      <c r="O191" s="2"/>
      <c r="P191" s="1">
        <f t="shared" si="3"/>
        <v>0</v>
      </c>
      <c r="Q191" s="1">
        <f t="shared" si="4"/>
        <v>0</v>
      </c>
      <c r="R191" s="1">
        <f t="shared" si="5"/>
        <v>0</v>
      </c>
      <c r="S191" s="6" t="s">
        <v>688</v>
      </c>
    </row>
    <row r="192">
      <c r="A192" s="3" t="str">
        <f t="array" ref="A192">XLOOKUP(B192,Costos_Proveedores!$B$2:$B$2000,Costos_Proveedores!$A$2:$A$2000)</f>
        <v>PRATER</v>
      </c>
      <c r="B192" s="2" t="s">
        <v>689</v>
      </c>
      <c r="C192" s="2">
        <v>7.804918404072E12</v>
      </c>
      <c r="D192" s="2" t="s">
        <v>690</v>
      </c>
      <c r="E192" s="2" t="s">
        <v>31</v>
      </c>
      <c r="F192" s="2">
        <v>0.0</v>
      </c>
      <c r="G192" s="2">
        <v>1.0</v>
      </c>
      <c r="H192" s="3">
        <f t="shared" si="1"/>
        <v>0</v>
      </c>
      <c r="I192" s="2" t="s">
        <v>232</v>
      </c>
      <c r="J192" s="4">
        <f>VLOOKUP(B192,Costos_Proveedores!$B$2:$J$1000,9,FALSE())</f>
        <v>2860</v>
      </c>
      <c r="K192" s="5">
        <f t="shared" si="2"/>
        <v>0</v>
      </c>
      <c r="L192" s="2"/>
      <c r="M192" s="2"/>
      <c r="N192" s="2"/>
      <c r="O192" s="2"/>
      <c r="P192" s="1">
        <f t="shared" si="3"/>
        <v>0</v>
      </c>
      <c r="Q192" s="1">
        <f t="shared" si="4"/>
        <v>0</v>
      </c>
      <c r="R192" s="1">
        <f t="shared" si="5"/>
        <v>0</v>
      </c>
      <c r="S192" s="6" t="s">
        <v>691</v>
      </c>
    </row>
    <row r="193">
      <c r="A193" s="3" t="str">
        <f t="array" ref="A193">XLOOKUP(B193,Costos_Proveedores!$B$2:$B$2000,Costos_Proveedores!$A$2:$A$2000)</f>
        <v>ESPACIO B</v>
      </c>
      <c r="B193" s="2" t="s">
        <v>692</v>
      </c>
      <c r="C193" s="2" t="s">
        <v>693</v>
      </c>
      <c r="D193" s="2" t="s">
        <v>694</v>
      </c>
      <c r="E193" s="2" t="s">
        <v>31</v>
      </c>
      <c r="F193" s="2">
        <v>0.0</v>
      </c>
      <c r="G193" s="2">
        <v>1.0</v>
      </c>
      <c r="H193" s="3">
        <f t="shared" si="1"/>
        <v>0</v>
      </c>
      <c r="I193" s="2" t="s">
        <v>232</v>
      </c>
      <c r="J193" s="4">
        <f>VLOOKUP(B193,Costos_Proveedores!$B$2:$J$1000,9,FALSE())</f>
        <v>3596</v>
      </c>
      <c r="K193" s="5">
        <f t="shared" si="2"/>
        <v>0</v>
      </c>
      <c r="L193" s="2"/>
      <c r="M193" s="2"/>
      <c r="N193" s="2"/>
      <c r="O193" s="2"/>
      <c r="P193" s="1">
        <f t="shared" si="3"/>
        <v>0</v>
      </c>
      <c r="Q193" s="1">
        <f t="shared" si="4"/>
        <v>0</v>
      </c>
      <c r="R193" s="1">
        <f t="shared" si="5"/>
        <v>0</v>
      </c>
      <c r="S193" s="6" t="s">
        <v>695</v>
      </c>
    </row>
    <row r="194">
      <c r="A194" s="3" t="str">
        <f t="array" ref="A194">XLOOKUP(B194,Costos_Proveedores!$B$2:$B$2000,Costos_Proveedores!$A$2:$A$2000)</f>
        <v>PRATER</v>
      </c>
      <c r="B194" s="2" t="s">
        <v>696</v>
      </c>
      <c r="C194" s="2">
        <v>7.804918450697E12</v>
      </c>
      <c r="D194" s="2" t="s">
        <v>697</v>
      </c>
      <c r="E194" s="2" t="s">
        <v>31</v>
      </c>
      <c r="F194" s="2">
        <v>0.0</v>
      </c>
      <c r="G194" s="2">
        <v>1.0</v>
      </c>
      <c r="H194" s="3">
        <f t="shared" si="1"/>
        <v>0</v>
      </c>
      <c r="I194" s="2" t="s">
        <v>232</v>
      </c>
      <c r="J194" s="4">
        <f>VLOOKUP(B194,Costos_Proveedores!$B$2:$J$1000,9,FALSE())</f>
        <v>2447</v>
      </c>
      <c r="K194" s="5">
        <f t="shared" si="2"/>
        <v>0</v>
      </c>
      <c r="L194" s="2"/>
      <c r="M194" s="2"/>
      <c r="N194" s="2"/>
      <c r="O194" s="2"/>
      <c r="P194" s="1">
        <f t="shared" si="3"/>
        <v>0</v>
      </c>
      <c r="Q194" s="1">
        <f t="shared" si="4"/>
        <v>0</v>
      </c>
      <c r="R194" s="1">
        <f t="shared" si="5"/>
        <v>0</v>
      </c>
      <c r="S194" s="6" t="s">
        <v>698</v>
      </c>
    </row>
    <row r="195">
      <c r="A195" s="3" t="str">
        <f t="array" ref="A195">XLOOKUP(B195,Costos_Proveedores!$B$2:$B$2000,Costos_Proveedores!$A$2:$A$2000)</f>
        <v>ESPACIO B</v>
      </c>
      <c r="B195" s="2" t="s">
        <v>699</v>
      </c>
      <c r="C195" s="2" t="s">
        <v>700</v>
      </c>
      <c r="D195" s="2" t="s">
        <v>701</v>
      </c>
      <c r="E195" s="2" t="s">
        <v>31</v>
      </c>
      <c r="F195" s="2">
        <v>0.0</v>
      </c>
      <c r="G195" s="2">
        <v>1.0</v>
      </c>
      <c r="H195" s="3">
        <f t="shared" si="1"/>
        <v>0</v>
      </c>
      <c r="I195" s="2" t="s">
        <v>232</v>
      </c>
      <c r="J195" s="4">
        <f>VLOOKUP(B195,Costos_Proveedores!$B$2:$J$1000,9,FALSE())</f>
        <v>5009</v>
      </c>
      <c r="K195" s="5">
        <f t="shared" si="2"/>
        <v>0</v>
      </c>
      <c r="L195" s="2"/>
      <c r="M195" s="2"/>
      <c r="N195" s="2"/>
      <c r="O195" s="2"/>
      <c r="P195" s="1">
        <f t="shared" si="3"/>
        <v>0</v>
      </c>
      <c r="Q195" s="1">
        <f t="shared" si="4"/>
        <v>0</v>
      </c>
      <c r="R195" s="1">
        <f t="shared" si="5"/>
        <v>0</v>
      </c>
      <c r="S195" s="6" t="s">
        <v>702</v>
      </c>
    </row>
    <row r="196">
      <c r="A196" s="3" t="str">
        <f t="array" ref="A196">XLOOKUP(B196,Costos_Proveedores!$B$2:$B$2000,Costos_Proveedores!$A$2:$A$2000)</f>
        <v>PRATER</v>
      </c>
      <c r="B196" s="2" t="s">
        <v>703</v>
      </c>
      <c r="C196" s="2">
        <v>7.804918401651E12</v>
      </c>
      <c r="D196" s="2" t="s">
        <v>704</v>
      </c>
      <c r="E196" s="2" t="s">
        <v>31</v>
      </c>
      <c r="F196" s="2">
        <v>0.0</v>
      </c>
      <c r="G196" s="2">
        <v>1.0</v>
      </c>
      <c r="H196" s="3">
        <f t="shared" si="1"/>
        <v>0</v>
      </c>
      <c r="I196" s="2" t="s">
        <v>232</v>
      </c>
      <c r="J196" s="4">
        <f>VLOOKUP(B196,Costos_Proveedores!$B$2:$J$1000,9,FALSE())</f>
        <v>2844</v>
      </c>
      <c r="K196" s="5">
        <f t="shared" si="2"/>
        <v>0</v>
      </c>
      <c r="L196" s="2">
        <v>1.0</v>
      </c>
      <c r="M196" s="2">
        <v>1.0</v>
      </c>
      <c r="N196" s="2">
        <v>0.0</v>
      </c>
      <c r="O196" s="2">
        <v>0.0</v>
      </c>
      <c r="P196" s="1">
        <f t="shared" si="3"/>
        <v>1</v>
      </c>
      <c r="Q196" s="1">
        <f t="shared" si="4"/>
        <v>0</v>
      </c>
      <c r="R196" s="1">
        <f t="shared" si="5"/>
        <v>1</v>
      </c>
      <c r="S196" s="6" t="s">
        <v>705</v>
      </c>
    </row>
    <row r="197">
      <c r="A197" s="3" t="str">
        <f t="array" ref="A197">XLOOKUP(B197,Costos_Proveedores!$B$2:$B$2000,Costos_Proveedores!$A$2:$A$2000)</f>
        <v>PRATER</v>
      </c>
      <c r="B197" s="2" t="s">
        <v>706</v>
      </c>
      <c r="C197" s="2">
        <v>7.804918451595E12</v>
      </c>
      <c r="D197" s="2" t="s">
        <v>707</v>
      </c>
      <c r="E197" s="2" t="s">
        <v>31</v>
      </c>
      <c r="F197" s="2">
        <v>0.0</v>
      </c>
      <c r="G197" s="2">
        <v>1.0</v>
      </c>
      <c r="H197" s="3">
        <f t="shared" si="1"/>
        <v>0</v>
      </c>
      <c r="I197" s="2" t="s">
        <v>232</v>
      </c>
      <c r="J197" s="4">
        <f>VLOOKUP(B197,Costos_Proveedores!$B$2:$J$1000,9,FALSE())</f>
        <v>11389</v>
      </c>
      <c r="K197" s="5">
        <f t="shared" si="2"/>
        <v>0</v>
      </c>
      <c r="L197" s="2"/>
      <c r="M197" s="2"/>
      <c r="N197" s="2"/>
      <c r="O197" s="2"/>
      <c r="P197" s="1">
        <f t="shared" si="3"/>
        <v>0</v>
      </c>
      <c r="Q197" s="1">
        <f t="shared" si="4"/>
        <v>0</v>
      </c>
      <c r="R197" s="1">
        <f t="shared" si="5"/>
        <v>0</v>
      </c>
      <c r="S197" s="6" t="s">
        <v>708</v>
      </c>
    </row>
    <row r="198">
      <c r="A198" s="3" t="str">
        <f t="array" ref="A198">XLOOKUP(B198,Costos_Proveedores!$B$2:$B$2000,Costos_Proveedores!$A$2:$A$2000)</f>
        <v>ESPACIO B</v>
      </c>
      <c r="B198" s="2" t="s">
        <v>709</v>
      </c>
      <c r="C198" s="2" t="s">
        <v>710</v>
      </c>
      <c r="D198" s="2" t="s">
        <v>711</v>
      </c>
      <c r="E198" s="2" t="s">
        <v>31</v>
      </c>
      <c r="F198" s="2">
        <v>0.0</v>
      </c>
      <c r="G198" s="2">
        <v>1.0</v>
      </c>
      <c r="H198" s="3">
        <f t="shared" si="1"/>
        <v>0</v>
      </c>
      <c r="I198" s="2" t="s">
        <v>232</v>
      </c>
      <c r="J198" s="4">
        <f>VLOOKUP(B198,Costos_Proveedores!$B$2:$J$1000,9,FALSE())</f>
        <v>4974</v>
      </c>
      <c r="K198" s="5">
        <f t="shared" si="2"/>
        <v>0</v>
      </c>
      <c r="L198" s="2"/>
      <c r="M198" s="2"/>
      <c r="N198" s="2"/>
      <c r="O198" s="2"/>
      <c r="P198" s="1">
        <f t="shared" si="3"/>
        <v>0</v>
      </c>
      <c r="Q198" s="1">
        <f t="shared" si="4"/>
        <v>0</v>
      </c>
      <c r="R198" s="1">
        <f t="shared" si="5"/>
        <v>0</v>
      </c>
      <c r="S198" s="6" t="s">
        <v>712</v>
      </c>
    </row>
    <row r="199">
      <c r="A199" s="3" t="str">
        <f t="array" ref="A199">XLOOKUP(B199,Costos_Proveedores!$B$2:$B$2000,Costos_Proveedores!$A$2:$A$2000)</f>
        <v>PRATER</v>
      </c>
      <c r="B199" s="2" t="s">
        <v>713</v>
      </c>
      <c r="C199" s="2">
        <v>7.804918450956E12</v>
      </c>
      <c r="D199" s="2" t="s">
        <v>714</v>
      </c>
      <c r="E199" s="2" t="s">
        <v>31</v>
      </c>
      <c r="F199" s="2">
        <v>0.0</v>
      </c>
      <c r="G199" s="2">
        <v>1.0</v>
      </c>
      <c r="H199" s="3">
        <f t="shared" si="1"/>
        <v>0</v>
      </c>
      <c r="I199" s="2" t="s">
        <v>232</v>
      </c>
      <c r="J199" s="4">
        <f>VLOOKUP(B199,Costos_Proveedores!$B$2:$J$1000,9,FALSE())</f>
        <v>8041</v>
      </c>
      <c r="K199" s="5">
        <f t="shared" si="2"/>
        <v>0</v>
      </c>
      <c r="L199" s="2"/>
      <c r="M199" s="2"/>
      <c r="N199" s="2"/>
      <c r="O199" s="2"/>
      <c r="P199" s="1">
        <f t="shared" si="3"/>
        <v>0</v>
      </c>
      <c r="Q199" s="1">
        <f t="shared" si="4"/>
        <v>0</v>
      </c>
      <c r="R199" s="1">
        <f t="shared" si="5"/>
        <v>0</v>
      </c>
      <c r="S199" s="6" t="s">
        <v>715</v>
      </c>
    </row>
    <row r="200">
      <c r="A200" s="3" t="str">
        <f t="array" ref="A200">XLOOKUP(B200,Costos_Proveedores!$B$2:$B$2000,Costos_Proveedores!$A$2:$A$2000)</f>
        <v>PRATER</v>
      </c>
      <c r="B200" s="2" t="s">
        <v>716</v>
      </c>
      <c r="C200" s="2">
        <v>7.804918452547E12</v>
      </c>
      <c r="D200" s="2" t="s">
        <v>717</v>
      </c>
      <c r="E200" s="2" t="s">
        <v>31</v>
      </c>
      <c r="G200" s="2">
        <v>1.0</v>
      </c>
      <c r="H200" s="3">
        <f t="shared" si="1"/>
        <v>1</v>
      </c>
      <c r="I200" s="2" t="s">
        <v>22</v>
      </c>
      <c r="J200" s="4" t="str">
        <f>VLOOKUP(B200,Costos_Proveedores!$B$2:$J$1000,9,FALSE())</f>
        <v/>
      </c>
      <c r="K200" s="5">
        <f t="shared" si="2"/>
        <v>0</v>
      </c>
      <c r="L200" s="2"/>
      <c r="M200" s="2"/>
      <c r="N200" s="2"/>
      <c r="O200" s="2"/>
      <c r="P200" s="1">
        <f t="shared" si="3"/>
        <v>0</v>
      </c>
      <c r="Q200" s="1">
        <f t="shared" si="4"/>
        <v>0</v>
      </c>
      <c r="R200" s="1">
        <f t="shared" si="5"/>
        <v>0</v>
      </c>
      <c r="S200" s="6" t="s">
        <v>718</v>
      </c>
    </row>
    <row r="201">
      <c r="A201" s="3" t="str">
        <f t="array" ref="A201">XLOOKUP(B201,Costos_Proveedores!$B$2:$B$2000,Costos_Proveedores!$A$2:$A$2000)</f>
        <v>PRATER</v>
      </c>
      <c r="B201" s="2" t="s">
        <v>719</v>
      </c>
      <c r="C201" s="2">
        <v>7.804918453384E12</v>
      </c>
      <c r="D201" s="2" t="s">
        <v>720</v>
      </c>
      <c r="E201" s="2" t="s">
        <v>31</v>
      </c>
      <c r="G201" s="2">
        <v>1.0</v>
      </c>
      <c r="H201" s="3">
        <f t="shared" si="1"/>
        <v>1</v>
      </c>
      <c r="I201" s="2" t="s">
        <v>22</v>
      </c>
      <c r="J201" s="4">
        <f>VLOOKUP(B201,Costos_Proveedores!$B$2:$J$1000,9,FALSE())</f>
        <v>8339</v>
      </c>
      <c r="K201" s="5">
        <f t="shared" si="2"/>
        <v>8339</v>
      </c>
      <c r="L201" s="2"/>
      <c r="M201" s="2"/>
      <c r="N201" s="2"/>
      <c r="O201" s="2"/>
      <c r="P201" s="1">
        <f t="shared" si="3"/>
        <v>0</v>
      </c>
      <c r="Q201" s="1">
        <f t="shared" si="4"/>
        <v>0</v>
      </c>
      <c r="R201" s="1">
        <f t="shared" si="5"/>
        <v>0</v>
      </c>
      <c r="S201" s="6" t="s">
        <v>721</v>
      </c>
    </row>
    <row r="202">
      <c r="A202" s="3" t="str">
        <f t="array" ref="A202">XLOOKUP(B202,Costos_Proveedores!$B$2:$B$2000,Costos_Proveedores!$A$2:$A$2000)</f>
        <v>PRATER</v>
      </c>
      <c r="B202" s="2" t="s">
        <v>722</v>
      </c>
      <c r="C202" s="2">
        <v>7.804918451847E12</v>
      </c>
      <c r="D202" s="2" t="s">
        <v>723</v>
      </c>
      <c r="E202" s="2" t="s">
        <v>31</v>
      </c>
      <c r="F202" s="2">
        <v>0.0</v>
      </c>
      <c r="G202" s="2">
        <v>1.0</v>
      </c>
      <c r="H202" s="3">
        <f t="shared" si="1"/>
        <v>0</v>
      </c>
      <c r="I202" s="2" t="s">
        <v>232</v>
      </c>
      <c r="J202" s="4">
        <f>VLOOKUP(B202,Costos_Proveedores!$B$2:$J$1000,9,FALSE())</f>
        <v>6566</v>
      </c>
      <c r="K202" s="5">
        <f t="shared" si="2"/>
        <v>0</v>
      </c>
      <c r="L202" s="2">
        <v>1.0</v>
      </c>
      <c r="M202" s="2">
        <v>1.0</v>
      </c>
      <c r="N202" s="2">
        <v>0.0</v>
      </c>
      <c r="O202" s="2">
        <v>0.0</v>
      </c>
      <c r="P202" s="1">
        <f t="shared" si="3"/>
        <v>1</v>
      </c>
      <c r="Q202" s="1">
        <f t="shared" si="4"/>
        <v>0</v>
      </c>
      <c r="R202" s="1">
        <f t="shared" si="5"/>
        <v>1</v>
      </c>
      <c r="S202" s="6" t="s">
        <v>724</v>
      </c>
    </row>
    <row r="203">
      <c r="A203" s="3" t="str">
        <f t="array" ref="A203">XLOOKUP(B203,Costos_Proveedores!$B$2:$B$2000,Costos_Proveedores!$A$2:$A$2000)</f>
        <v>ESPACIO B</v>
      </c>
      <c r="B203" s="2" t="s">
        <v>725</v>
      </c>
      <c r="C203" s="2">
        <v>8.01686700703E12</v>
      </c>
      <c r="D203" s="2" t="s">
        <v>726</v>
      </c>
      <c r="E203" s="2" t="s">
        <v>31</v>
      </c>
      <c r="F203" s="2">
        <v>0.0</v>
      </c>
      <c r="G203" s="2">
        <v>1.0</v>
      </c>
      <c r="H203" s="3">
        <f t="shared" si="1"/>
        <v>1</v>
      </c>
      <c r="I203" s="2" t="s">
        <v>22</v>
      </c>
      <c r="J203" s="4">
        <f>VLOOKUP(B203,Costos_Proveedores!$B$2:$J$1000,9,FALSE())</f>
        <v>1752</v>
      </c>
      <c r="K203" s="5">
        <f t="shared" si="2"/>
        <v>1752</v>
      </c>
      <c r="L203" s="2"/>
      <c r="M203" s="2"/>
      <c r="N203" s="2"/>
      <c r="O203" s="2"/>
      <c r="P203" s="1">
        <f t="shared" si="3"/>
        <v>0</v>
      </c>
      <c r="Q203" s="1">
        <f t="shared" si="4"/>
        <v>0</v>
      </c>
      <c r="R203" s="1">
        <f t="shared" si="5"/>
        <v>0</v>
      </c>
      <c r="S203" s="6" t="s">
        <v>727</v>
      </c>
    </row>
    <row r="204">
      <c r="A204" s="3" t="str">
        <f t="array" ref="A204">XLOOKUP(B204,Costos_Proveedores!$B$2:$B$2000,Costos_Proveedores!$A$2:$A$2000)</f>
        <v>PRATER</v>
      </c>
      <c r="B204" s="2" t="s">
        <v>728</v>
      </c>
      <c r="C204" s="2">
        <v>7.804918403921E12</v>
      </c>
      <c r="D204" s="2" t="s">
        <v>729</v>
      </c>
      <c r="E204" s="2" t="s">
        <v>31</v>
      </c>
      <c r="G204" s="2">
        <v>1.0</v>
      </c>
      <c r="H204" s="3">
        <f t="shared" si="1"/>
        <v>1</v>
      </c>
      <c r="I204" s="2" t="s">
        <v>22</v>
      </c>
      <c r="J204" s="4">
        <f>VLOOKUP(B204,Costos_Proveedores!$B$2:$J$1000,9,FALSE())</f>
        <v>3977</v>
      </c>
      <c r="K204" s="5">
        <f t="shared" si="2"/>
        <v>3977</v>
      </c>
      <c r="L204" s="2"/>
      <c r="M204" s="2"/>
      <c r="N204" s="2"/>
      <c r="O204" s="2"/>
      <c r="P204" s="1">
        <f t="shared" si="3"/>
        <v>0</v>
      </c>
      <c r="Q204" s="1">
        <f t="shared" si="4"/>
        <v>0</v>
      </c>
      <c r="R204" s="1">
        <f t="shared" si="5"/>
        <v>0</v>
      </c>
      <c r="S204" s="6" t="s">
        <v>730</v>
      </c>
    </row>
    <row r="205">
      <c r="A205" s="3" t="str">
        <f t="array" ref="A205">XLOOKUP(B205,Costos_Proveedores!$B$2:$B$2000,Costos_Proveedores!$A$2:$A$2000)</f>
        <v>KUNA</v>
      </c>
      <c r="B205" s="2" t="s">
        <v>731</v>
      </c>
      <c r="C205" s="2">
        <v>6.59525149437E11</v>
      </c>
      <c r="D205" s="2" t="s">
        <v>732</v>
      </c>
      <c r="E205" s="2" t="s">
        <v>47</v>
      </c>
      <c r="F205" s="2">
        <v>64.0</v>
      </c>
      <c r="G205" s="2">
        <v>1.0</v>
      </c>
      <c r="H205" s="3">
        <f t="shared" si="1"/>
        <v>64</v>
      </c>
      <c r="I205" s="2" t="s">
        <v>232</v>
      </c>
      <c r="J205" s="4">
        <f>VLOOKUP(B205,Costos_Proveedores!$B$2:$J$1000,9,FALSE())</f>
        <v>2303</v>
      </c>
      <c r="K205" s="5">
        <f t="shared" si="2"/>
        <v>147392</v>
      </c>
      <c r="L205" s="2">
        <v>16.0</v>
      </c>
      <c r="M205" s="2"/>
      <c r="N205" s="2"/>
      <c r="O205" s="2"/>
      <c r="P205" s="1">
        <f t="shared" si="3"/>
        <v>0</v>
      </c>
      <c r="Q205" s="1">
        <f t="shared" si="4"/>
        <v>0</v>
      </c>
      <c r="R205" s="1">
        <f t="shared" si="5"/>
        <v>0</v>
      </c>
      <c r="S205" s="6" t="s">
        <v>733</v>
      </c>
    </row>
    <row r="206">
      <c r="A206" s="3" t="str">
        <f t="array" ref="A206">XLOOKUP(B206,Costos_Proveedores!$B$2:$B$2000,Costos_Proveedores!$A$2:$A$2000)</f>
        <v>KUNA</v>
      </c>
      <c r="B206" s="2" t="s">
        <v>734</v>
      </c>
      <c r="C206" s="2">
        <v>7.45853842901E11</v>
      </c>
      <c r="D206" s="2" t="s">
        <v>735</v>
      </c>
      <c r="E206" s="2" t="s">
        <v>31</v>
      </c>
      <c r="F206" s="2">
        <v>0.0</v>
      </c>
      <c r="G206" s="2">
        <v>1.0</v>
      </c>
      <c r="H206" s="3">
        <f t="shared" si="1"/>
        <v>0</v>
      </c>
      <c r="I206" s="2" t="s">
        <v>232</v>
      </c>
      <c r="J206" s="4">
        <f>VLOOKUP(B206,Costos_Proveedores!$B$2:$J$1000,9,FALSE())</f>
        <v>2303</v>
      </c>
      <c r="K206" s="5">
        <f t="shared" si="2"/>
        <v>0</v>
      </c>
      <c r="L206" s="2">
        <v>5.0</v>
      </c>
      <c r="M206" s="2"/>
      <c r="N206" s="2"/>
      <c r="O206" s="2"/>
      <c r="P206" s="1">
        <f t="shared" si="3"/>
        <v>0</v>
      </c>
      <c r="Q206" s="1">
        <f t="shared" si="4"/>
        <v>0</v>
      </c>
      <c r="R206" s="1">
        <f t="shared" si="5"/>
        <v>0</v>
      </c>
      <c r="S206" s="6" t="s">
        <v>736</v>
      </c>
    </row>
    <row r="207">
      <c r="A207" s="3" t="str">
        <f t="array" ref="A207">XLOOKUP(B207,Costos_Proveedores!$B$2:$B$2000,Costos_Proveedores!$A$2:$A$2000)</f>
        <v>KUNA</v>
      </c>
      <c r="B207" s="2" t="s">
        <v>737</v>
      </c>
      <c r="C207" s="2">
        <v>6.59525149413E11</v>
      </c>
      <c r="D207" s="2" t="s">
        <v>738</v>
      </c>
      <c r="E207" s="2" t="s">
        <v>47</v>
      </c>
      <c r="F207" s="2">
        <v>1.0</v>
      </c>
      <c r="G207" s="2">
        <v>1.0</v>
      </c>
      <c r="H207" s="3">
        <f t="shared" si="1"/>
        <v>1</v>
      </c>
      <c r="I207" s="2" t="s">
        <v>232</v>
      </c>
      <c r="J207" s="4">
        <f>VLOOKUP(B207,Costos_Proveedores!$B$2:$J$1000,9,FALSE())</f>
        <v>2303</v>
      </c>
      <c r="K207" s="5">
        <f t="shared" si="2"/>
        <v>2303</v>
      </c>
      <c r="L207" s="2">
        <v>14.0</v>
      </c>
      <c r="M207" s="2"/>
      <c r="N207" s="2"/>
      <c r="O207" s="2"/>
      <c r="P207" s="1">
        <f t="shared" si="3"/>
        <v>0</v>
      </c>
      <c r="Q207" s="1">
        <f t="shared" si="4"/>
        <v>0</v>
      </c>
      <c r="R207" s="1">
        <f t="shared" si="5"/>
        <v>0</v>
      </c>
      <c r="S207" s="6" t="s">
        <v>739</v>
      </c>
    </row>
    <row r="208">
      <c r="A208" s="3" t="str">
        <f t="array" ref="A208">XLOOKUP(B208,Costos_Proveedores!$B$2:$B$2000,Costos_Proveedores!$A$2:$A$2000)</f>
        <v>KUNA</v>
      </c>
      <c r="B208" s="2" t="s">
        <v>740</v>
      </c>
      <c r="C208" s="2">
        <v>6.58325660784E11</v>
      </c>
      <c r="D208" s="2" t="s">
        <v>741</v>
      </c>
      <c r="E208" s="2" t="s">
        <v>47</v>
      </c>
      <c r="F208" s="2">
        <v>33.0</v>
      </c>
      <c r="G208" s="2">
        <v>1.0</v>
      </c>
      <c r="H208" s="3">
        <f t="shared" si="1"/>
        <v>33</v>
      </c>
      <c r="I208" s="2" t="s">
        <v>232</v>
      </c>
      <c r="J208" s="4">
        <f>VLOOKUP(B208,Costos_Proveedores!$B$2:$J$1000,9,FALSE())</f>
        <v>2303</v>
      </c>
      <c r="K208" s="5">
        <f t="shared" si="2"/>
        <v>75999</v>
      </c>
      <c r="L208" s="2">
        <v>47.0</v>
      </c>
      <c r="M208" s="2"/>
      <c r="N208" s="2"/>
      <c r="O208" s="2"/>
      <c r="P208" s="1">
        <f t="shared" si="3"/>
        <v>0</v>
      </c>
      <c r="Q208" s="1">
        <f t="shared" si="4"/>
        <v>0</v>
      </c>
      <c r="R208" s="1">
        <f t="shared" si="5"/>
        <v>0</v>
      </c>
      <c r="S208" s="6" t="s">
        <v>742</v>
      </c>
    </row>
    <row r="209">
      <c r="A209" s="3" t="str">
        <f t="array" ref="A209">XLOOKUP(B209,Costos_Proveedores!$B$2:$B$2000,Costos_Proveedores!$A$2:$A$2000)</f>
        <v>BLENDS N TEA</v>
      </c>
      <c r="B209" s="2" t="s">
        <v>743</v>
      </c>
      <c r="C209" s="2" t="s">
        <v>744</v>
      </c>
      <c r="D209" s="2" t="s">
        <v>745</v>
      </c>
      <c r="E209" s="2" t="s">
        <v>31</v>
      </c>
      <c r="F209" s="2">
        <v>0.0</v>
      </c>
      <c r="G209" s="2">
        <v>1.0</v>
      </c>
      <c r="H209" s="3">
        <f t="shared" si="1"/>
        <v>0</v>
      </c>
      <c r="I209" s="2" t="s">
        <v>232</v>
      </c>
      <c r="J209" s="4">
        <f>VLOOKUP(B209,Costos_Proveedores!$B$2:$J$1000,9,FALSE())</f>
        <v>10043</v>
      </c>
      <c r="K209" s="5">
        <f t="shared" si="2"/>
        <v>0</v>
      </c>
      <c r="L209" s="2">
        <v>2.0</v>
      </c>
      <c r="M209" s="2">
        <v>2.0</v>
      </c>
      <c r="N209" s="2">
        <v>0.0</v>
      </c>
      <c r="O209" s="2">
        <v>0.0</v>
      </c>
      <c r="P209" s="1">
        <f t="shared" si="3"/>
        <v>2</v>
      </c>
      <c r="Q209" s="1">
        <f t="shared" si="4"/>
        <v>0</v>
      </c>
      <c r="R209" s="1">
        <f t="shared" si="5"/>
        <v>2</v>
      </c>
      <c r="S209" s="6" t="s">
        <v>746</v>
      </c>
    </row>
    <row r="210">
      <c r="A210" s="3" t="str">
        <f t="array" ref="A210">XLOOKUP(B210,Costos_Proveedores!$B$2:$B$2000,Costos_Proveedores!$A$2:$A$2000)</f>
        <v>ESPACIO B</v>
      </c>
      <c r="B210" s="2" t="s">
        <v>747</v>
      </c>
      <c r="C210" s="2" t="s">
        <v>748</v>
      </c>
      <c r="D210" s="2" t="s">
        <v>749</v>
      </c>
      <c r="E210" s="2" t="s">
        <v>31</v>
      </c>
      <c r="F210" s="2">
        <v>0.0</v>
      </c>
      <c r="G210" s="2">
        <v>1.0</v>
      </c>
      <c r="H210" s="3">
        <f t="shared" si="1"/>
        <v>0</v>
      </c>
      <c r="I210" s="2" t="s">
        <v>232</v>
      </c>
      <c r="J210" s="4">
        <f>VLOOKUP(B210,Costos_Proveedores!$B$2:$J$1000,9,FALSE())</f>
        <v>5994</v>
      </c>
      <c r="K210" s="5">
        <f t="shared" si="2"/>
        <v>0</v>
      </c>
      <c r="L210" s="2"/>
      <c r="M210" s="2"/>
      <c r="N210" s="2"/>
      <c r="O210" s="2"/>
      <c r="P210" s="1">
        <f t="shared" si="3"/>
        <v>0</v>
      </c>
      <c r="Q210" s="1">
        <f t="shared" si="4"/>
        <v>0</v>
      </c>
      <c r="R210" s="1">
        <f t="shared" si="5"/>
        <v>0</v>
      </c>
      <c r="S210" s="6" t="s">
        <v>750</v>
      </c>
    </row>
    <row r="211">
      <c r="A211" s="3" t="str">
        <f t="array" ref="A211">XLOOKUP(B211,Costos_Proveedores!$B$2:$B$2000,Costos_Proveedores!$A$2:$A$2000)</f>
        <v>STRIVE</v>
      </c>
      <c r="B211" s="2" t="s">
        <v>751</v>
      </c>
      <c r="C211" s="2" t="s">
        <v>752</v>
      </c>
      <c r="D211" s="2" t="s">
        <v>753</v>
      </c>
      <c r="E211" s="2" t="s">
        <v>31</v>
      </c>
      <c r="F211" s="2">
        <v>0.0</v>
      </c>
      <c r="G211" s="2">
        <v>25.0</v>
      </c>
      <c r="H211" s="3">
        <f t="shared" si="1"/>
        <v>0</v>
      </c>
      <c r="I211" s="2" t="s">
        <v>232</v>
      </c>
      <c r="J211" s="4">
        <f>VLOOKUP(B211,Costos_Proveedores!$B$2:$J$1000,9,FALSE())</f>
        <v>13155</v>
      </c>
      <c r="K211" s="5">
        <f t="shared" si="2"/>
        <v>0</v>
      </c>
      <c r="L211" s="2">
        <v>12.0</v>
      </c>
      <c r="M211" s="2">
        <v>12.0</v>
      </c>
      <c r="N211" s="2">
        <v>0.0</v>
      </c>
      <c r="O211" s="2">
        <v>0.0</v>
      </c>
      <c r="P211" s="1">
        <f t="shared" si="3"/>
        <v>12</v>
      </c>
      <c r="Q211" s="1">
        <f t="shared" si="4"/>
        <v>0</v>
      </c>
      <c r="R211" s="1">
        <f t="shared" si="5"/>
        <v>12</v>
      </c>
      <c r="S211" s="6" t="s">
        <v>754</v>
      </c>
    </row>
    <row r="212">
      <c r="A212" s="3" t="str">
        <f t="array" ref="A212">XLOOKUP(B212,Costos_Proveedores!$B$2:$B$2000,Costos_Proveedores!$A$2:$A$2000)</f>
        <v>STRIVE</v>
      </c>
      <c r="B212" s="2" t="s">
        <v>755</v>
      </c>
      <c r="C212" s="2" t="s">
        <v>756</v>
      </c>
      <c r="D212" s="2" t="s">
        <v>757</v>
      </c>
      <c r="E212" s="2" t="s">
        <v>47</v>
      </c>
      <c r="F212" s="2">
        <v>68.0</v>
      </c>
      <c r="G212" s="2">
        <v>23.0</v>
      </c>
      <c r="H212" s="3">
        <f t="shared" si="1"/>
        <v>68</v>
      </c>
      <c r="I212" s="2" t="s">
        <v>232</v>
      </c>
      <c r="J212" s="4">
        <f>VLOOKUP(B212,Costos_Proveedores!$B$2:$J$1000,9,FALSE())</f>
        <v>26455</v>
      </c>
      <c r="K212" s="5">
        <f t="shared" si="2"/>
        <v>1798940</v>
      </c>
      <c r="L212" s="2">
        <v>38.0</v>
      </c>
      <c r="M212" s="2">
        <v>35.0</v>
      </c>
      <c r="N212" s="2">
        <v>0.0</v>
      </c>
      <c r="O212" s="2">
        <v>0.0</v>
      </c>
      <c r="P212" s="1">
        <f t="shared" si="3"/>
        <v>0</v>
      </c>
      <c r="Q212" s="1">
        <f t="shared" si="4"/>
        <v>0</v>
      </c>
      <c r="R212" s="1">
        <f t="shared" si="5"/>
        <v>0</v>
      </c>
      <c r="S212" s="6" t="s">
        <v>758</v>
      </c>
    </row>
    <row r="213">
      <c r="A213" s="3" t="str">
        <f t="array" ref="A213">XLOOKUP(B213,Costos_Proveedores!$B$2:$B$2000,Costos_Proveedores!$A$2:$A$2000)</f>
        <v>ESPACIO B</v>
      </c>
      <c r="B213" s="2" t="s">
        <v>759</v>
      </c>
      <c r="C213" s="2" t="s">
        <v>760</v>
      </c>
      <c r="D213" s="2" t="s">
        <v>761</v>
      </c>
      <c r="E213" s="2" t="s">
        <v>31</v>
      </c>
      <c r="F213" s="2">
        <v>0.0</v>
      </c>
      <c r="G213" s="2">
        <v>1.0</v>
      </c>
      <c r="H213" s="3">
        <f t="shared" si="1"/>
        <v>0</v>
      </c>
      <c r="I213" s="2" t="s">
        <v>232</v>
      </c>
      <c r="J213" s="4">
        <f>VLOOKUP(B213,Costos_Proveedores!$B$2:$J$1000,9,FALSE())</f>
        <v>4799</v>
      </c>
      <c r="K213" s="5">
        <f t="shared" si="2"/>
        <v>0</v>
      </c>
      <c r="L213" s="2">
        <v>2.0</v>
      </c>
      <c r="M213" s="2">
        <v>2.0</v>
      </c>
      <c r="N213" s="2">
        <v>0.0</v>
      </c>
      <c r="O213" s="2">
        <v>0.0</v>
      </c>
      <c r="P213" s="1">
        <f t="shared" si="3"/>
        <v>2</v>
      </c>
      <c r="Q213" s="1">
        <f t="shared" si="4"/>
        <v>0</v>
      </c>
      <c r="R213" s="1">
        <f t="shared" si="5"/>
        <v>2</v>
      </c>
      <c r="S213" s="6" t="s">
        <v>762</v>
      </c>
    </row>
    <row r="214">
      <c r="A214" s="3" t="str">
        <f t="array" ref="A214">XLOOKUP(B214,Costos_Proveedores!$B$2:$B$2000,Costos_Proveedores!$A$2:$A$2000)</f>
        <v>MULI</v>
      </c>
      <c r="B214" s="2" t="s">
        <v>763</v>
      </c>
      <c r="C214" s="2" t="s">
        <v>764</v>
      </c>
      <c r="D214" s="2" t="s">
        <v>765</v>
      </c>
      <c r="E214" s="2" t="s">
        <v>31</v>
      </c>
      <c r="F214" s="2">
        <v>0.0</v>
      </c>
      <c r="G214" s="2">
        <v>0.0</v>
      </c>
      <c r="H214" s="3">
        <f t="shared" si="1"/>
        <v>0</v>
      </c>
      <c r="I214" s="2" t="s">
        <v>22</v>
      </c>
      <c r="J214" s="4">
        <f>VLOOKUP(B214,Costos_Proveedores!$B$2:$J$1000,9,FALSE())</f>
        <v>16680</v>
      </c>
      <c r="K214" s="5">
        <f t="shared" si="2"/>
        <v>0</v>
      </c>
      <c r="L214" s="2">
        <v>5.0</v>
      </c>
      <c r="M214" s="2">
        <v>4.0</v>
      </c>
      <c r="N214" s="2">
        <v>0.0</v>
      </c>
      <c r="O214" s="2">
        <v>0.0</v>
      </c>
      <c r="P214" s="1">
        <f t="shared" si="3"/>
        <v>4</v>
      </c>
      <c r="Q214" s="1">
        <f t="shared" si="4"/>
        <v>0</v>
      </c>
      <c r="R214" s="1">
        <f t="shared" si="5"/>
        <v>4</v>
      </c>
      <c r="S214" s="6" t="s">
        <v>766</v>
      </c>
    </row>
    <row r="215">
      <c r="A215" s="3" t="str">
        <f t="array" ref="A215">XLOOKUP(B215,Costos_Proveedores!$B$2:$B$2000,Costos_Proveedores!$A$2:$A$2000)</f>
        <v>MULI</v>
      </c>
      <c r="B215" s="2" t="s">
        <v>767</v>
      </c>
      <c r="C215" s="2">
        <v>104589.0</v>
      </c>
      <c r="D215" s="2" t="s">
        <v>768</v>
      </c>
      <c r="E215" s="2" t="s">
        <v>31</v>
      </c>
      <c r="F215" s="2">
        <v>0.0</v>
      </c>
      <c r="G215" s="2">
        <v>0.0</v>
      </c>
      <c r="H215" s="3">
        <f t="shared" si="1"/>
        <v>0</v>
      </c>
      <c r="I215" s="2" t="s">
        <v>22</v>
      </c>
      <c r="J215" s="4">
        <f>VLOOKUP(B215,Costos_Proveedores!$B$2:$J$1000,9,FALSE())</f>
        <v>1092</v>
      </c>
      <c r="K215" s="5">
        <f t="shared" si="2"/>
        <v>0</v>
      </c>
      <c r="L215" s="2">
        <v>1.0</v>
      </c>
      <c r="M215" s="2">
        <v>0.0</v>
      </c>
      <c r="N215" s="2">
        <v>1.0</v>
      </c>
      <c r="O215" s="2">
        <v>0.0</v>
      </c>
      <c r="P215" s="1">
        <f t="shared" si="3"/>
        <v>0</v>
      </c>
      <c r="Q215" s="1">
        <f t="shared" si="4"/>
        <v>1</v>
      </c>
      <c r="R215" s="1">
        <f t="shared" si="5"/>
        <v>1</v>
      </c>
      <c r="S215" s="6" t="s">
        <v>769</v>
      </c>
    </row>
    <row r="216">
      <c r="A216" s="3" t="str">
        <f t="array" ref="A216">XLOOKUP(B216,Costos_Proveedores!$B$2:$B$2000,Costos_Proveedores!$A$2:$A$2000)</f>
        <v>MULI</v>
      </c>
      <c r="B216" s="2" t="s">
        <v>770</v>
      </c>
      <c r="C216" s="2">
        <v>104588.0</v>
      </c>
      <c r="D216" s="2" t="s">
        <v>771</v>
      </c>
      <c r="E216" s="2" t="s">
        <v>31</v>
      </c>
      <c r="F216" s="2">
        <v>0.0</v>
      </c>
      <c r="G216" s="2">
        <v>0.0</v>
      </c>
      <c r="H216" s="3">
        <f t="shared" si="1"/>
        <v>0</v>
      </c>
      <c r="I216" s="2" t="s">
        <v>22</v>
      </c>
      <c r="J216" s="4">
        <f>VLOOKUP(B216,Costos_Proveedores!$B$2:$J$1000,9,FALSE())</f>
        <v>1092</v>
      </c>
      <c r="K216" s="5">
        <f t="shared" si="2"/>
        <v>0</v>
      </c>
      <c r="L216" s="2"/>
      <c r="M216" s="2"/>
      <c r="N216" s="2"/>
      <c r="O216" s="2"/>
      <c r="P216" s="1">
        <f t="shared" si="3"/>
        <v>0</v>
      </c>
      <c r="Q216" s="1">
        <f t="shared" si="4"/>
        <v>0</v>
      </c>
      <c r="R216" s="1">
        <f t="shared" si="5"/>
        <v>0</v>
      </c>
      <c r="S216" s="6" t="s">
        <v>772</v>
      </c>
    </row>
    <row r="217">
      <c r="A217" s="3" t="str">
        <f t="array" ref="A217">XLOOKUP(B217,Costos_Proveedores!$B$2:$B$2000,Costos_Proveedores!$A$2:$A$2000)</f>
        <v>ESPACIO B</v>
      </c>
      <c r="B217" s="2" t="s">
        <v>773</v>
      </c>
      <c r="C217" s="2" t="s">
        <v>774</v>
      </c>
      <c r="D217" s="2" t="s">
        <v>616</v>
      </c>
      <c r="E217" s="2" t="s">
        <v>47</v>
      </c>
      <c r="G217" s="2">
        <v>2.0</v>
      </c>
      <c r="H217" s="3">
        <f t="shared" si="1"/>
        <v>2</v>
      </c>
      <c r="I217" s="2" t="s">
        <v>22</v>
      </c>
      <c r="J217" s="4">
        <f>VLOOKUP(B217,Costos_Proveedores!$B$2:$J$1000,9,FALSE())</f>
        <v>2843</v>
      </c>
      <c r="K217" s="5">
        <f t="shared" si="2"/>
        <v>5686</v>
      </c>
      <c r="L217" s="2">
        <v>2.0</v>
      </c>
      <c r="M217" s="2">
        <v>0.0</v>
      </c>
      <c r="N217" s="2">
        <v>2.0</v>
      </c>
      <c r="O217" s="2">
        <v>0.0</v>
      </c>
      <c r="P217" s="1">
        <f t="shared" si="3"/>
        <v>0</v>
      </c>
      <c r="Q217" s="1">
        <f t="shared" si="4"/>
        <v>0</v>
      </c>
      <c r="R217" s="1">
        <f t="shared" si="5"/>
        <v>0</v>
      </c>
      <c r="S217" s="6" t="s">
        <v>775</v>
      </c>
    </row>
    <row r="218">
      <c r="A218" s="3" t="str">
        <f t="array" ref="A218">XLOOKUP(B218,Costos_Proveedores!$B$2:$B$2000,Costos_Proveedores!$A$2:$A$2000)</f>
        <v>MULI</v>
      </c>
      <c r="B218" s="2" t="s">
        <v>776</v>
      </c>
      <c r="C218" s="2">
        <v>106887.0</v>
      </c>
      <c r="D218" s="2" t="s">
        <v>777</v>
      </c>
      <c r="E218" s="2" t="s">
        <v>47</v>
      </c>
      <c r="F218" s="2">
        <v>1.0</v>
      </c>
      <c r="G218" s="2">
        <v>12.0</v>
      </c>
      <c r="H218" s="3">
        <f t="shared" si="1"/>
        <v>13</v>
      </c>
      <c r="I218" s="2" t="s">
        <v>22</v>
      </c>
      <c r="J218" s="4">
        <f>VLOOKUP(B218,Costos_Proveedores!$B$2:$J$1000,9,FALSE())</f>
        <v>1344</v>
      </c>
      <c r="K218" s="5">
        <f t="shared" si="2"/>
        <v>17472</v>
      </c>
      <c r="L218" s="2"/>
      <c r="M218" s="2"/>
      <c r="N218" s="2"/>
      <c r="O218" s="2"/>
      <c r="P218" s="1">
        <f t="shared" si="3"/>
        <v>0</v>
      </c>
      <c r="Q218" s="1">
        <f t="shared" si="4"/>
        <v>0</v>
      </c>
      <c r="R218" s="1">
        <f t="shared" si="5"/>
        <v>0</v>
      </c>
      <c r="S218" s="6" t="s">
        <v>778</v>
      </c>
    </row>
    <row r="219">
      <c r="A219" s="3" t="str">
        <f t="array" ref="A219">XLOOKUP(B219,Costos_Proveedores!$B$2:$B$2000,Costos_Proveedores!$A$2:$A$2000)</f>
        <v>MULI</v>
      </c>
      <c r="B219" s="2" t="s">
        <v>779</v>
      </c>
      <c r="C219" s="2">
        <v>104925.0</v>
      </c>
      <c r="D219" s="2" t="s">
        <v>780</v>
      </c>
      <c r="E219" s="2" t="s">
        <v>31</v>
      </c>
      <c r="F219" s="2">
        <v>0.0</v>
      </c>
      <c r="G219" s="2">
        <v>0.0</v>
      </c>
      <c r="H219" s="3">
        <f t="shared" si="1"/>
        <v>0</v>
      </c>
      <c r="I219" s="2" t="s">
        <v>22</v>
      </c>
      <c r="J219" s="4">
        <f>VLOOKUP(B219,Costos_Proveedores!$B$2:$J$1000,9,FALSE())</f>
        <v>2772</v>
      </c>
      <c r="K219" s="5">
        <f t="shared" si="2"/>
        <v>0</v>
      </c>
      <c r="L219" s="2"/>
      <c r="M219" s="2"/>
      <c r="N219" s="2"/>
      <c r="O219" s="2"/>
      <c r="P219" s="1">
        <f t="shared" si="3"/>
        <v>0</v>
      </c>
      <c r="Q219" s="1">
        <f t="shared" si="4"/>
        <v>0</v>
      </c>
      <c r="R219" s="1">
        <f t="shared" si="5"/>
        <v>0</v>
      </c>
      <c r="S219" s="6" t="s">
        <v>781</v>
      </c>
    </row>
    <row r="220">
      <c r="A220" s="3" t="str">
        <f t="array" ref="A220">XLOOKUP(B220,Costos_Proveedores!$B$2:$B$2000,Costos_Proveedores!$A$2:$A$2000)</f>
        <v>MULI</v>
      </c>
      <c r="B220" s="2" t="s">
        <v>782</v>
      </c>
      <c r="C220" s="2">
        <v>105772.0</v>
      </c>
      <c r="D220" s="2" t="s">
        <v>783</v>
      </c>
      <c r="E220" s="2" t="s">
        <v>47</v>
      </c>
      <c r="F220" s="2">
        <v>10.0</v>
      </c>
      <c r="G220" s="2">
        <v>0.0</v>
      </c>
      <c r="H220" s="3">
        <f t="shared" si="1"/>
        <v>10</v>
      </c>
      <c r="I220" s="2" t="s">
        <v>22</v>
      </c>
      <c r="J220" s="4">
        <f>VLOOKUP(B220,Costos_Proveedores!$B$2:$J$1000,9,FALSE())</f>
        <v>1176</v>
      </c>
      <c r="K220" s="5">
        <f t="shared" si="2"/>
        <v>11760</v>
      </c>
      <c r="L220" s="2">
        <v>1.0</v>
      </c>
      <c r="M220" s="2">
        <v>2.0</v>
      </c>
      <c r="N220" s="2">
        <v>0.0</v>
      </c>
      <c r="O220" s="2">
        <v>0.0</v>
      </c>
      <c r="P220" s="1">
        <f t="shared" si="3"/>
        <v>0</v>
      </c>
      <c r="Q220" s="1">
        <f t="shared" si="4"/>
        <v>0</v>
      </c>
      <c r="R220" s="1">
        <f t="shared" si="5"/>
        <v>0</v>
      </c>
      <c r="S220" s="6" t="s">
        <v>784</v>
      </c>
    </row>
    <row r="221">
      <c r="A221" s="3" t="str">
        <f t="array" ref="A221">XLOOKUP(B221,Costos_Proveedores!$B$2:$B$2000,Costos_Proveedores!$A$2:$A$2000)</f>
        <v>MULI</v>
      </c>
      <c r="B221" s="2" t="s">
        <v>785</v>
      </c>
      <c r="C221" s="2">
        <v>106568.0</v>
      </c>
      <c r="D221" s="2" t="s">
        <v>786</v>
      </c>
      <c r="E221" s="2" t="s">
        <v>31</v>
      </c>
      <c r="F221" s="2">
        <v>0.0</v>
      </c>
      <c r="G221" s="2">
        <v>0.0</v>
      </c>
      <c r="H221" s="3">
        <f t="shared" si="1"/>
        <v>0</v>
      </c>
      <c r="I221" s="2" t="s">
        <v>22</v>
      </c>
      <c r="J221" s="4">
        <f>VLOOKUP(B221,Costos_Proveedores!$B$2:$J$1000,9,FALSE())</f>
        <v>5544</v>
      </c>
      <c r="K221" s="5">
        <f t="shared" si="2"/>
        <v>0</v>
      </c>
      <c r="L221" s="2"/>
      <c r="M221" s="2"/>
      <c r="N221" s="2"/>
      <c r="O221" s="2"/>
      <c r="P221" s="1">
        <f t="shared" si="3"/>
        <v>0</v>
      </c>
      <c r="Q221" s="1">
        <f t="shared" si="4"/>
        <v>0</v>
      </c>
      <c r="R221" s="1">
        <f t="shared" si="5"/>
        <v>0</v>
      </c>
      <c r="S221" s="6" t="s">
        <v>787</v>
      </c>
    </row>
    <row r="222">
      <c r="A222" s="3" t="str">
        <f t="array" ref="A222">XLOOKUP(B222,Costos_Proveedores!$B$2:$B$2000,Costos_Proveedores!$A$2:$A$2000)</f>
        <v>MULI</v>
      </c>
      <c r="B222" s="2" t="s">
        <v>788</v>
      </c>
      <c r="C222" s="2">
        <v>106567.0</v>
      </c>
      <c r="D222" s="2" t="s">
        <v>789</v>
      </c>
      <c r="E222" s="2" t="s">
        <v>47</v>
      </c>
      <c r="F222" s="2">
        <v>1.0</v>
      </c>
      <c r="G222" s="2">
        <v>0.0</v>
      </c>
      <c r="H222" s="3">
        <f t="shared" si="1"/>
        <v>1</v>
      </c>
      <c r="I222" s="2" t="s">
        <v>22</v>
      </c>
      <c r="J222" s="4">
        <f>VLOOKUP(B222,Costos_Proveedores!$B$2:$J$1000,9,FALSE())</f>
        <v>3528</v>
      </c>
      <c r="K222" s="5">
        <f t="shared" si="2"/>
        <v>3528</v>
      </c>
      <c r="L222" s="2">
        <v>1.0</v>
      </c>
      <c r="M222" s="2">
        <v>1.0</v>
      </c>
      <c r="N222" s="2">
        <v>0.0</v>
      </c>
      <c r="O222" s="2">
        <v>0.0</v>
      </c>
      <c r="P222" s="1">
        <f t="shared" si="3"/>
        <v>0</v>
      </c>
      <c r="Q222" s="1">
        <f t="shared" si="4"/>
        <v>0</v>
      </c>
      <c r="R222" s="1">
        <f t="shared" si="5"/>
        <v>0</v>
      </c>
      <c r="S222" s="6" t="s">
        <v>790</v>
      </c>
    </row>
    <row r="223">
      <c r="A223" s="3" t="str">
        <f t="array" ref="A223">XLOOKUP(B223,Costos_Proveedores!$B$2:$B$2000,Costos_Proveedores!$A$2:$A$2000)</f>
        <v>MULI</v>
      </c>
      <c r="B223" s="2" t="s">
        <v>791</v>
      </c>
      <c r="C223" s="2">
        <v>106729.0</v>
      </c>
      <c r="D223" s="2" t="s">
        <v>792</v>
      </c>
      <c r="E223" s="2" t="s">
        <v>31</v>
      </c>
      <c r="F223" s="2">
        <v>0.0</v>
      </c>
      <c r="G223" s="2">
        <v>0.0</v>
      </c>
      <c r="H223" s="3">
        <f t="shared" si="1"/>
        <v>0</v>
      </c>
      <c r="I223" s="2" t="s">
        <v>22</v>
      </c>
      <c r="J223" s="4">
        <f>VLOOKUP(B223,Costos_Proveedores!$B$2:$J$1000,9,FALSE())</f>
        <v>2100</v>
      </c>
      <c r="K223" s="5">
        <f t="shared" si="2"/>
        <v>0</v>
      </c>
      <c r="L223" s="2">
        <v>5.0</v>
      </c>
      <c r="M223" s="2">
        <v>3.0</v>
      </c>
      <c r="N223" s="2">
        <v>0.0</v>
      </c>
      <c r="O223" s="2">
        <v>0.0</v>
      </c>
      <c r="P223" s="1">
        <f t="shared" si="3"/>
        <v>3</v>
      </c>
      <c r="Q223" s="1">
        <f t="shared" si="4"/>
        <v>0</v>
      </c>
      <c r="R223" s="1">
        <f t="shared" si="5"/>
        <v>3</v>
      </c>
      <c r="S223" s="6" t="s">
        <v>793</v>
      </c>
    </row>
    <row r="224">
      <c r="A224" s="3" t="str">
        <f t="array" ref="A224">XLOOKUP(B224,Costos_Proveedores!$B$2:$B$2000,Costos_Proveedores!$A$2:$A$2000)</f>
        <v>MULI</v>
      </c>
      <c r="B224" s="2" t="s">
        <v>794</v>
      </c>
      <c r="C224" s="2">
        <v>106727.0</v>
      </c>
      <c r="D224" s="2" t="s">
        <v>795</v>
      </c>
      <c r="E224" s="2" t="s">
        <v>47</v>
      </c>
      <c r="F224" s="2">
        <v>4.0</v>
      </c>
      <c r="G224" s="2">
        <v>0.0</v>
      </c>
      <c r="H224" s="3">
        <f t="shared" si="1"/>
        <v>4</v>
      </c>
      <c r="I224" s="2" t="s">
        <v>22</v>
      </c>
      <c r="J224" s="4">
        <f>VLOOKUP(B224,Costos_Proveedores!$B$2:$J$1000,9,FALSE())</f>
        <v>2100</v>
      </c>
      <c r="K224" s="5">
        <f t="shared" si="2"/>
        <v>8400</v>
      </c>
      <c r="L224" s="2">
        <v>1.0</v>
      </c>
      <c r="M224" s="2">
        <v>1.0</v>
      </c>
      <c r="N224" s="2">
        <v>0.0</v>
      </c>
      <c r="O224" s="2">
        <v>0.0</v>
      </c>
      <c r="P224" s="1">
        <f t="shared" si="3"/>
        <v>0</v>
      </c>
      <c r="Q224" s="1">
        <f t="shared" si="4"/>
        <v>0</v>
      </c>
      <c r="R224" s="1">
        <f t="shared" si="5"/>
        <v>0</v>
      </c>
      <c r="S224" s="6" t="s">
        <v>796</v>
      </c>
    </row>
    <row r="225">
      <c r="A225" s="3" t="str">
        <f t="array" ref="A225">XLOOKUP(B225,Costos_Proveedores!$B$2:$B$2000,Costos_Proveedores!$A$2:$A$2000)</f>
        <v>YOURGOAL</v>
      </c>
      <c r="B225" s="2" t="s">
        <v>797</v>
      </c>
      <c r="C225" s="2">
        <v>805308.0</v>
      </c>
      <c r="D225" s="2" t="s">
        <v>798</v>
      </c>
      <c r="E225" s="2" t="s">
        <v>31</v>
      </c>
      <c r="F225" s="2">
        <v>0.0</v>
      </c>
      <c r="G225" s="2">
        <v>0.0</v>
      </c>
      <c r="H225" s="3">
        <f t="shared" si="1"/>
        <v>0</v>
      </c>
      <c r="I225" s="2" t="s">
        <v>232</v>
      </c>
      <c r="J225" s="4">
        <f>VLOOKUP(B225,Costos_Proveedores!$B$2:$J$1000,9,FALSE())</f>
        <v>4289</v>
      </c>
      <c r="K225" s="5">
        <f t="shared" si="2"/>
        <v>0</v>
      </c>
      <c r="L225" s="2">
        <v>92.0</v>
      </c>
      <c r="M225" s="2">
        <v>69.0</v>
      </c>
      <c r="N225" s="2">
        <v>0.0</v>
      </c>
      <c r="O225" s="2">
        <v>0.0</v>
      </c>
      <c r="P225" s="1">
        <f t="shared" si="3"/>
        <v>69</v>
      </c>
      <c r="Q225" s="1">
        <f t="shared" si="4"/>
        <v>0</v>
      </c>
      <c r="R225" s="1">
        <f t="shared" si="5"/>
        <v>69</v>
      </c>
      <c r="S225" s="6" t="s">
        <v>799</v>
      </c>
    </row>
    <row r="226">
      <c r="A226" s="3" t="str">
        <f t="array" ref="A226">XLOOKUP(B226,Costos_Proveedores!$B$2:$B$2000,Costos_Proveedores!$A$2:$A$2000)</f>
        <v>YOURGOAL</v>
      </c>
      <c r="B226" s="2" t="s">
        <v>800</v>
      </c>
      <c r="C226" s="2">
        <v>805306.0</v>
      </c>
      <c r="D226" s="2" t="s">
        <v>801</v>
      </c>
      <c r="E226" s="2" t="s">
        <v>47</v>
      </c>
      <c r="F226" s="2">
        <v>31.0</v>
      </c>
      <c r="G226" s="2">
        <v>4.0</v>
      </c>
      <c r="H226" s="3">
        <f t="shared" si="1"/>
        <v>31</v>
      </c>
      <c r="I226" s="2" t="s">
        <v>232</v>
      </c>
      <c r="J226" s="4">
        <f>VLOOKUP(B226,Costos_Proveedores!$B$2:$J$1000,9,FALSE())</f>
        <v>4289</v>
      </c>
      <c r="K226" s="5">
        <f t="shared" si="2"/>
        <v>132959</v>
      </c>
      <c r="L226" s="2">
        <v>47.0</v>
      </c>
      <c r="M226" s="2">
        <v>55.0</v>
      </c>
      <c r="N226" s="2">
        <v>0.0</v>
      </c>
      <c r="O226" s="2">
        <v>0.0</v>
      </c>
      <c r="P226" s="1">
        <f t="shared" si="3"/>
        <v>24</v>
      </c>
      <c r="Q226" s="1">
        <f t="shared" si="4"/>
        <v>0</v>
      </c>
      <c r="R226" s="1">
        <f t="shared" si="5"/>
        <v>24</v>
      </c>
      <c r="S226" s="6" t="s">
        <v>802</v>
      </c>
    </row>
    <row r="227">
      <c r="A227" s="3" t="str">
        <f t="array" ref="A227">XLOOKUP(B227,Costos_Proveedores!$B$2:$B$2000,Costos_Proveedores!$A$2:$A$2000)</f>
        <v>YOURGOAL</v>
      </c>
      <c r="B227" s="2" t="s">
        <v>803</v>
      </c>
      <c r="C227" s="2">
        <v>805307.0</v>
      </c>
      <c r="D227" s="2" t="s">
        <v>804</v>
      </c>
      <c r="E227" s="2" t="s">
        <v>47</v>
      </c>
      <c r="F227" s="2">
        <v>88.0</v>
      </c>
      <c r="G227" s="2">
        <v>2.0</v>
      </c>
      <c r="H227" s="3">
        <f t="shared" si="1"/>
        <v>88</v>
      </c>
      <c r="I227" s="2" t="s">
        <v>232</v>
      </c>
      <c r="J227" s="4">
        <f>VLOOKUP(B227,Costos_Proveedores!$B$2:$J$1000,9,FALSE())</f>
        <v>4289</v>
      </c>
      <c r="K227" s="5">
        <f t="shared" si="2"/>
        <v>377432</v>
      </c>
      <c r="L227" s="2">
        <v>39.0</v>
      </c>
      <c r="M227" s="2">
        <v>28.0</v>
      </c>
      <c r="N227" s="2">
        <v>0.0</v>
      </c>
      <c r="O227" s="2">
        <v>0.0</v>
      </c>
      <c r="P227" s="1">
        <f t="shared" si="3"/>
        <v>0</v>
      </c>
      <c r="Q227" s="1">
        <f t="shared" si="4"/>
        <v>0</v>
      </c>
      <c r="R227" s="1">
        <f t="shared" si="5"/>
        <v>0</v>
      </c>
      <c r="S227" s="6" t="s">
        <v>805</v>
      </c>
    </row>
    <row r="228">
      <c r="A228" s="3" t="str">
        <f t="array" ref="A228">XLOOKUP(B228,Costos_Proveedores!$B$2:$B$2000,Costos_Proveedores!$A$2:$A$2000)</f>
        <v>MULI</v>
      </c>
      <c r="B228" s="2" t="s">
        <v>806</v>
      </c>
      <c r="C228" s="2" t="s">
        <v>807</v>
      </c>
      <c r="D228" s="2" t="s">
        <v>808</v>
      </c>
      <c r="E228" s="2" t="s">
        <v>31</v>
      </c>
      <c r="F228" s="2">
        <v>0.0</v>
      </c>
      <c r="G228" s="2">
        <v>0.0</v>
      </c>
      <c r="H228" s="3">
        <f t="shared" si="1"/>
        <v>0</v>
      </c>
      <c r="I228" s="2" t="s">
        <v>22</v>
      </c>
      <c r="J228" s="4">
        <f>VLOOKUP(B228,Costos_Proveedores!$B$2:$J$1000,9,FALSE())</f>
        <v>10080</v>
      </c>
      <c r="K228" s="5">
        <f t="shared" si="2"/>
        <v>0</v>
      </c>
      <c r="L228" s="2"/>
      <c r="M228" s="2"/>
      <c r="N228" s="2"/>
      <c r="O228" s="2"/>
      <c r="P228" s="1">
        <f t="shared" si="3"/>
        <v>0</v>
      </c>
      <c r="Q228" s="1">
        <f t="shared" si="4"/>
        <v>0</v>
      </c>
      <c r="R228" s="1">
        <f t="shared" si="5"/>
        <v>0</v>
      </c>
      <c r="S228" s="6" t="s">
        <v>809</v>
      </c>
    </row>
    <row r="229">
      <c r="A229" s="3" t="str">
        <f t="array" ref="A229">XLOOKUP(B229,Costos_Proveedores!$B$2:$B$2000,Costos_Proveedores!$A$2:$A$2000)</f>
        <v>GSM</v>
      </c>
      <c r="B229" s="2" t="s">
        <v>810</v>
      </c>
      <c r="C229" s="2">
        <v>6.931474751485E12</v>
      </c>
      <c r="D229" s="2" t="s">
        <v>811</v>
      </c>
      <c r="E229" s="2" t="s">
        <v>31</v>
      </c>
      <c r="F229" s="2">
        <v>0.0</v>
      </c>
      <c r="G229" s="2">
        <v>32.0</v>
      </c>
      <c r="H229" s="3">
        <f t="shared" si="1"/>
        <v>32</v>
      </c>
      <c r="I229" s="2" t="s">
        <v>22</v>
      </c>
      <c r="J229" s="4">
        <f>VLOOKUP(B229,Costos_Proveedores!$B$2:$J$1000,9,FALSE())</f>
        <v>2700</v>
      </c>
      <c r="K229" s="5">
        <f t="shared" si="2"/>
        <v>86400</v>
      </c>
      <c r="L229" s="2">
        <v>33.0</v>
      </c>
      <c r="M229" s="2">
        <v>31.0</v>
      </c>
      <c r="N229" s="2">
        <v>2.0</v>
      </c>
      <c r="O229" s="2">
        <v>0.0</v>
      </c>
      <c r="P229" s="1">
        <f t="shared" si="3"/>
        <v>31</v>
      </c>
      <c r="Q229" s="1">
        <f t="shared" si="4"/>
        <v>0</v>
      </c>
      <c r="R229" s="1">
        <f t="shared" si="5"/>
        <v>31</v>
      </c>
      <c r="S229" s="6" t="s">
        <v>812</v>
      </c>
    </row>
    <row r="230">
      <c r="A230" s="3" t="str">
        <f t="array" ref="A230">XLOOKUP(B230,Costos_Proveedores!$B$2:$B$2000,Costos_Proveedores!$A$2:$A$2000)</f>
        <v>MULI</v>
      </c>
      <c r="B230" s="2" t="s">
        <v>813</v>
      </c>
      <c r="C230" s="2" t="s">
        <v>814</v>
      </c>
      <c r="D230" s="2" t="s">
        <v>815</v>
      </c>
      <c r="E230" s="2" t="s">
        <v>31</v>
      </c>
      <c r="F230" s="2">
        <v>0.0</v>
      </c>
      <c r="G230" s="2">
        <v>0.0</v>
      </c>
      <c r="H230" s="3">
        <f t="shared" si="1"/>
        <v>0</v>
      </c>
      <c r="I230" s="2" t="s">
        <v>22</v>
      </c>
      <c r="J230" s="4">
        <f>VLOOKUP(B230,Costos_Proveedores!$B$2:$J$1000,9,FALSE())</f>
        <v>10080</v>
      </c>
      <c r="K230" s="5">
        <f t="shared" si="2"/>
        <v>0</v>
      </c>
      <c r="L230" s="2"/>
      <c r="M230" s="2"/>
      <c r="N230" s="2"/>
      <c r="O230" s="2"/>
      <c r="P230" s="1">
        <f t="shared" si="3"/>
        <v>0</v>
      </c>
      <c r="Q230" s="1">
        <f t="shared" si="4"/>
        <v>0</v>
      </c>
      <c r="R230" s="1">
        <f t="shared" si="5"/>
        <v>0</v>
      </c>
      <c r="S230" s="6" t="s">
        <v>816</v>
      </c>
    </row>
    <row r="231">
      <c r="A231" s="3" t="str">
        <f t="array" ref="A231">XLOOKUP(B231,Costos_Proveedores!$B$2:$B$2000,Costos_Proveedores!$A$2:$A$2000)</f>
        <v>MULI</v>
      </c>
      <c r="B231" s="2" t="s">
        <v>817</v>
      </c>
      <c r="C231" s="2" t="s">
        <v>818</v>
      </c>
      <c r="D231" s="2" t="s">
        <v>819</v>
      </c>
      <c r="E231" s="2" t="s">
        <v>47</v>
      </c>
      <c r="F231" s="2">
        <v>1.0</v>
      </c>
      <c r="G231" s="2">
        <v>0.0</v>
      </c>
      <c r="H231" s="3">
        <f t="shared" si="1"/>
        <v>1</v>
      </c>
      <c r="I231" s="2" t="s">
        <v>22</v>
      </c>
      <c r="J231" s="4">
        <f>VLOOKUP(B231,Costos_Proveedores!$B$2:$J$1000,9,FALSE())</f>
        <v>10080</v>
      </c>
      <c r="K231" s="5">
        <f t="shared" si="2"/>
        <v>10080</v>
      </c>
      <c r="L231" s="2"/>
      <c r="M231" s="2"/>
      <c r="N231" s="2"/>
      <c r="O231" s="2"/>
      <c r="P231" s="1">
        <f t="shared" si="3"/>
        <v>0</v>
      </c>
      <c r="Q231" s="1">
        <f t="shared" si="4"/>
        <v>0</v>
      </c>
      <c r="R231" s="1">
        <f t="shared" si="5"/>
        <v>0</v>
      </c>
      <c r="S231" s="6" t="s">
        <v>820</v>
      </c>
    </row>
    <row r="232">
      <c r="A232" s="3" t="str">
        <f t="array" ref="A232">XLOOKUP(B232,Costos_Proveedores!$B$2:$B$2000,Costos_Proveedores!$A$2:$A$2000)</f>
        <v>GSM</v>
      </c>
      <c r="B232" s="2" t="s">
        <v>821</v>
      </c>
      <c r="C232" s="2">
        <v>6.942007625593E12</v>
      </c>
      <c r="D232" s="2" t="s">
        <v>822</v>
      </c>
      <c r="E232" s="2" t="s">
        <v>31</v>
      </c>
      <c r="F232" s="2">
        <v>0.0</v>
      </c>
      <c r="G232" s="2">
        <v>0.0</v>
      </c>
      <c r="H232" s="3">
        <f t="shared" si="1"/>
        <v>0</v>
      </c>
      <c r="I232" s="2" t="s">
        <v>22</v>
      </c>
      <c r="J232" s="4">
        <f>VLOOKUP(B232,Costos_Proveedores!$B$2:$J$1000,9,FALSE())</f>
        <v>11700</v>
      </c>
      <c r="K232" s="5">
        <f t="shared" si="2"/>
        <v>0</v>
      </c>
      <c r="L232" s="2">
        <v>16.0</v>
      </c>
      <c r="M232" s="2">
        <v>16.0</v>
      </c>
      <c r="N232" s="2">
        <v>0.0</v>
      </c>
      <c r="O232" s="2">
        <v>0.0</v>
      </c>
      <c r="P232" s="1">
        <f t="shared" si="3"/>
        <v>16</v>
      </c>
      <c r="Q232" s="1">
        <f t="shared" si="4"/>
        <v>0</v>
      </c>
      <c r="R232" s="1">
        <f t="shared" si="5"/>
        <v>16</v>
      </c>
      <c r="S232" s="6" t="s">
        <v>823</v>
      </c>
    </row>
    <row r="233">
      <c r="A233" s="3" t="str">
        <f t="array" ref="A233">XLOOKUP(B233,Costos_Proveedores!$B$2:$B$2000,Costos_Proveedores!$A$2:$A$2000)</f>
        <v>FUNGI PHARMA</v>
      </c>
      <c r="B233" s="2" t="s">
        <v>824</v>
      </c>
      <c r="C233" s="2" t="s">
        <v>825</v>
      </c>
      <c r="D233" s="2" t="s">
        <v>826</v>
      </c>
      <c r="E233" s="2" t="s">
        <v>47</v>
      </c>
      <c r="F233" s="2">
        <v>13.0</v>
      </c>
      <c r="G233" s="2">
        <v>4.0</v>
      </c>
      <c r="H233" s="3">
        <f t="shared" si="1"/>
        <v>13</v>
      </c>
      <c r="I233" s="2" t="s">
        <v>232</v>
      </c>
      <c r="J233" s="4">
        <f>VLOOKUP(B233,Costos_Proveedores!$B$2:$J$1000,9,FALSE())</f>
        <v>8876</v>
      </c>
      <c r="K233" s="5">
        <f t="shared" si="2"/>
        <v>115388</v>
      </c>
      <c r="L233" s="2">
        <v>2.0</v>
      </c>
      <c r="M233" s="2">
        <v>1.0</v>
      </c>
      <c r="N233" s="2">
        <v>0.0</v>
      </c>
      <c r="O233" s="2">
        <v>0.0</v>
      </c>
      <c r="P233" s="1">
        <f t="shared" si="3"/>
        <v>0</v>
      </c>
      <c r="Q233" s="1">
        <f t="shared" si="4"/>
        <v>0</v>
      </c>
      <c r="R233" s="1">
        <f t="shared" si="5"/>
        <v>0</v>
      </c>
      <c r="S233" s="6" t="s">
        <v>827</v>
      </c>
    </row>
    <row r="234">
      <c r="A234" s="3" t="str">
        <f t="array" ref="A234">XLOOKUP(B234,Costos_Proveedores!$B$2:$B$2000,Costos_Proveedores!$A$2:$A$2000)</f>
        <v>FUNGI PHARMA</v>
      </c>
      <c r="B234" s="2" t="s">
        <v>828</v>
      </c>
      <c r="C234" s="2" t="s">
        <v>829</v>
      </c>
      <c r="D234" s="2" t="s">
        <v>830</v>
      </c>
      <c r="E234" s="2" t="s">
        <v>47</v>
      </c>
      <c r="F234" s="2">
        <v>12.0</v>
      </c>
      <c r="G234" s="2">
        <v>4.0</v>
      </c>
      <c r="H234" s="3">
        <f t="shared" si="1"/>
        <v>12</v>
      </c>
      <c r="I234" s="2" t="s">
        <v>232</v>
      </c>
      <c r="J234" s="4">
        <f>VLOOKUP(B234,Costos_Proveedores!$B$2:$J$1000,9,FALSE())</f>
        <v>8876</v>
      </c>
      <c r="K234" s="5">
        <f t="shared" si="2"/>
        <v>106512</v>
      </c>
      <c r="L234" s="2">
        <v>3.0</v>
      </c>
      <c r="M234" s="2">
        <v>2.0</v>
      </c>
      <c r="N234" s="2">
        <v>0.0</v>
      </c>
      <c r="O234" s="2">
        <v>0.0</v>
      </c>
      <c r="P234" s="1">
        <f t="shared" si="3"/>
        <v>0</v>
      </c>
      <c r="Q234" s="1">
        <f t="shared" si="4"/>
        <v>0</v>
      </c>
      <c r="R234" s="1">
        <f t="shared" si="5"/>
        <v>0</v>
      </c>
      <c r="S234" s="6" t="s">
        <v>831</v>
      </c>
    </row>
    <row r="235">
      <c r="A235" s="3" t="str">
        <f t="array" ref="A235">XLOOKUP(B235,Costos_Proveedores!$B$2:$B$2000,Costos_Proveedores!$A$2:$A$2000)</f>
        <v>FUNGI PHARMA</v>
      </c>
      <c r="B235" s="2" t="s">
        <v>832</v>
      </c>
      <c r="C235" s="2" t="s">
        <v>833</v>
      </c>
      <c r="D235" s="2" t="s">
        <v>834</v>
      </c>
      <c r="E235" s="2" t="s">
        <v>31</v>
      </c>
      <c r="F235" s="2">
        <v>0.0</v>
      </c>
      <c r="G235" s="2">
        <v>4.0</v>
      </c>
      <c r="H235" s="3">
        <f t="shared" si="1"/>
        <v>0</v>
      </c>
      <c r="I235" s="2" t="s">
        <v>232</v>
      </c>
      <c r="J235" s="4">
        <f>VLOOKUP(B235,Costos_Proveedores!$B$2:$J$1000,9,FALSE())</f>
        <v>8876</v>
      </c>
      <c r="K235" s="5">
        <f t="shared" si="2"/>
        <v>0</v>
      </c>
      <c r="L235" s="2">
        <v>1.0</v>
      </c>
      <c r="M235" s="2">
        <v>1.0</v>
      </c>
      <c r="N235" s="2">
        <v>0.0</v>
      </c>
      <c r="O235" s="2">
        <v>0.0</v>
      </c>
      <c r="P235" s="1">
        <f t="shared" si="3"/>
        <v>1</v>
      </c>
      <c r="Q235" s="1">
        <f t="shared" si="4"/>
        <v>0</v>
      </c>
      <c r="R235" s="1">
        <f t="shared" si="5"/>
        <v>1</v>
      </c>
      <c r="S235" s="6" t="s">
        <v>835</v>
      </c>
    </row>
    <row r="236">
      <c r="A236" s="3" t="str">
        <f t="array" ref="A236">XLOOKUP(B236,Costos_Proveedores!$B$2:$B$2000,Costos_Proveedores!$A$2:$A$2000)</f>
        <v>FUNGI PHARMA</v>
      </c>
      <c r="B236" s="2" t="s">
        <v>836</v>
      </c>
      <c r="C236" s="2" t="s">
        <v>837</v>
      </c>
      <c r="D236" s="2" t="s">
        <v>838</v>
      </c>
      <c r="E236" s="2" t="s">
        <v>47</v>
      </c>
      <c r="F236" s="2">
        <v>14.0</v>
      </c>
      <c r="G236" s="2">
        <v>4.0</v>
      </c>
      <c r="H236" s="3">
        <f t="shared" si="1"/>
        <v>14</v>
      </c>
      <c r="I236" s="2" t="s">
        <v>232</v>
      </c>
      <c r="J236" s="4">
        <f>VLOOKUP(B236,Costos_Proveedores!$B$2:$J$1000,9,FALSE())</f>
        <v>8876</v>
      </c>
      <c r="K236" s="5">
        <f t="shared" si="2"/>
        <v>124264</v>
      </c>
      <c r="L236" s="2">
        <v>1.0</v>
      </c>
      <c r="M236" s="2"/>
      <c r="N236" s="2"/>
      <c r="O236" s="2"/>
      <c r="P236" s="1">
        <f t="shared" si="3"/>
        <v>0</v>
      </c>
      <c r="Q236" s="1">
        <f t="shared" si="4"/>
        <v>0</v>
      </c>
      <c r="R236" s="1">
        <f t="shared" si="5"/>
        <v>0</v>
      </c>
      <c r="S236" s="6" t="s">
        <v>839</v>
      </c>
    </row>
    <row r="237">
      <c r="A237" s="3" t="str">
        <f t="array" ref="A237">XLOOKUP(B237,Costos_Proveedores!$B$2:$B$2000,Costos_Proveedores!$A$2:$A$2000)</f>
        <v>FUNGI PHARMA</v>
      </c>
      <c r="B237" s="2" t="s">
        <v>840</v>
      </c>
      <c r="C237" s="2" t="s">
        <v>841</v>
      </c>
      <c r="D237" s="2" t="s">
        <v>842</v>
      </c>
      <c r="E237" s="2" t="s">
        <v>47</v>
      </c>
      <c r="F237" s="2">
        <v>2.0</v>
      </c>
      <c r="G237" s="2">
        <v>4.0</v>
      </c>
      <c r="H237" s="3">
        <f t="shared" si="1"/>
        <v>2</v>
      </c>
      <c r="I237" s="2" t="s">
        <v>232</v>
      </c>
      <c r="J237" s="4">
        <f>VLOOKUP(B237,Costos_Proveedores!$B$2:$J$1000,9,FALSE())</f>
        <v>8876</v>
      </c>
      <c r="K237" s="5">
        <f t="shared" si="2"/>
        <v>17752</v>
      </c>
      <c r="L237" s="2">
        <v>13.0</v>
      </c>
      <c r="M237" s="2">
        <v>10.0</v>
      </c>
      <c r="N237" s="2">
        <v>0.0</v>
      </c>
      <c r="O237" s="2">
        <v>0.0</v>
      </c>
      <c r="P237" s="1">
        <f t="shared" si="3"/>
        <v>8</v>
      </c>
      <c r="Q237" s="1">
        <f t="shared" si="4"/>
        <v>0</v>
      </c>
      <c r="R237" s="1">
        <f t="shared" si="5"/>
        <v>8</v>
      </c>
      <c r="S237" s="6" t="s">
        <v>843</v>
      </c>
    </row>
    <row r="238">
      <c r="A238" s="3" t="str">
        <f t="array" ref="A238">XLOOKUP(B238,Costos_Proveedores!$B$2:$B$2000,Costos_Proveedores!$A$2:$A$2000)</f>
        <v>ALMA</v>
      </c>
      <c r="B238" s="2" t="s">
        <v>844</v>
      </c>
      <c r="C238" s="2" t="s">
        <v>845</v>
      </c>
      <c r="D238" s="2" t="s">
        <v>846</v>
      </c>
      <c r="E238" s="2" t="s">
        <v>47</v>
      </c>
      <c r="F238" s="2">
        <v>17.0</v>
      </c>
      <c r="G238" s="2">
        <v>0.0</v>
      </c>
      <c r="H238" s="3">
        <f t="shared" si="1"/>
        <v>17</v>
      </c>
      <c r="I238" s="2" t="s">
        <v>232</v>
      </c>
      <c r="J238" s="4">
        <f>VLOOKUP(B238,Costos_Proveedores!$B$2:$J$1000,9,FALSE())</f>
        <v>12977</v>
      </c>
      <c r="K238" s="5">
        <f t="shared" si="2"/>
        <v>220609</v>
      </c>
      <c r="L238" s="2">
        <v>1.0</v>
      </c>
      <c r="M238" s="2">
        <v>1.0</v>
      </c>
      <c r="N238" s="2">
        <v>0.0</v>
      </c>
      <c r="O238" s="2">
        <v>0.0</v>
      </c>
      <c r="P238" s="1">
        <f t="shared" si="3"/>
        <v>0</v>
      </c>
      <c r="Q238" s="1">
        <f t="shared" si="4"/>
        <v>0</v>
      </c>
      <c r="R238" s="1">
        <f t="shared" si="5"/>
        <v>0</v>
      </c>
      <c r="S238" s="6" t="s">
        <v>847</v>
      </c>
    </row>
    <row r="239">
      <c r="A239" s="3" t="str">
        <f t="array" ref="A239">XLOOKUP(B239,Costos_Proveedores!$B$2:$B$2000,Costos_Proveedores!$A$2:$A$2000)</f>
        <v>ALMA</v>
      </c>
      <c r="B239" s="2" t="s">
        <v>848</v>
      </c>
      <c r="C239" s="2" t="s">
        <v>849</v>
      </c>
      <c r="D239" s="2" t="s">
        <v>850</v>
      </c>
      <c r="E239" s="2" t="s">
        <v>47</v>
      </c>
      <c r="F239" s="2">
        <v>12.0</v>
      </c>
      <c r="G239" s="2">
        <v>0.0</v>
      </c>
      <c r="H239" s="3">
        <f t="shared" si="1"/>
        <v>12</v>
      </c>
      <c r="I239" s="2" t="s">
        <v>232</v>
      </c>
      <c r="J239" s="4">
        <f>VLOOKUP(B239,Costos_Proveedores!$B$2:$J$1000,9,FALSE())</f>
        <v>12977</v>
      </c>
      <c r="K239" s="5">
        <f t="shared" si="2"/>
        <v>155724</v>
      </c>
      <c r="L239" s="2">
        <v>2.0</v>
      </c>
      <c r="M239" s="2">
        <v>2.0</v>
      </c>
      <c r="N239" s="2">
        <v>0.0</v>
      </c>
      <c r="O239" s="2">
        <v>0.0</v>
      </c>
      <c r="P239" s="1">
        <f t="shared" si="3"/>
        <v>0</v>
      </c>
      <c r="Q239" s="1">
        <f t="shared" si="4"/>
        <v>0</v>
      </c>
      <c r="R239" s="1">
        <f t="shared" si="5"/>
        <v>0</v>
      </c>
      <c r="S239" s="6" t="s">
        <v>851</v>
      </c>
    </row>
    <row r="240">
      <c r="A240" s="3" t="str">
        <f t="array" ref="A240">XLOOKUP(B240,Costos_Proveedores!$B$2:$B$2000,Costos_Proveedores!$A$2:$A$2000)</f>
        <v>GSM</v>
      </c>
      <c r="B240" s="2" t="s">
        <v>852</v>
      </c>
      <c r="C240" s="2">
        <v>6.931474758507E12</v>
      </c>
      <c r="D240" s="2" t="s">
        <v>853</v>
      </c>
      <c r="E240" s="2" t="s">
        <v>47</v>
      </c>
      <c r="F240" s="2">
        <v>167.0</v>
      </c>
      <c r="G240" s="2">
        <v>0.0</v>
      </c>
      <c r="H240" s="3">
        <f t="shared" si="1"/>
        <v>167</v>
      </c>
      <c r="I240" s="2" t="s">
        <v>22</v>
      </c>
      <c r="J240" s="4">
        <f>VLOOKUP(B240,Costos_Proveedores!$B$2:$J$1000,9,FALSE())</f>
        <v>2989</v>
      </c>
      <c r="K240" s="5">
        <f t="shared" si="2"/>
        <v>499163</v>
      </c>
      <c r="L240" s="2">
        <v>62.0</v>
      </c>
      <c r="M240" s="2">
        <v>65.0</v>
      </c>
      <c r="N240" s="2">
        <v>0.0</v>
      </c>
      <c r="O240" s="2">
        <v>0.0</v>
      </c>
      <c r="P240" s="1">
        <f t="shared" si="3"/>
        <v>0</v>
      </c>
      <c r="Q240" s="1">
        <f t="shared" si="4"/>
        <v>0</v>
      </c>
      <c r="R240" s="1">
        <f t="shared" si="5"/>
        <v>0</v>
      </c>
      <c r="S240" s="6" t="s">
        <v>854</v>
      </c>
    </row>
    <row r="241">
      <c r="A241" s="3" t="str">
        <f t="array" ref="A241">XLOOKUP(B241,Costos_Proveedores!$B$2:$B$2000,Costos_Proveedores!$A$2:$A$2000)</f>
        <v>CEMAX</v>
      </c>
      <c r="B241" s="2" t="s">
        <v>855</v>
      </c>
      <c r="C241" s="2">
        <v>1250.0</v>
      </c>
      <c r="D241" s="2" t="s">
        <v>856</v>
      </c>
      <c r="E241" s="2" t="s">
        <v>31</v>
      </c>
      <c r="F241" s="2">
        <v>0.0</v>
      </c>
      <c r="G241" s="2">
        <v>5.0</v>
      </c>
      <c r="H241" s="3">
        <f t="shared" si="1"/>
        <v>5</v>
      </c>
      <c r="I241" s="2" t="s">
        <v>22</v>
      </c>
      <c r="J241" s="4">
        <f>VLOOKUP(B241,Costos_Proveedores!$B$2:$J$1000,9,FALSE())</f>
        <v>15393</v>
      </c>
      <c r="K241" s="5">
        <f t="shared" si="2"/>
        <v>76965</v>
      </c>
      <c r="L241" s="2"/>
      <c r="M241" s="2"/>
      <c r="N241" s="2"/>
      <c r="O241" s="2"/>
      <c r="P241" s="1">
        <f t="shared" si="3"/>
        <v>0</v>
      </c>
      <c r="Q241" s="1">
        <f t="shared" si="4"/>
        <v>0</v>
      </c>
      <c r="R241" s="1">
        <f t="shared" si="5"/>
        <v>0</v>
      </c>
      <c r="S241" s="6" t="s">
        <v>857</v>
      </c>
    </row>
    <row r="242">
      <c r="A242" s="3" t="str">
        <f t="array" ref="A242">XLOOKUP(B242,Costos_Proveedores!$B$2:$B$2000,Costos_Proveedores!$A$2:$A$2000)</f>
        <v>CEMAX</v>
      </c>
      <c r="B242" s="2" t="s">
        <v>858</v>
      </c>
      <c r="C242" s="2">
        <v>1283.0</v>
      </c>
      <c r="D242" s="2" t="s">
        <v>859</v>
      </c>
      <c r="E242" s="2" t="s">
        <v>31</v>
      </c>
      <c r="F242" s="2">
        <v>0.0</v>
      </c>
      <c r="G242" s="2">
        <v>0.0</v>
      </c>
      <c r="H242" s="3">
        <f t="shared" si="1"/>
        <v>0</v>
      </c>
      <c r="I242" s="2" t="s">
        <v>22</v>
      </c>
      <c r="J242" s="4">
        <f>VLOOKUP(B242,Costos_Proveedores!$B$2:$J$1000,9,FALSE())</f>
        <v>11194</v>
      </c>
      <c r="K242" s="5">
        <f t="shared" si="2"/>
        <v>0</v>
      </c>
      <c r="L242" s="2">
        <v>18.0</v>
      </c>
      <c r="M242" s="2">
        <v>18.0</v>
      </c>
      <c r="N242" s="2">
        <v>0.0</v>
      </c>
      <c r="O242" s="2">
        <v>0.0</v>
      </c>
      <c r="P242" s="1">
        <f t="shared" si="3"/>
        <v>18</v>
      </c>
      <c r="Q242" s="1">
        <f t="shared" si="4"/>
        <v>0</v>
      </c>
      <c r="R242" s="1">
        <f t="shared" si="5"/>
        <v>18</v>
      </c>
      <c r="S242" s="6" t="s">
        <v>860</v>
      </c>
    </row>
    <row r="243">
      <c r="A243" s="3" t="str">
        <f t="array" ref="A243">XLOOKUP(B243,Costos_Proveedores!$B$2:$B$2000,Costos_Proveedores!$A$2:$A$2000)</f>
        <v>CEMAX</v>
      </c>
      <c r="B243" s="2" t="s">
        <v>861</v>
      </c>
      <c r="C243" s="2">
        <v>1408.0</v>
      </c>
      <c r="D243" s="2" t="s">
        <v>862</v>
      </c>
      <c r="E243" s="2" t="s">
        <v>47</v>
      </c>
      <c r="F243" s="2">
        <v>1.0</v>
      </c>
      <c r="G243" s="2">
        <v>0.0</v>
      </c>
      <c r="H243" s="3">
        <f t="shared" si="1"/>
        <v>1</v>
      </c>
      <c r="I243" s="2" t="s">
        <v>22</v>
      </c>
      <c r="J243" s="4">
        <f>VLOOKUP(B243,Costos_Proveedores!$B$2:$J$1000,9,FALSE())</f>
        <v>10494</v>
      </c>
      <c r="K243" s="5">
        <f t="shared" si="2"/>
        <v>10494</v>
      </c>
      <c r="L243" s="2">
        <v>46.0</v>
      </c>
      <c r="M243" s="2">
        <v>27.0</v>
      </c>
      <c r="N243" s="2">
        <v>20.0</v>
      </c>
      <c r="O243" s="2">
        <v>0.0</v>
      </c>
      <c r="P243" s="1">
        <f t="shared" si="3"/>
        <v>26</v>
      </c>
      <c r="Q243" s="1">
        <f t="shared" si="4"/>
        <v>20</v>
      </c>
      <c r="R243" s="1">
        <f t="shared" si="5"/>
        <v>46</v>
      </c>
      <c r="S243" s="6" t="s">
        <v>863</v>
      </c>
    </row>
    <row r="244">
      <c r="A244" s="3" t="str">
        <f t="array" ref="A244">XLOOKUP(B244,Costos_Proveedores!$B$2:$B$2000,Costos_Proveedores!$A$2:$A$2000)</f>
        <v>CEMAX</v>
      </c>
      <c r="B244" s="2" t="s">
        <v>864</v>
      </c>
      <c r="C244" s="2">
        <v>1432.0</v>
      </c>
      <c r="D244" s="2" t="s">
        <v>865</v>
      </c>
      <c r="E244" s="2" t="s">
        <v>47</v>
      </c>
      <c r="F244" s="2">
        <v>1.0</v>
      </c>
      <c r="G244" s="2">
        <v>1.0</v>
      </c>
      <c r="H244" s="3">
        <f t="shared" si="1"/>
        <v>2</v>
      </c>
      <c r="I244" s="2" t="s">
        <v>22</v>
      </c>
      <c r="J244" s="4">
        <f>VLOOKUP(B244,Costos_Proveedores!$B$2:$J$1000,9,FALSE())</f>
        <v>48994</v>
      </c>
      <c r="K244" s="5">
        <f t="shared" si="2"/>
        <v>97988</v>
      </c>
      <c r="L244" s="2">
        <v>5.0</v>
      </c>
      <c r="M244" s="2">
        <v>5.0</v>
      </c>
      <c r="N244" s="2">
        <v>0.0</v>
      </c>
      <c r="O244" s="2">
        <v>0.0</v>
      </c>
      <c r="P244" s="1">
        <f t="shared" si="3"/>
        <v>4</v>
      </c>
      <c r="Q244" s="1">
        <f t="shared" si="4"/>
        <v>0</v>
      </c>
      <c r="R244" s="1">
        <f t="shared" si="5"/>
        <v>4</v>
      </c>
      <c r="S244" s="6" t="s">
        <v>866</v>
      </c>
    </row>
    <row r="245">
      <c r="A245" s="3" t="str">
        <f t="array" ref="A245">XLOOKUP(B245,Costos_Proveedores!$B$2:$B$2000,Costos_Proveedores!$A$2:$A$2000)</f>
        <v>CEMAX</v>
      </c>
      <c r="B245" s="2" t="s">
        <v>867</v>
      </c>
      <c r="C245" s="2">
        <v>1319.0</v>
      </c>
      <c r="D245" s="2" t="s">
        <v>868</v>
      </c>
      <c r="E245" s="2" t="s">
        <v>47</v>
      </c>
      <c r="F245" s="2">
        <v>3.0</v>
      </c>
      <c r="G245" s="2">
        <v>0.0</v>
      </c>
      <c r="H245" s="3">
        <f t="shared" si="1"/>
        <v>3</v>
      </c>
      <c r="I245" s="2" t="s">
        <v>22</v>
      </c>
      <c r="J245" s="4">
        <f>VLOOKUP(B245,Costos_Proveedores!$B$2:$J$1000,9,FALSE())</f>
        <v>6293</v>
      </c>
      <c r="K245" s="5">
        <f t="shared" si="2"/>
        <v>18879</v>
      </c>
      <c r="L245" s="2">
        <v>32.0</v>
      </c>
      <c r="M245" s="2">
        <v>33.0</v>
      </c>
      <c r="N245" s="2">
        <v>0.0</v>
      </c>
      <c r="O245" s="2">
        <v>0.0</v>
      </c>
      <c r="P245" s="1">
        <f t="shared" si="3"/>
        <v>30</v>
      </c>
      <c r="Q245" s="1">
        <f t="shared" si="4"/>
        <v>0</v>
      </c>
      <c r="R245" s="1">
        <f t="shared" si="5"/>
        <v>30</v>
      </c>
      <c r="S245" s="6" t="s">
        <v>869</v>
      </c>
    </row>
    <row r="246">
      <c r="A246" s="3" t="str">
        <f t="array" ref="A246">XLOOKUP(B246,Costos_Proveedores!$B$2:$B$2000,Costos_Proveedores!$A$2:$A$2000)</f>
        <v>GSM</v>
      </c>
      <c r="B246" s="2" t="s">
        <v>870</v>
      </c>
      <c r="C246" s="2">
        <v>6.931474782496E12</v>
      </c>
      <c r="D246" s="2" t="s">
        <v>871</v>
      </c>
      <c r="E246" s="2" t="s">
        <v>31</v>
      </c>
      <c r="F246" s="2">
        <v>0.0</v>
      </c>
      <c r="G246" s="2">
        <v>1.0</v>
      </c>
      <c r="H246" s="3">
        <f t="shared" si="1"/>
        <v>1</v>
      </c>
      <c r="I246" s="2" t="s">
        <v>22</v>
      </c>
      <c r="J246" s="4">
        <f>VLOOKUP(B246,Costos_Proveedores!$B$2:$J$1000,9,FALSE())</f>
        <v>13500</v>
      </c>
      <c r="K246" s="5">
        <f t="shared" si="2"/>
        <v>13500</v>
      </c>
      <c r="L246" s="2"/>
      <c r="M246" s="2"/>
      <c r="N246" s="2"/>
      <c r="O246" s="2"/>
      <c r="P246" s="1">
        <f t="shared" si="3"/>
        <v>0</v>
      </c>
      <c r="Q246" s="1">
        <f t="shared" si="4"/>
        <v>0</v>
      </c>
      <c r="R246" s="1">
        <f t="shared" si="5"/>
        <v>0</v>
      </c>
      <c r="S246" s="6" t="s">
        <v>872</v>
      </c>
    </row>
    <row r="247">
      <c r="A247" s="3" t="str">
        <f t="array" ref="A247">XLOOKUP(B247,Costos_Proveedores!$B$2:$B$2000,Costos_Proveedores!$A$2:$A$2000)</f>
        <v>ESPACIO B</v>
      </c>
      <c r="B247" s="2" t="s">
        <v>873</v>
      </c>
      <c r="C247" s="2" t="s">
        <v>874</v>
      </c>
      <c r="D247" s="2" t="s">
        <v>875</v>
      </c>
      <c r="E247" s="2" t="s">
        <v>31</v>
      </c>
      <c r="F247" s="2">
        <v>0.0</v>
      </c>
      <c r="G247" s="2">
        <v>2.0</v>
      </c>
      <c r="H247" s="3">
        <f t="shared" si="1"/>
        <v>0</v>
      </c>
      <c r="I247" s="2" t="s">
        <v>232</v>
      </c>
      <c r="J247" s="4">
        <f>VLOOKUP(B247,Costos_Proveedores!$B$2:$J$1000,9,FALSE())</f>
        <v>4209</v>
      </c>
      <c r="K247" s="5">
        <f t="shared" si="2"/>
        <v>0</v>
      </c>
      <c r="L247" s="2"/>
      <c r="M247" s="2"/>
      <c r="N247" s="2"/>
      <c r="O247" s="2"/>
      <c r="P247" s="1">
        <f t="shared" si="3"/>
        <v>0</v>
      </c>
      <c r="Q247" s="1">
        <f t="shared" si="4"/>
        <v>0</v>
      </c>
      <c r="R247" s="1">
        <f t="shared" si="5"/>
        <v>0</v>
      </c>
      <c r="S247" s="6" t="s">
        <v>876</v>
      </c>
    </row>
    <row r="248">
      <c r="A248" s="3" t="str">
        <f t="array" ref="A248">XLOOKUP(B248,Costos_Proveedores!$B$2:$B$2000,Costos_Proveedores!$A$2:$A$2000)</f>
        <v>ESPACIO B</v>
      </c>
      <c r="B248" s="2" t="s">
        <v>877</v>
      </c>
      <c r="C248" s="2" t="s">
        <v>878</v>
      </c>
      <c r="D248" s="2" t="s">
        <v>879</v>
      </c>
      <c r="E248" s="2" t="s">
        <v>31</v>
      </c>
      <c r="F248" s="2">
        <v>0.0</v>
      </c>
      <c r="G248" s="2">
        <v>2.0</v>
      </c>
      <c r="H248" s="3">
        <f t="shared" si="1"/>
        <v>0</v>
      </c>
      <c r="I248" s="2" t="s">
        <v>232</v>
      </c>
      <c r="J248" s="4">
        <f>VLOOKUP(B248,Costos_Proveedores!$B$2:$J$1000,9,FALSE())</f>
        <v>5460</v>
      </c>
      <c r="K248" s="5">
        <f t="shared" si="2"/>
        <v>0</v>
      </c>
      <c r="L248" s="2"/>
      <c r="M248" s="2"/>
      <c r="N248" s="2"/>
      <c r="O248" s="2"/>
      <c r="P248" s="1">
        <f t="shared" si="3"/>
        <v>0</v>
      </c>
      <c r="Q248" s="1">
        <f t="shared" si="4"/>
        <v>0</v>
      </c>
      <c r="R248" s="1">
        <f t="shared" si="5"/>
        <v>0</v>
      </c>
      <c r="S248" s="6" t="s">
        <v>880</v>
      </c>
    </row>
    <row r="249">
      <c r="A249" s="3" t="str">
        <f t="array" ref="A249">XLOOKUP(B249,Costos_Proveedores!$B$2:$B$2000,Costos_Proveedores!$A$2:$A$2000)</f>
        <v>GSM</v>
      </c>
      <c r="B249" s="2" t="s">
        <v>881</v>
      </c>
      <c r="C249" s="2">
        <v>6.94200760666E12</v>
      </c>
      <c r="D249" s="2" t="s">
        <v>882</v>
      </c>
      <c r="E249" s="2" t="s">
        <v>47</v>
      </c>
      <c r="F249" s="2">
        <v>0.0</v>
      </c>
      <c r="G249" s="2">
        <v>72.0</v>
      </c>
      <c r="H249" s="3">
        <f t="shared" si="1"/>
        <v>72</v>
      </c>
      <c r="I249" s="2" t="s">
        <v>22</v>
      </c>
      <c r="J249" s="4">
        <f>VLOOKUP(B249,Costos_Proveedores!$B$2:$J$1000,9,FALSE())</f>
        <v>5400</v>
      </c>
      <c r="K249" s="5">
        <f t="shared" si="2"/>
        <v>388800</v>
      </c>
      <c r="L249" s="2">
        <v>6.0</v>
      </c>
      <c r="M249" s="2">
        <v>5.0</v>
      </c>
      <c r="N249" s="2">
        <v>1.0</v>
      </c>
      <c r="O249" s="2">
        <v>0.0</v>
      </c>
      <c r="P249" s="1">
        <f t="shared" si="3"/>
        <v>5</v>
      </c>
      <c r="Q249" s="1">
        <f t="shared" si="4"/>
        <v>0</v>
      </c>
      <c r="R249" s="1">
        <f t="shared" si="5"/>
        <v>5</v>
      </c>
      <c r="S249" s="6" t="s">
        <v>883</v>
      </c>
    </row>
    <row r="250">
      <c r="A250" s="3" t="str">
        <f t="array" ref="A250">XLOOKUP(B250,Costos_Proveedores!$B$2:$B$2000,Costos_Proveedores!$A$2:$A$2000)</f>
        <v>ESPACIO B</v>
      </c>
      <c r="B250" s="2" t="s">
        <v>884</v>
      </c>
      <c r="C250" s="2" t="s">
        <v>885</v>
      </c>
      <c r="D250" s="2" t="s">
        <v>886</v>
      </c>
      <c r="E250" s="2" t="s">
        <v>31</v>
      </c>
      <c r="F250" s="2">
        <v>0.0</v>
      </c>
      <c r="G250" s="2">
        <v>1.0</v>
      </c>
      <c r="H250" s="3">
        <f t="shared" si="1"/>
        <v>0</v>
      </c>
      <c r="I250" s="2" t="s">
        <v>232</v>
      </c>
      <c r="J250" s="4">
        <f>VLOOKUP(B250,Costos_Proveedores!$B$2:$J$1000,9,FALSE())</f>
        <v>4180</v>
      </c>
      <c r="K250" s="5">
        <f t="shared" si="2"/>
        <v>0</v>
      </c>
      <c r="L250" s="2"/>
      <c r="M250" s="2"/>
      <c r="N250" s="2"/>
      <c r="O250" s="2"/>
      <c r="P250" s="1">
        <f t="shared" si="3"/>
        <v>0</v>
      </c>
      <c r="Q250" s="1">
        <f t="shared" si="4"/>
        <v>0</v>
      </c>
      <c r="R250" s="1">
        <f t="shared" si="5"/>
        <v>0</v>
      </c>
      <c r="S250" s="6" t="s">
        <v>887</v>
      </c>
    </row>
    <row r="251">
      <c r="A251" s="3" t="str">
        <f t="array" ref="A251">XLOOKUP(B251,Costos_Proveedores!$B$2:$B$2000,Costos_Proveedores!$A$2:$A$2000)</f>
        <v>ESPACIO B</v>
      </c>
      <c r="B251" s="2" t="s">
        <v>888</v>
      </c>
      <c r="C251" s="2" t="s">
        <v>889</v>
      </c>
      <c r="D251" s="2" t="s">
        <v>890</v>
      </c>
      <c r="E251" s="2" t="s">
        <v>31</v>
      </c>
      <c r="F251" s="2">
        <v>0.0</v>
      </c>
      <c r="G251" s="2">
        <v>2.0</v>
      </c>
      <c r="H251" s="3">
        <f t="shared" si="1"/>
        <v>0</v>
      </c>
      <c r="I251" s="2" t="s">
        <v>232</v>
      </c>
      <c r="J251" s="4">
        <f>VLOOKUP(B251,Costos_Proveedores!$B$2:$J$1000,9,FALSE())</f>
        <v>5844</v>
      </c>
      <c r="K251" s="5">
        <f t="shared" si="2"/>
        <v>0</v>
      </c>
      <c r="L251" s="2"/>
      <c r="M251" s="2"/>
      <c r="N251" s="2"/>
      <c r="O251" s="2"/>
      <c r="P251" s="1">
        <f t="shared" si="3"/>
        <v>0</v>
      </c>
      <c r="Q251" s="1">
        <f t="shared" si="4"/>
        <v>0</v>
      </c>
      <c r="R251" s="1">
        <f t="shared" si="5"/>
        <v>0</v>
      </c>
      <c r="S251" s="6" t="s">
        <v>891</v>
      </c>
    </row>
    <row r="252">
      <c r="A252" s="3" t="str">
        <f t="array" ref="A252">XLOOKUP(B252,Costos_Proveedores!$B$2:$B$2000,Costos_Proveedores!$A$2:$A$2000)</f>
        <v>ESPACIO B</v>
      </c>
      <c r="B252" s="2" t="s">
        <v>892</v>
      </c>
      <c r="C252" s="2" t="s">
        <v>893</v>
      </c>
      <c r="D252" s="2" t="s">
        <v>894</v>
      </c>
      <c r="E252" s="2" t="s">
        <v>31</v>
      </c>
      <c r="F252" s="2">
        <v>0.0</v>
      </c>
      <c r="G252" s="2">
        <v>1.0</v>
      </c>
      <c r="H252" s="3">
        <f t="shared" si="1"/>
        <v>0</v>
      </c>
      <c r="I252" s="2" t="s">
        <v>232</v>
      </c>
      <c r="J252" s="4">
        <f>VLOOKUP(B252,Costos_Proveedores!$B$2:$J$1000,9,FALSE())</f>
        <v>6498</v>
      </c>
      <c r="K252" s="5">
        <f t="shared" si="2"/>
        <v>0</v>
      </c>
      <c r="L252" s="2"/>
      <c r="M252" s="2"/>
      <c r="N252" s="2"/>
      <c r="O252" s="2"/>
      <c r="P252" s="1">
        <f t="shared" si="3"/>
        <v>0</v>
      </c>
      <c r="Q252" s="1">
        <f t="shared" si="4"/>
        <v>0</v>
      </c>
      <c r="R252" s="1">
        <f t="shared" si="5"/>
        <v>0</v>
      </c>
      <c r="S252" s="6" t="s">
        <v>895</v>
      </c>
    </row>
    <row r="253">
      <c r="A253" s="3" t="str">
        <f t="array" ref="A253">XLOOKUP(B253,Costos_Proveedores!$B$2:$B$2000,Costos_Proveedores!$A$2:$A$2000)</f>
        <v>ESPACIO B</v>
      </c>
      <c r="B253" s="2" t="s">
        <v>896</v>
      </c>
      <c r="C253" s="2" t="s">
        <v>897</v>
      </c>
      <c r="D253" s="2" t="s">
        <v>898</v>
      </c>
      <c r="E253" s="2" t="s">
        <v>31</v>
      </c>
      <c r="G253" s="2">
        <v>0.0</v>
      </c>
      <c r="H253" s="3">
        <f t="shared" si="1"/>
        <v>0</v>
      </c>
      <c r="I253" s="2" t="s">
        <v>22</v>
      </c>
      <c r="J253" s="4">
        <f>VLOOKUP(B253,Costos_Proveedores!$B$2:$J$1000,9,FALSE())</f>
        <v>4209</v>
      </c>
      <c r="K253" s="5">
        <f t="shared" si="2"/>
        <v>0</v>
      </c>
      <c r="L253" s="2"/>
      <c r="M253" s="2"/>
      <c r="N253" s="2"/>
      <c r="O253" s="2"/>
      <c r="P253" s="1">
        <f t="shared" si="3"/>
        <v>0</v>
      </c>
      <c r="Q253" s="1">
        <f t="shared" si="4"/>
        <v>0</v>
      </c>
      <c r="R253" s="1">
        <f t="shared" si="5"/>
        <v>0</v>
      </c>
      <c r="S253" s="6" t="s">
        <v>899</v>
      </c>
    </row>
    <row r="254">
      <c r="A254" s="3" t="str">
        <f t="array" ref="A254">XLOOKUP(B254,Costos_Proveedores!$B$2:$B$2000,Costos_Proveedores!$A$2:$A$2000)</f>
        <v>CEMAX</v>
      </c>
      <c r="B254" s="2" t="s">
        <v>900</v>
      </c>
      <c r="C254" s="2">
        <v>1393.0</v>
      </c>
      <c r="D254" s="2" t="s">
        <v>901</v>
      </c>
      <c r="E254" s="2" t="s">
        <v>31</v>
      </c>
      <c r="F254" s="2">
        <v>0.0</v>
      </c>
      <c r="G254" s="2">
        <v>0.0</v>
      </c>
      <c r="H254" s="3">
        <f t="shared" si="1"/>
        <v>0</v>
      </c>
      <c r="I254" s="2" t="s">
        <v>22</v>
      </c>
      <c r="J254" s="4">
        <f>VLOOKUP(B254,Costos_Proveedores!$B$2:$J$1000,9,FALSE())</f>
        <v>69993</v>
      </c>
      <c r="K254" s="5">
        <f t="shared" si="2"/>
        <v>0</v>
      </c>
      <c r="L254" s="2">
        <v>17.0</v>
      </c>
      <c r="M254" s="2">
        <v>13.0</v>
      </c>
      <c r="N254" s="2">
        <v>4.0</v>
      </c>
      <c r="O254" s="2">
        <v>0.0</v>
      </c>
      <c r="P254" s="1">
        <f t="shared" si="3"/>
        <v>13</v>
      </c>
      <c r="Q254" s="1">
        <f t="shared" si="4"/>
        <v>4</v>
      </c>
      <c r="R254" s="1">
        <f t="shared" si="5"/>
        <v>17</v>
      </c>
      <c r="S254" s="6" t="s">
        <v>902</v>
      </c>
    </row>
    <row r="255">
      <c r="A255" s="3" t="str">
        <f t="array" ref="A255">XLOOKUP(B255,Costos_Proveedores!$B$2:$B$2000,Costos_Proveedores!$A$2:$A$2000)</f>
        <v>CEMAX</v>
      </c>
      <c r="B255" s="2" t="s">
        <v>903</v>
      </c>
      <c r="C255" s="2">
        <v>1439.0</v>
      </c>
      <c r="D255" s="2" t="s">
        <v>904</v>
      </c>
      <c r="E255" s="2" t="s">
        <v>31</v>
      </c>
      <c r="F255" s="2">
        <v>0.0</v>
      </c>
      <c r="G255" s="2">
        <v>1.0</v>
      </c>
      <c r="H255" s="3">
        <f t="shared" si="1"/>
        <v>1</v>
      </c>
      <c r="I255" s="2" t="s">
        <v>22</v>
      </c>
      <c r="J255" s="4">
        <f>VLOOKUP(B255,Costos_Proveedores!$B$2:$J$1000,9,FALSE())</f>
        <v>55993</v>
      </c>
      <c r="K255" s="5">
        <f t="shared" si="2"/>
        <v>55993</v>
      </c>
      <c r="L255" s="2"/>
      <c r="M255" s="2"/>
      <c r="N255" s="2"/>
      <c r="O255" s="2"/>
      <c r="P255" s="1">
        <f t="shared" si="3"/>
        <v>0</v>
      </c>
      <c r="Q255" s="1">
        <f t="shared" si="4"/>
        <v>0</v>
      </c>
      <c r="R255" s="1">
        <f t="shared" si="5"/>
        <v>0</v>
      </c>
      <c r="S255" s="6" t="s">
        <v>905</v>
      </c>
    </row>
    <row r="256">
      <c r="A256" s="3" t="str">
        <f t="array" ref="A256">XLOOKUP(B256,Costos_Proveedores!$B$2:$B$2000,Costos_Proveedores!$A$2:$A$2000)</f>
        <v>CEMAX</v>
      </c>
      <c r="B256" s="2" t="s">
        <v>906</v>
      </c>
      <c r="C256" s="2">
        <v>1444.0</v>
      </c>
      <c r="D256" s="2" t="s">
        <v>907</v>
      </c>
      <c r="E256" s="2" t="s">
        <v>31</v>
      </c>
      <c r="F256" s="2">
        <v>0.0</v>
      </c>
      <c r="G256" s="2">
        <v>1.0</v>
      </c>
      <c r="H256" s="3">
        <f t="shared" si="1"/>
        <v>1</v>
      </c>
      <c r="I256" s="2" t="s">
        <v>22</v>
      </c>
      <c r="J256" s="4">
        <f>VLOOKUP(B256,Costos_Proveedores!$B$2:$J$1000,9,FALSE())</f>
        <v>62993</v>
      </c>
      <c r="K256" s="5">
        <f t="shared" si="2"/>
        <v>62993</v>
      </c>
      <c r="L256" s="2"/>
      <c r="M256" s="2"/>
      <c r="N256" s="2"/>
      <c r="O256" s="2"/>
      <c r="P256" s="1">
        <f t="shared" si="3"/>
        <v>0</v>
      </c>
      <c r="Q256" s="1">
        <f t="shared" si="4"/>
        <v>0</v>
      </c>
      <c r="R256" s="1">
        <f t="shared" si="5"/>
        <v>0</v>
      </c>
      <c r="S256" s="6" t="s">
        <v>908</v>
      </c>
    </row>
    <row r="257">
      <c r="A257" s="3" t="str">
        <f t="array" ref="A257">XLOOKUP(B257,Costos_Proveedores!$B$2:$B$2000,Costos_Proveedores!$A$2:$A$2000)</f>
        <v>CEMAX</v>
      </c>
      <c r="B257" s="2" t="s">
        <v>909</v>
      </c>
      <c r="C257" s="2">
        <v>1219.0</v>
      </c>
      <c r="D257" s="2" t="s">
        <v>910</v>
      </c>
      <c r="E257" s="2" t="s">
        <v>31</v>
      </c>
      <c r="F257" s="2">
        <v>0.0</v>
      </c>
      <c r="G257" s="2">
        <v>0.0</v>
      </c>
      <c r="H257" s="3">
        <f t="shared" si="1"/>
        <v>0</v>
      </c>
      <c r="I257" s="2" t="s">
        <v>22</v>
      </c>
      <c r="J257" s="4">
        <f>VLOOKUP(B257,Costos_Proveedores!$B$2:$J$1000,9,FALSE())</f>
        <v>6992</v>
      </c>
      <c r="K257" s="5">
        <f t="shared" si="2"/>
        <v>0</v>
      </c>
      <c r="L257" s="2">
        <v>52.0</v>
      </c>
      <c r="M257" s="2">
        <v>52.0</v>
      </c>
      <c r="N257" s="2">
        <v>0.0</v>
      </c>
      <c r="O257" s="2">
        <v>0.0</v>
      </c>
      <c r="P257" s="1">
        <f t="shared" si="3"/>
        <v>52</v>
      </c>
      <c r="Q257" s="1">
        <f t="shared" si="4"/>
        <v>0</v>
      </c>
      <c r="R257" s="1">
        <f t="shared" si="5"/>
        <v>52</v>
      </c>
      <c r="S257" s="6" t="s">
        <v>911</v>
      </c>
    </row>
    <row r="258">
      <c r="A258" s="3" t="str">
        <f t="array" ref="A258">XLOOKUP(B258,Costos_Proveedores!$B$2:$B$2000,Costos_Proveedores!$A$2:$A$2000)</f>
        <v>CEMAX</v>
      </c>
      <c r="B258" s="2" t="s">
        <v>912</v>
      </c>
      <c r="C258" s="2">
        <v>1282.0</v>
      </c>
      <c r="D258" s="2" t="s">
        <v>913</v>
      </c>
      <c r="E258" s="2" t="s">
        <v>31</v>
      </c>
      <c r="F258" s="2">
        <v>0.0</v>
      </c>
      <c r="G258" s="2">
        <v>1.0</v>
      </c>
      <c r="H258" s="3">
        <f t="shared" si="1"/>
        <v>1</v>
      </c>
      <c r="I258" s="2" t="s">
        <v>22</v>
      </c>
      <c r="J258" s="4">
        <f>VLOOKUP(B258,Costos_Proveedores!$B$2:$J$1000,9,FALSE())</f>
        <v>9793</v>
      </c>
      <c r="K258" s="5">
        <f t="shared" si="2"/>
        <v>9793</v>
      </c>
      <c r="L258" s="2"/>
      <c r="M258" s="2"/>
      <c r="N258" s="2"/>
      <c r="O258" s="2"/>
      <c r="P258" s="1">
        <f t="shared" si="3"/>
        <v>0</v>
      </c>
      <c r="Q258" s="1">
        <f t="shared" si="4"/>
        <v>0</v>
      </c>
      <c r="R258" s="1">
        <f t="shared" si="5"/>
        <v>0</v>
      </c>
      <c r="S258" s="6" t="s">
        <v>914</v>
      </c>
    </row>
    <row r="259">
      <c r="A259" s="3" t="str">
        <f t="array" ref="A259">XLOOKUP(B259,Costos_Proveedores!$B$2:$B$2000,Costos_Proveedores!$A$2:$A$2000)</f>
        <v>CEMAX</v>
      </c>
      <c r="B259" s="2" t="s">
        <v>915</v>
      </c>
      <c r="C259" s="2">
        <v>1291.0</v>
      </c>
      <c r="D259" s="2" t="s">
        <v>916</v>
      </c>
      <c r="E259" s="2" t="s">
        <v>31</v>
      </c>
      <c r="F259" s="2">
        <v>0.0</v>
      </c>
      <c r="G259" s="2">
        <v>1.0</v>
      </c>
      <c r="H259" s="3">
        <f t="shared" si="1"/>
        <v>1</v>
      </c>
      <c r="I259" s="2" t="s">
        <v>22</v>
      </c>
      <c r="J259" s="4">
        <f>VLOOKUP(B259,Costos_Proveedores!$B$2:$J$1000,9,FALSE())</f>
        <v>6992</v>
      </c>
      <c r="K259" s="5">
        <f t="shared" si="2"/>
        <v>6992</v>
      </c>
      <c r="L259" s="2"/>
      <c r="M259" s="2"/>
      <c r="N259" s="2"/>
      <c r="O259" s="2"/>
      <c r="P259" s="1">
        <f t="shared" si="3"/>
        <v>0</v>
      </c>
      <c r="Q259" s="1">
        <f t="shared" si="4"/>
        <v>0</v>
      </c>
      <c r="R259" s="1">
        <f t="shared" si="5"/>
        <v>0</v>
      </c>
      <c r="S259" s="6" t="s">
        <v>917</v>
      </c>
    </row>
    <row r="260">
      <c r="A260" s="3" t="str">
        <f t="array" ref="A260">XLOOKUP(B260,Costos_Proveedores!$B$2:$B$2000,Costos_Proveedores!$A$2:$A$2000)</f>
        <v>ZEO SPORT</v>
      </c>
      <c r="B260" s="2" t="s">
        <v>918</v>
      </c>
      <c r="C260" s="2">
        <v>7.45853432485E11</v>
      </c>
      <c r="D260" s="2" t="s">
        <v>919</v>
      </c>
      <c r="E260" s="2" t="s">
        <v>31</v>
      </c>
      <c r="F260" s="2">
        <v>0.0</v>
      </c>
      <c r="G260" s="2">
        <v>9.0</v>
      </c>
      <c r="H260" s="3">
        <f t="shared" si="1"/>
        <v>0</v>
      </c>
      <c r="I260" s="2" t="s">
        <v>232</v>
      </c>
      <c r="J260" s="4">
        <f>VLOOKUP(B260,Costos_Proveedores!$B$2:$J$1000,9,FALSE())</f>
        <v>16660</v>
      </c>
      <c r="K260" s="5">
        <f t="shared" si="2"/>
        <v>0</v>
      </c>
      <c r="L260" s="2">
        <v>60.0</v>
      </c>
      <c r="M260" s="2"/>
      <c r="N260" s="2"/>
      <c r="O260" s="2"/>
      <c r="P260" s="1">
        <f t="shared" si="3"/>
        <v>0</v>
      </c>
      <c r="Q260" s="1">
        <f t="shared" si="4"/>
        <v>0</v>
      </c>
      <c r="R260" s="1">
        <f t="shared" si="5"/>
        <v>0</v>
      </c>
      <c r="S260" s="6" t="s">
        <v>920</v>
      </c>
    </row>
    <row r="261">
      <c r="A261" s="3" t="str">
        <f t="array" ref="A261">XLOOKUP(B261,Costos_Proveedores!$B$2:$B$2000,Costos_Proveedores!$A$2:$A$2000)</f>
        <v>YOURGOAL</v>
      </c>
      <c r="B261" s="2" t="s">
        <v>921</v>
      </c>
      <c r="C261" s="2">
        <v>805349.0</v>
      </c>
      <c r="D261" s="2" t="s">
        <v>922</v>
      </c>
      <c r="E261" s="2" t="s">
        <v>47</v>
      </c>
      <c r="F261" s="2">
        <v>117.0</v>
      </c>
      <c r="G261" s="2">
        <v>1.0</v>
      </c>
      <c r="H261" s="3">
        <f t="shared" si="1"/>
        <v>117</v>
      </c>
      <c r="I261" s="2" t="s">
        <v>232</v>
      </c>
      <c r="J261" s="4">
        <f>VLOOKUP(B261,Costos_Proveedores!$B$2:$J$1000,9,FALSE())</f>
        <v>6778</v>
      </c>
      <c r="K261" s="5">
        <f t="shared" si="2"/>
        <v>793026</v>
      </c>
      <c r="L261" s="2">
        <v>86.0</v>
      </c>
      <c r="M261" s="2">
        <v>67.0</v>
      </c>
      <c r="N261" s="2">
        <v>0.0</v>
      </c>
      <c r="O261" s="2">
        <v>0.0</v>
      </c>
      <c r="P261" s="1">
        <f t="shared" si="3"/>
        <v>0</v>
      </c>
      <c r="Q261" s="1">
        <f t="shared" si="4"/>
        <v>0</v>
      </c>
      <c r="R261" s="1">
        <f t="shared" si="5"/>
        <v>0</v>
      </c>
      <c r="S261" s="6" t="s">
        <v>923</v>
      </c>
    </row>
    <row r="262">
      <c r="A262" s="3" t="str">
        <f t="array" ref="A262">XLOOKUP(B262,Costos_Proveedores!$B$2:$B$2000,Costos_Proveedores!$A$2:$A$2000)</f>
        <v>YOURGOAL</v>
      </c>
      <c r="B262" s="2" t="s">
        <v>924</v>
      </c>
      <c r="C262" s="2">
        <v>805345.0</v>
      </c>
      <c r="D262" s="2" t="s">
        <v>925</v>
      </c>
      <c r="E262" s="2" t="s">
        <v>47</v>
      </c>
      <c r="F262" s="2">
        <v>153.0</v>
      </c>
      <c r="G262" s="2">
        <v>1.0</v>
      </c>
      <c r="H262" s="3">
        <f t="shared" si="1"/>
        <v>153</v>
      </c>
      <c r="I262" s="2" t="s">
        <v>232</v>
      </c>
      <c r="J262" s="4">
        <f>VLOOKUP(B262,Costos_Proveedores!$B$2:$J$1000,9,FALSE())</f>
        <v>6778</v>
      </c>
      <c r="K262" s="5">
        <f t="shared" si="2"/>
        <v>1037034</v>
      </c>
      <c r="L262" s="2">
        <v>7.0</v>
      </c>
      <c r="M262" s="2">
        <v>3.0</v>
      </c>
      <c r="N262" s="2">
        <v>0.0</v>
      </c>
      <c r="O262" s="2">
        <v>0.0</v>
      </c>
      <c r="P262" s="1">
        <f t="shared" si="3"/>
        <v>0</v>
      </c>
      <c r="Q262" s="1">
        <f t="shared" si="4"/>
        <v>0</v>
      </c>
      <c r="R262" s="1">
        <f t="shared" si="5"/>
        <v>0</v>
      </c>
      <c r="S262" s="6" t="s">
        <v>926</v>
      </c>
    </row>
    <row r="263">
      <c r="A263" s="3" t="str">
        <f t="array" ref="A263">XLOOKUP(B263,Costos_Proveedores!$B$2:$B$2000,Costos_Proveedores!$A$2:$A$2000)</f>
        <v>YOURGOAL</v>
      </c>
      <c r="B263" s="2" t="s">
        <v>927</v>
      </c>
      <c r="C263" s="2">
        <v>805341.0</v>
      </c>
      <c r="D263" s="2" t="s">
        <v>928</v>
      </c>
      <c r="E263" s="2" t="s">
        <v>47</v>
      </c>
      <c r="F263" s="2">
        <v>76.0</v>
      </c>
      <c r="G263" s="2">
        <v>1.0</v>
      </c>
      <c r="H263" s="3">
        <f t="shared" si="1"/>
        <v>76</v>
      </c>
      <c r="I263" s="2" t="s">
        <v>232</v>
      </c>
      <c r="J263" s="4">
        <f>VLOOKUP(B263,Costos_Proveedores!$B$2:$J$1000,9,FALSE())</f>
        <v>6778</v>
      </c>
      <c r="K263" s="5">
        <f t="shared" si="2"/>
        <v>515128</v>
      </c>
      <c r="L263" s="2">
        <v>4.0</v>
      </c>
      <c r="M263" s="2">
        <v>1.0</v>
      </c>
      <c r="N263" s="2">
        <v>0.0</v>
      </c>
      <c r="O263" s="2">
        <v>0.0</v>
      </c>
      <c r="P263" s="1">
        <f t="shared" si="3"/>
        <v>0</v>
      </c>
      <c r="Q263" s="1">
        <f t="shared" si="4"/>
        <v>0</v>
      </c>
      <c r="R263" s="1">
        <f t="shared" si="5"/>
        <v>0</v>
      </c>
      <c r="S263" s="6" t="s">
        <v>929</v>
      </c>
    </row>
    <row r="264">
      <c r="A264" s="3" t="str">
        <f t="array" ref="A264">XLOOKUP(B264,Costos_Proveedores!$B$2:$B$2000,Costos_Proveedores!$A$2:$A$2000)</f>
        <v>YOURGOAL</v>
      </c>
      <c r="B264" s="2" t="s">
        <v>930</v>
      </c>
      <c r="C264" s="2">
        <v>805342.0</v>
      </c>
      <c r="D264" s="2" t="s">
        <v>931</v>
      </c>
      <c r="E264" s="2" t="s">
        <v>47</v>
      </c>
      <c r="F264" s="2">
        <v>32.0</v>
      </c>
      <c r="G264" s="2">
        <v>1.0</v>
      </c>
      <c r="H264" s="3">
        <f t="shared" si="1"/>
        <v>32</v>
      </c>
      <c r="I264" s="2" t="s">
        <v>232</v>
      </c>
      <c r="J264" s="4">
        <f>VLOOKUP(B264,Costos_Proveedores!$B$2:$J$1000,9,FALSE())</f>
        <v>6778</v>
      </c>
      <c r="K264" s="5">
        <f t="shared" si="2"/>
        <v>216896</v>
      </c>
      <c r="L264" s="2">
        <v>44.0</v>
      </c>
      <c r="M264" s="2">
        <v>54.0</v>
      </c>
      <c r="N264" s="2">
        <v>0.0</v>
      </c>
      <c r="O264" s="2">
        <v>0.0</v>
      </c>
      <c r="P264" s="1">
        <f t="shared" si="3"/>
        <v>22</v>
      </c>
      <c r="Q264" s="1">
        <f t="shared" si="4"/>
        <v>0</v>
      </c>
      <c r="R264" s="1">
        <f t="shared" si="5"/>
        <v>22</v>
      </c>
      <c r="S264" s="6" t="s">
        <v>932</v>
      </c>
    </row>
    <row r="265">
      <c r="A265" s="3" t="str">
        <f t="array" ref="A265">XLOOKUP(B265,Costos_Proveedores!$B$2:$B$2000,Costos_Proveedores!$A$2:$A$2000)</f>
        <v>BLENDS N TEA</v>
      </c>
      <c r="B265" s="2" t="s">
        <v>933</v>
      </c>
      <c r="C265" s="2" t="s">
        <v>934</v>
      </c>
      <c r="D265" s="2" t="s">
        <v>935</v>
      </c>
      <c r="E265" s="2" t="s">
        <v>31</v>
      </c>
      <c r="F265" s="2">
        <v>0.0</v>
      </c>
      <c r="G265" s="2">
        <v>0.0</v>
      </c>
      <c r="H265" s="3">
        <f t="shared" si="1"/>
        <v>0</v>
      </c>
      <c r="I265" s="2" t="s">
        <v>232</v>
      </c>
      <c r="J265" s="4">
        <f>VLOOKUP(B265,Costos_Proveedores!$B$2:$J$1000,9,FALSE())</f>
        <v>5354</v>
      </c>
      <c r="K265" s="5">
        <f t="shared" si="2"/>
        <v>0</v>
      </c>
      <c r="L265" s="2"/>
      <c r="M265" s="2"/>
      <c r="N265" s="2"/>
      <c r="O265" s="2"/>
      <c r="P265" s="1">
        <f t="shared" si="3"/>
        <v>0</v>
      </c>
      <c r="Q265" s="1">
        <f t="shared" si="4"/>
        <v>0</v>
      </c>
      <c r="R265" s="1">
        <f t="shared" si="5"/>
        <v>0</v>
      </c>
      <c r="S265" s="6" t="s">
        <v>936</v>
      </c>
    </row>
    <row r="266">
      <c r="A266" s="3" t="str">
        <f t="array" ref="A266">XLOOKUP(B266,Costos_Proveedores!$B$2:$B$2000,Costos_Proveedores!$A$2:$A$2000)</f>
        <v>BLENDS N TEA</v>
      </c>
      <c r="B266" s="2" t="s">
        <v>937</v>
      </c>
      <c r="C266" s="2" t="s">
        <v>938</v>
      </c>
      <c r="D266" s="2" t="s">
        <v>939</v>
      </c>
      <c r="E266" s="2" t="s">
        <v>31</v>
      </c>
      <c r="F266" s="2">
        <v>0.0</v>
      </c>
      <c r="G266" s="2">
        <v>1.0</v>
      </c>
      <c r="H266" s="3">
        <f t="shared" si="1"/>
        <v>0</v>
      </c>
      <c r="I266" s="2" t="s">
        <v>232</v>
      </c>
      <c r="J266" s="4">
        <f>VLOOKUP(B266,Costos_Proveedores!$B$2:$J$1000,9,FALSE())</f>
        <v>10714</v>
      </c>
      <c r="K266" s="5">
        <f t="shared" si="2"/>
        <v>0</v>
      </c>
      <c r="L266" s="2">
        <v>1.0</v>
      </c>
      <c r="M266" s="2">
        <v>1.0</v>
      </c>
      <c r="N266" s="2">
        <v>0.0</v>
      </c>
      <c r="O266" s="2">
        <v>0.0</v>
      </c>
      <c r="P266" s="1">
        <f t="shared" si="3"/>
        <v>1</v>
      </c>
      <c r="Q266" s="1">
        <f t="shared" si="4"/>
        <v>0</v>
      </c>
      <c r="R266" s="1">
        <f t="shared" si="5"/>
        <v>1</v>
      </c>
      <c r="S266" s="6" t="s">
        <v>940</v>
      </c>
    </row>
    <row r="267">
      <c r="A267" s="3" t="str">
        <f t="array" ref="A267">XLOOKUP(B267,Costos_Proveedores!$B$2:$B$2000,Costos_Proveedores!$A$2:$A$2000)</f>
        <v>BLENDS N TEA</v>
      </c>
      <c r="B267" s="2" t="s">
        <v>941</v>
      </c>
      <c r="C267" s="2" t="s">
        <v>942</v>
      </c>
      <c r="D267" s="2" t="s">
        <v>943</v>
      </c>
      <c r="E267" s="2" t="s">
        <v>31</v>
      </c>
      <c r="F267" s="2">
        <v>0.0</v>
      </c>
      <c r="G267" s="2">
        <v>1.0</v>
      </c>
      <c r="H267" s="3">
        <f t="shared" si="1"/>
        <v>0</v>
      </c>
      <c r="I267" s="2" t="s">
        <v>232</v>
      </c>
      <c r="J267" s="4">
        <f>VLOOKUP(B267,Costos_Proveedores!$B$2:$J$1000,9,FALSE())</f>
        <v>10042</v>
      </c>
      <c r="K267" s="5">
        <f t="shared" si="2"/>
        <v>0</v>
      </c>
      <c r="L267" s="2"/>
      <c r="M267" s="2"/>
      <c r="N267" s="2"/>
      <c r="O267" s="2"/>
      <c r="P267" s="1">
        <f t="shared" si="3"/>
        <v>0</v>
      </c>
      <c r="Q267" s="1">
        <f t="shared" si="4"/>
        <v>0</v>
      </c>
      <c r="R267" s="1">
        <f t="shared" si="5"/>
        <v>0</v>
      </c>
      <c r="S267" s="6" t="s">
        <v>944</v>
      </c>
    </row>
    <row r="268">
      <c r="A268" s="3" t="str">
        <f t="array" ref="A268">XLOOKUP(B268,Costos_Proveedores!$B$2:$B$2000,Costos_Proveedores!$A$2:$A$2000)</f>
        <v>BLENDS N TEA</v>
      </c>
      <c r="B268" s="2" t="s">
        <v>945</v>
      </c>
      <c r="C268" s="2" t="s">
        <v>946</v>
      </c>
      <c r="D268" s="2" t="s">
        <v>947</v>
      </c>
      <c r="E268" s="2" t="s">
        <v>31</v>
      </c>
      <c r="F268" s="2">
        <v>0.0</v>
      </c>
      <c r="G268" s="2">
        <v>2.0</v>
      </c>
      <c r="H268" s="3">
        <f t="shared" si="1"/>
        <v>0</v>
      </c>
      <c r="I268" s="2" t="s">
        <v>232</v>
      </c>
      <c r="J268" s="4">
        <f>VLOOKUP(B268,Costos_Proveedores!$B$2:$J$1000,9,FALSE())</f>
        <v>5354</v>
      </c>
      <c r="K268" s="5">
        <f t="shared" si="2"/>
        <v>0</v>
      </c>
      <c r="L268" s="2">
        <v>1.0</v>
      </c>
      <c r="M268" s="2">
        <v>1.0</v>
      </c>
      <c r="N268" s="2">
        <v>0.0</v>
      </c>
      <c r="O268" s="2">
        <v>0.0</v>
      </c>
      <c r="P268" s="1">
        <f t="shared" si="3"/>
        <v>1</v>
      </c>
      <c r="Q268" s="1">
        <f t="shared" si="4"/>
        <v>0</v>
      </c>
      <c r="R268" s="1">
        <f t="shared" si="5"/>
        <v>1</v>
      </c>
      <c r="S268" s="6" t="s">
        <v>948</v>
      </c>
    </row>
    <row r="269">
      <c r="A269" s="3" t="str">
        <f t="array" ref="A269">XLOOKUP(B269,Costos_Proveedores!$B$2:$B$2000,Costos_Proveedores!$A$2:$A$2000)</f>
        <v>BLENDS N TEA</v>
      </c>
      <c r="B269" s="2" t="s">
        <v>949</v>
      </c>
      <c r="C269" s="2" t="s">
        <v>950</v>
      </c>
      <c r="D269" s="2" t="s">
        <v>951</v>
      </c>
      <c r="E269" s="2" t="s">
        <v>31</v>
      </c>
      <c r="F269" s="2">
        <v>0.0</v>
      </c>
      <c r="G269" s="2">
        <v>1.0</v>
      </c>
      <c r="H269" s="3">
        <f t="shared" si="1"/>
        <v>0</v>
      </c>
      <c r="I269" s="2" t="s">
        <v>232</v>
      </c>
      <c r="J269" s="4">
        <f>VLOOKUP(B269,Costos_Proveedores!$B$2:$J$1000,9,FALSE())</f>
        <v>8033</v>
      </c>
      <c r="K269" s="5">
        <f t="shared" si="2"/>
        <v>0</v>
      </c>
      <c r="L269" s="2">
        <v>1.0</v>
      </c>
      <c r="M269" s="2"/>
      <c r="N269" s="2"/>
      <c r="O269" s="2"/>
      <c r="P269" s="1">
        <f t="shared" si="3"/>
        <v>0</v>
      </c>
      <c r="Q269" s="1">
        <f t="shared" si="4"/>
        <v>0</v>
      </c>
      <c r="R269" s="1">
        <f t="shared" si="5"/>
        <v>0</v>
      </c>
      <c r="S269" s="6" t="s">
        <v>952</v>
      </c>
    </row>
    <row r="270">
      <c r="A270" s="3" t="str">
        <f t="array" ref="A270">XLOOKUP(B270,Costos_Proveedores!$B$2:$B$2000,Costos_Proveedores!$A$2:$A$2000)</f>
        <v>BLENDS N TEA</v>
      </c>
      <c r="B270" s="2" t="s">
        <v>953</v>
      </c>
      <c r="C270" s="2" t="s">
        <v>954</v>
      </c>
      <c r="D270" s="2" t="s">
        <v>955</v>
      </c>
      <c r="E270" s="2" t="s">
        <v>31</v>
      </c>
      <c r="F270" s="2">
        <v>0.0</v>
      </c>
      <c r="G270" s="2">
        <v>2.0</v>
      </c>
      <c r="H270" s="3">
        <f t="shared" si="1"/>
        <v>0</v>
      </c>
      <c r="I270" s="2" t="s">
        <v>232</v>
      </c>
      <c r="J270" s="4">
        <f>VLOOKUP(B270,Costos_Proveedores!$B$2:$J$1000,9,FALSE())</f>
        <v>10042</v>
      </c>
      <c r="K270" s="5">
        <f t="shared" si="2"/>
        <v>0</v>
      </c>
      <c r="L270" s="2"/>
      <c r="M270" s="2"/>
      <c r="N270" s="2"/>
      <c r="O270" s="2"/>
      <c r="P270" s="1">
        <f t="shared" si="3"/>
        <v>0</v>
      </c>
      <c r="Q270" s="1">
        <f t="shared" si="4"/>
        <v>0</v>
      </c>
      <c r="R270" s="1">
        <f t="shared" si="5"/>
        <v>0</v>
      </c>
      <c r="S270" s="6" t="s">
        <v>956</v>
      </c>
    </row>
    <row r="271">
      <c r="A271" s="3" t="str">
        <f t="array" ref="A271">XLOOKUP(B271,Costos_Proveedores!$B$2:$B$2000,Costos_Proveedores!$A$2:$A$2000)</f>
        <v>BLENDS N TEA</v>
      </c>
      <c r="B271" s="2" t="s">
        <v>957</v>
      </c>
      <c r="C271" s="2" t="s">
        <v>958</v>
      </c>
      <c r="D271" s="2" t="s">
        <v>959</v>
      </c>
      <c r="E271" s="2" t="s">
        <v>47</v>
      </c>
      <c r="F271" s="2">
        <v>1.0</v>
      </c>
      <c r="G271" s="2">
        <v>1.0</v>
      </c>
      <c r="H271" s="3">
        <f t="shared" si="1"/>
        <v>1</v>
      </c>
      <c r="I271" s="2" t="s">
        <v>232</v>
      </c>
      <c r="J271" s="4">
        <f>VLOOKUP(B271,Costos_Proveedores!$B$2:$J$1000,9,FALSE())</f>
        <v>8704</v>
      </c>
      <c r="K271" s="5">
        <f t="shared" si="2"/>
        <v>8704</v>
      </c>
      <c r="L271" s="2"/>
      <c r="M271" s="2"/>
      <c r="N271" s="2"/>
      <c r="O271" s="2"/>
      <c r="P271" s="1">
        <f t="shared" si="3"/>
        <v>0</v>
      </c>
      <c r="Q271" s="1">
        <f t="shared" si="4"/>
        <v>0</v>
      </c>
      <c r="R271" s="1">
        <f t="shared" si="5"/>
        <v>0</v>
      </c>
      <c r="S271" s="6" t="s">
        <v>960</v>
      </c>
    </row>
    <row r="272">
      <c r="A272" s="3" t="str">
        <f t="array" ref="A272">XLOOKUP(B272,Costos_Proveedores!$B$2:$B$2000,Costos_Proveedores!$A$2:$A$2000)</f>
        <v>BLENDS N TEA</v>
      </c>
      <c r="B272" s="2" t="s">
        <v>961</v>
      </c>
      <c r="C272" s="2" t="s">
        <v>962</v>
      </c>
      <c r="D272" s="2" t="s">
        <v>963</v>
      </c>
      <c r="E272" s="2" t="s">
        <v>47</v>
      </c>
      <c r="F272" s="2">
        <v>2.0</v>
      </c>
      <c r="G272" s="2">
        <v>1.0</v>
      </c>
      <c r="H272" s="3">
        <f t="shared" si="1"/>
        <v>2</v>
      </c>
      <c r="I272" s="2" t="s">
        <v>232</v>
      </c>
      <c r="J272" s="4">
        <f>VLOOKUP(B272,Costos_Proveedores!$B$2:$J$1000,9,FALSE())</f>
        <v>8033</v>
      </c>
      <c r="K272" s="5">
        <f t="shared" si="2"/>
        <v>16066</v>
      </c>
      <c r="L272" s="2"/>
      <c r="M272" s="2"/>
      <c r="N272" s="2"/>
      <c r="O272" s="2"/>
      <c r="P272" s="1">
        <f t="shared" si="3"/>
        <v>0</v>
      </c>
      <c r="Q272" s="1">
        <f t="shared" si="4"/>
        <v>0</v>
      </c>
      <c r="R272" s="1">
        <f t="shared" si="5"/>
        <v>0</v>
      </c>
      <c r="S272" s="6" t="s">
        <v>964</v>
      </c>
    </row>
    <row r="273">
      <c r="A273" s="3" t="str">
        <f t="array" ref="A273">XLOOKUP(B273,Costos_Proveedores!$B$2:$B$2000,Costos_Proveedores!$A$2:$A$2000)</f>
        <v>BLENDS N TEA</v>
      </c>
      <c r="B273" s="2" t="s">
        <v>965</v>
      </c>
      <c r="C273" s="2" t="s">
        <v>966</v>
      </c>
      <c r="D273" s="2" t="s">
        <v>967</v>
      </c>
      <c r="E273" s="2" t="s">
        <v>47</v>
      </c>
      <c r="F273" s="2">
        <v>2.0</v>
      </c>
      <c r="G273" s="2">
        <v>1.0</v>
      </c>
      <c r="H273" s="3">
        <f t="shared" si="1"/>
        <v>2</v>
      </c>
      <c r="I273" s="2" t="s">
        <v>232</v>
      </c>
      <c r="J273" s="4">
        <f>VLOOKUP(B273,Costos_Proveedores!$B$2:$J$1000,9,FALSE())</f>
        <v>8033</v>
      </c>
      <c r="K273" s="5">
        <f t="shared" si="2"/>
        <v>16066</v>
      </c>
      <c r="L273" s="2"/>
      <c r="M273" s="2"/>
      <c r="N273" s="2"/>
      <c r="O273" s="2"/>
      <c r="P273" s="1">
        <f t="shared" si="3"/>
        <v>0</v>
      </c>
      <c r="Q273" s="1">
        <f t="shared" si="4"/>
        <v>0</v>
      </c>
      <c r="R273" s="1">
        <f t="shared" si="5"/>
        <v>0</v>
      </c>
      <c r="S273" s="6" t="s">
        <v>968</v>
      </c>
    </row>
    <row r="274">
      <c r="A274" s="3" t="str">
        <f t="array" ref="A274">XLOOKUP(B274,Costos_Proveedores!$B$2:$B$2000,Costos_Proveedores!$A$2:$A$2000)</f>
        <v>BLENDS N TEA</v>
      </c>
      <c r="B274" s="2" t="s">
        <v>969</v>
      </c>
      <c r="C274" s="2" t="s">
        <v>970</v>
      </c>
      <c r="D274" s="2" t="s">
        <v>971</v>
      </c>
      <c r="E274" s="2" t="s">
        <v>47</v>
      </c>
      <c r="F274" s="2">
        <v>1.0</v>
      </c>
      <c r="G274" s="2">
        <v>1.0</v>
      </c>
      <c r="H274" s="3">
        <f t="shared" si="1"/>
        <v>1</v>
      </c>
      <c r="I274" s="2" t="s">
        <v>232</v>
      </c>
      <c r="J274" s="4">
        <f>VLOOKUP(B274,Costos_Proveedores!$B$2:$J$1000,9,FALSE())</f>
        <v>5354</v>
      </c>
      <c r="K274" s="5">
        <f t="shared" si="2"/>
        <v>5354</v>
      </c>
      <c r="L274" s="2"/>
      <c r="M274" s="2"/>
      <c r="N274" s="2"/>
      <c r="O274" s="2"/>
      <c r="P274" s="1">
        <f t="shared" si="3"/>
        <v>0</v>
      </c>
      <c r="Q274" s="1">
        <f t="shared" si="4"/>
        <v>0</v>
      </c>
      <c r="R274" s="1">
        <f t="shared" si="5"/>
        <v>0</v>
      </c>
      <c r="S274" s="6" t="s">
        <v>972</v>
      </c>
    </row>
    <row r="275">
      <c r="A275" s="3" t="str">
        <f t="array" ref="A275">XLOOKUP(B275,Costos_Proveedores!$B$2:$B$2000,Costos_Proveedores!$A$2:$A$2000)</f>
        <v>BLENDS N TEA</v>
      </c>
      <c r="B275" s="2" t="s">
        <v>973</v>
      </c>
      <c r="C275" s="2" t="s">
        <v>974</v>
      </c>
      <c r="D275" s="2" t="s">
        <v>975</v>
      </c>
      <c r="E275" s="2" t="s">
        <v>31</v>
      </c>
      <c r="F275" s="2">
        <v>0.0</v>
      </c>
      <c r="G275" s="2">
        <v>0.0</v>
      </c>
      <c r="H275" s="3">
        <f t="shared" si="1"/>
        <v>0</v>
      </c>
      <c r="I275" s="2" t="s">
        <v>232</v>
      </c>
      <c r="J275" s="4">
        <f>VLOOKUP(B275,Costos_Proveedores!$B$2:$J$1000,9,FALSE())</f>
        <v>6694</v>
      </c>
      <c r="K275" s="5">
        <f t="shared" si="2"/>
        <v>0</v>
      </c>
      <c r="L275" s="2">
        <v>2.0</v>
      </c>
      <c r="M275" s="2">
        <v>1.0</v>
      </c>
      <c r="N275" s="2">
        <v>0.0</v>
      </c>
      <c r="O275" s="2">
        <v>0.0</v>
      </c>
      <c r="P275" s="1">
        <f t="shared" si="3"/>
        <v>1</v>
      </c>
      <c r="Q275" s="1">
        <f t="shared" si="4"/>
        <v>0</v>
      </c>
      <c r="R275" s="1">
        <f t="shared" si="5"/>
        <v>1</v>
      </c>
      <c r="S275" s="6" t="s">
        <v>976</v>
      </c>
    </row>
    <row r="276">
      <c r="A276" s="3" t="str">
        <f t="array" ref="A276">XLOOKUP(B276,Costos_Proveedores!$B$2:$B$2000,Costos_Proveedores!$A$2:$A$2000)</f>
        <v>BLENDS N TEA</v>
      </c>
      <c r="B276" s="2" t="s">
        <v>977</v>
      </c>
      <c r="C276" s="2" t="s">
        <v>978</v>
      </c>
      <c r="D276" s="2" t="s">
        <v>979</v>
      </c>
      <c r="E276" s="2" t="s">
        <v>31</v>
      </c>
      <c r="F276" s="2">
        <v>0.0</v>
      </c>
      <c r="G276" s="2">
        <v>1.0</v>
      </c>
      <c r="H276" s="3">
        <f t="shared" si="1"/>
        <v>0</v>
      </c>
      <c r="I276" s="2" t="s">
        <v>232</v>
      </c>
      <c r="J276" s="4">
        <f>VLOOKUP(B276,Costos_Proveedores!$B$2:$J$1000,9,FALSE())</f>
        <v>10042</v>
      </c>
      <c r="K276" s="5">
        <f t="shared" si="2"/>
        <v>0</v>
      </c>
      <c r="L276" s="2">
        <v>1.0</v>
      </c>
      <c r="M276" s="2"/>
      <c r="N276" s="2"/>
      <c r="O276" s="2"/>
      <c r="P276" s="1">
        <f t="shared" si="3"/>
        <v>0</v>
      </c>
      <c r="Q276" s="1">
        <f t="shared" si="4"/>
        <v>0</v>
      </c>
      <c r="R276" s="1">
        <f t="shared" si="5"/>
        <v>0</v>
      </c>
      <c r="S276" s="6" t="s">
        <v>980</v>
      </c>
    </row>
    <row r="277">
      <c r="A277" s="3" t="str">
        <f t="array" ref="A277">XLOOKUP(B277,Costos_Proveedores!$B$2:$B$2000,Costos_Proveedores!$A$2:$A$2000)</f>
        <v>BLENDS N TEA</v>
      </c>
      <c r="B277" s="2" t="s">
        <v>981</v>
      </c>
      <c r="C277" s="2" t="s">
        <v>982</v>
      </c>
      <c r="D277" s="2" t="s">
        <v>983</v>
      </c>
      <c r="E277" s="2" t="s">
        <v>47</v>
      </c>
      <c r="F277" s="2">
        <v>2.0</v>
      </c>
      <c r="G277" s="2">
        <v>1.0</v>
      </c>
      <c r="H277" s="3">
        <f t="shared" si="1"/>
        <v>2</v>
      </c>
      <c r="I277" s="2" t="s">
        <v>232</v>
      </c>
      <c r="J277" s="4">
        <f>VLOOKUP(B277,Costos_Proveedores!$B$2:$J$1000,9,FALSE())</f>
        <v>10042</v>
      </c>
      <c r="K277" s="5">
        <f t="shared" si="2"/>
        <v>20084</v>
      </c>
      <c r="L277" s="2"/>
      <c r="M277" s="2"/>
      <c r="N277" s="2"/>
      <c r="O277" s="2"/>
      <c r="P277" s="1">
        <f t="shared" si="3"/>
        <v>0</v>
      </c>
      <c r="Q277" s="1">
        <f t="shared" si="4"/>
        <v>0</v>
      </c>
      <c r="R277" s="1">
        <f t="shared" si="5"/>
        <v>0</v>
      </c>
      <c r="S277" s="6" t="s">
        <v>984</v>
      </c>
    </row>
    <row r="278">
      <c r="A278" s="3" t="str">
        <f t="array" ref="A278">XLOOKUP(B278,Costos_Proveedores!$B$2:$B$2000,Costos_Proveedores!$A$2:$A$2000)</f>
        <v>BLENDS N TEA</v>
      </c>
      <c r="B278" s="2" t="s">
        <v>985</v>
      </c>
      <c r="C278" s="2" t="s">
        <v>986</v>
      </c>
      <c r="D278" s="2" t="s">
        <v>987</v>
      </c>
      <c r="E278" s="2" t="s">
        <v>47</v>
      </c>
      <c r="F278" s="2">
        <v>6.0</v>
      </c>
      <c r="G278" s="2">
        <v>0.0</v>
      </c>
      <c r="H278" s="3">
        <f t="shared" si="1"/>
        <v>6</v>
      </c>
      <c r="I278" s="2" t="s">
        <v>232</v>
      </c>
      <c r="J278" s="4">
        <f>VLOOKUP(B278,Costos_Proveedores!$B$2:$J$1000,9,FALSE())</f>
        <v>6694</v>
      </c>
      <c r="K278" s="5">
        <f t="shared" si="2"/>
        <v>40164</v>
      </c>
      <c r="L278" s="2"/>
      <c r="M278" s="2"/>
      <c r="N278" s="2"/>
      <c r="O278" s="2"/>
      <c r="P278" s="1">
        <f t="shared" si="3"/>
        <v>0</v>
      </c>
      <c r="Q278" s="1">
        <f t="shared" si="4"/>
        <v>0</v>
      </c>
      <c r="R278" s="1">
        <f t="shared" si="5"/>
        <v>0</v>
      </c>
      <c r="S278" s="6" t="s">
        <v>988</v>
      </c>
    </row>
    <row r="279">
      <c r="A279" s="3" t="str">
        <f t="array" ref="A279">XLOOKUP(B279,Costos_Proveedores!$B$2:$B$2000,Costos_Proveedores!$A$2:$A$2000)</f>
        <v>BLENDS N TEA</v>
      </c>
      <c r="B279" s="2" t="s">
        <v>989</v>
      </c>
      <c r="C279" s="2" t="s">
        <v>990</v>
      </c>
      <c r="D279" s="2" t="s">
        <v>991</v>
      </c>
      <c r="E279" s="2" t="s">
        <v>47</v>
      </c>
      <c r="F279" s="2">
        <v>1.0</v>
      </c>
      <c r="G279" s="2">
        <v>1.0</v>
      </c>
      <c r="H279" s="3">
        <f t="shared" si="1"/>
        <v>1</v>
      </c>
      <c r="I279" s="2" t="s">
        <v>232</v>
      </c>
      <c r="J279" s="4">
        <f>VLOOKUP(B279,Costos_Proveedores!$B$2:$J$1000,9,FALSE())</f>
        <v>6693</v>
      </c>
      <c r="K279" s="5">
        <f t="shared" si="2"/>
        <v>6693</v>
      </c>
      <c r="L279" s="2"/>
      <c r="M279" s="2"/>
      <c r="N279" s="2"/>
      <c r="O279" s="2"/>
      <c r="P279" s="1">
        <f t="shared" si="3"/>
        <v>0</v>
      </c>
      <c r="Q279" s="1">
        <f t="shared" si="4"/>
        <v>0</v>
      </c>
      <c r="R279" s="1">
        <f t="shared" si="5"/>
        <v>0</v>
      </c>
      <c r="S279" s="6" t="s">
        <v>992</v>
      </c>
    </row>
    <row r="280">
      <c r="A280" s="3" t="str">
        <f t="array" ref="A280">XLOOKUP(B280,Costos_Proveedores!$B$2:$B$2000,Costos_Proveedores!$A$2:$A$2000)</f>
        <v>BLENDS N TEA</v>
      </c>
      <c r="B280" s="2" t="s">
        <v>993</v>
      </c>
      <c r="C280" s="2" t="s">
        <v>994</v>
      </c>
      <c r="D280" s="2" t="s">
        <v>995</v>
      </c>
      <c r="E280" s="2" t="s">
        <v>47</v>
      </c>
      <c r="F280" s="2">
        <v>32.0</v>
      </c>
      <c r="G280" s="2">
        <v>0.0</v>
      </c>
      <c r="H280" s="3">
        <f t="shared" si="1"/>
        <v>32</v>
      </c>
      <c r="I280" s="2" t="s">
        <v>232</v>
      </c>
      <c r="J280" s="4">
        <f>VLOOKUP(B280,Costos_Proveedores!$B$2:$J$1000,9,FALSE())</f>
        <v>8033</v>
      </c>
      <c r="K280" s="5">
        <f t="shared" si="2"/>
        <v>257056</v>
      </c>
      <c r="L280" s="2">
        <v>81.0</v>
      </c>
      <c r="M280" s="2">
        <v>81.0</v>
      </c>
      <c r="N280" s="2">
        <v>0.0</v>
      </c>
      <c r="O280" s="2">
        <v>0.0</v>
      </c>
      <c r="P280" s="1">
        <f t="shared" si="3"/>
        <v>49</v>
      </c>
      <c r="Q280" s="1">
        <f t="shared" si="4"/>
        <v>0</v>
      </c>
      <c r="R280" s="1">
        <f t="shared" si="5"/>
        <v>49</v>
      </c>
      <c r="S280" s="6" t="s">
        <v>996</v>
      </c>
    </row>
    <row r="281">
      <c r="A281" s="3" t="str">
        <f t="array" ref="A281">XLOOKUP(B281,Costos_Proveedores!$B$2:$B$2000,Costos_Proveedores!$A$2:$A$2000)</f>
        <v>BLENDS N TEA</v>
      </c>
      <c r="B281" s="2" t="s">
        <v>997</v>
      </c>
      <c r="C281" s="2" t="s">
        <v>998</v>
      </c>
      <c r="D281" s="2" t="s">
        <v>999</v>
      </c>
      <c r="E281" s="2" t="s">
        <v>31</v>
      </c>
      <c r="F281" s="2">
        <v>0.0</v>
      </c>
      <c r="G281" s="2">
        <v>1.0</v>
      </c>
      <c r="H281" s="3">
        <f t="shared" si="1"/>
        <v>0</v>
      </c>
      <c r="I281" s="2" t="s">
        <v>232</v>
      </c>
      <c r="J281" s="4">
        <f>VLOOKUP(B281,Costos_Proveedores!$B$2:$J$1000,9,FALSE())</f>
        <v>5354</v>
      </c>
      <c r="K281" s="5">
        <f t="shared" si="2"/>
        <v>0</v>
      </c>
      <c r="L281" s="2">
        <v>1.0</v>
      </c>
      <c r="M281" s="2"/>
      <c r="N281" s="2"/>
      <c r="O281" s="2"/>
      <c r="P281" s="1">
        <f t="shared" si="3"/>
        <v>0</v>
      </c>
      <c r="Q281" s="1">
        <f t="shared" si="4"/>
        <v>0</v>
      </c>
      <c r="R281" s="1">
        <f t="shared" si="5"/>
        <v>0</v>
      </c>
      <c r="S281" s="6" t="s">
        <v>1000</v>
      </c>
    </row>
    <row r="282">
      <c r="A282" s="3" t="str">
        <f t="array" ref="A282">XLOOKUP(B282,Costos_Proveedores!$B$2:$B$2000,Costos_Proveedores!$A$2:$A$2000)</f>
        <v>BLENDS N TEA</v>
      </c>
      <c r="B282" s="2" t="s">
        <v>1001</v>
      </c>
      <c r="C282" s="2" t="s">
        <v>1002</v>
      </c>
      <c r="D282" s="2" t="s">
        <v>1003</v>
      </c>
      <c r="E282" s="2" t="s">
        <v>47</v>
      </c>
      <c r="F282" s="2">
        <v>2.0</v>
      </c>
      <c r="G282" s="2">
        <v>1.0</v>
      </c>
      <c r="H282" s="3">
        <f t="shared" si="1"/>
        <v>2</v>
      </c>
      <c r="I282" s="2" t="s">
        <v>232</v>
      </c>
      <c r="J282" s="4">
        <f>VLOOKUP(B282,Costos_Proveedores!$B$2:$J$1000,9,FALSE())</f>
        <v>8704</v>
      </c>
      <c r="K282" s="5">
        <f t="shared" si="2"/>
        <v>17408</v>
      </c>
      <c r="L282" s="2"/>
      <c r="M282" s="2"/>
      <c r="N282" s="2"/>
      <c r="O282" s="2"/>
      <c r="P282" s="1">
        <f t="shared" si="3"/>
        <v>0</v>
      </c>
      <c r="Q282" s="1">
        <f t="shared" si="4"/>
        <v>0</v>
      </c>
      <c r="R282" s="1">
        <f t="shared" si="5"/>
        <v>0</v>
      </c>
      <c r="S282" s="6" t="s">
        <v>1004</v>
      </c>
    </row>
    <row r="283">
      <c r="A283" s="3" t="str">
        <f t="array" ref="A283">XLOOKUP(B283,Costos_Proveedores!$B$2:$B$2000,Costos_Proveedores!$A$2:$A$2000)</f>
        <v>BLENDS N TEA</v>
      </c>
      <c r="B283" s="2" t="s">
        <v>1005</v>
      </c>
      <c r="C283" s="2" t="s">
        <v>1006</v>
      </c>
      <c r="D283" s="2" t="s">
        <v>1007</v>
      </c>
      <c r="E283" s="2" t="s">
        <v>31</v>
      </c>
      <c r="F283" s="2">
        <v>0.0</v>
      </c>
      <c r="G283" s="2">
        <v>1.0</v>
      </c>
      <c r="H283" s="3">
        <f t="shared" si="1"/>
        <v>0</v>
      </c>
      <c r="I283" s="2" t="s">
        <v>232</v>
      </c>
      <c r="J283" s="4">
        <f>VLOOKUP(B283,Costos_Proveedores!$B$2:$J$1000,9,FALSE())</f>
        <v>8033</v>
      </c>
      <c r="K283" s="5">
        <f t="shared" si="2"/>
        <v>0</v>
      </c>
      <c r="L283" s="2">
        <v>1.0</v>
      </c>
      <c r="M283" s="2">
        <v>1.0</v>
      </c>
      <c r="N283" s="2">
        <v>0.0</v>
      </c>
      <c r="O283" s="2">
        <v>0.0</v>
      </c>
      <c r="P283" s="1">
        <f t="shared" si="3"/>
        <v>1</v>
      </c>
      <c r="Q283" s="1">
        <f t="shared" si="4"/>
        <v>0</v>
      </c>
      <c r="R283" s="1">
        <f t="shared" si="5"/>
        <v>1</v>
      </c>
      <c r="S283" s="6" t="s">
        <v>1008</v>
      </c>
    </row>
    <row r="284">
      <c r="A284" s="3" t="str">
        <f t="array" ref="A284">XLOOKUP(B284,Costos_Proveedores!$B$2:$B$2000,Costos_Proveedores!$A$2:$A$2000)</f>
        <v>BLENDS N TEA</v>
      </c>
      <c r="B284" s="2" t="s">
        <v>1009</v>
      </c>
      <c r="C284" s="2" t="s">
        <v>1010</v>
      </c>
      <c r="D284" s="2" t="s">
        <v>1011</v>
      </c>
      <c r="E284" s="2" t="s">
        <v>47</v>
      </c>
      <c r="F284" s="2">
        <v>2.0</v>
      </c>
      <c r="G284" s="2">
        <v>1.0</v>
      </c>
      <c r="H284" s="3">
        <f t="shared" si="1"/>
        <v>2</v>
      </c>
      <c r="I284" s="2" t="s">
        <v>232</v>
      </c>
      <c r="J284" s="4">
        <f>VLOOKUP(B284,Costos_Proveedores!$B$2:$J$1000,9,FALSE())</f>
        <v>10042</v>
      </c>
      <c r="K284" s="5">
        <f t="shared" si="2"/>
        <v>20084</v>
      </c>
      <c r="L284" s="2"/>
      <c r="M284" s="2"/>
      <c r="N284" s="2"/>
      <c r="O284" s="2"/>
      <c r="P284" s="1">
        <f t="shared" si="3"/>
        <v>0</v>
      </c>
      <c r="Q284" s="1">
        <f t="shared" si="4"/>
        <v>0</v>
      </c>
      <c r="R284" s="1">
        <f t="shared" si="5"/>
        <v>0</v>
      </c>
      <c r="S284" s="6" t="s">
        <v>1012</v>
      </c>
    </row>
    <row r="285">
      <c r="A285" s="3" t="str">
        <f t="array" ref="A285">XLOOKUP(B285,Costos_Proveedores!$B$2:$B$2000,Costos_Proveedores!$A$2:$A$2000)</f>
        <v>BLENDS N TEA</v>
      </c>
      <c r="B285" s="2" t="s">
        <v>1013</v>
      </c>
      <c r="C285" s="2" t="s">
        <v>1014</v>
      </c>
      <c r="D285" s="2" t="s">
        <v>1015</v>
      </c>
      <c r="E285" s="2" t="s">
        <v>31</v>
      </c>
      <c r="F285" s="2">
        <v>0.0</v>
      </c>
      <c r="G285" s="2">
        <v>0.0</v>
      </c>
      <c r="H285" s="3">
        <f t="shared" si="1"/>
        <v>0</v>
      </c>
      <c r="I285" s="2" t="s">
        <v>232</v>
      </c>
      <c r="J285" s="4">
        <f>VLOOKUP(B285,Costos_Proveedores!$B$2:$J$1000,9,FALSE())</f>
        <v>6694</v>
      </c>
      <c r="K285" s="5">
        <f t="shared" si="2"/>
        <v>0</v>
      </c>
      <c r="L285" s="2">
        <v>1.0</v>
      </c>
      <c r="M285" s="2"/>
      <c r="N285" s="2"/>
      <c r="O285" s="2"/>
      <c r="P285" s="1">
        <f t="shared" si="3"/>
        <v>0</v>
      </c>
      <c r="Q285" s="1">
        <f t="shared" si="4"/>
        <v>0</v>
      </c>
      <c r="R285" s="1">
        <f t="shared" si="5"/>
        <v>0</v>
      </c>
      <c r="S285" s="6" t="s">
        <v>1016</v>
      </c>
    </row>
    <row r="286">
      <c r="A286" s="3" t="str">
        <f t="array" ref="A286">XLOOKUP(B286,Costos_Proveedores!$B$2:$B$2000,Costos_Proveedores!$A$2:$A$2000)</f>
        <v>BLENDS N TEA</v>
      </c>
      <c r="B286" s="2" t="s">
        <v>1017</v>
      </c>
      <c r="C286" s="2" t="s">
        <v>1018</v>
      </c>
      <c r="D286" s="2" t="s">
        <v>1019</v>
      </c>
      <c r="E286" s="2" t="s">
        <v>31</v>
      </c>
      <c r="F286" s="2">
        <v>0.0</v>
      </c>
      <c r="G286" s="2">
        <v>1.0</v>
      </c>
      <c r="H286" s="3">
        <f t="shared" si="1"/>
        <v>0</v>
      </c>
      <c r="I286" s="2" t="s">
        <v>232</v>
      </c>
      <c r="J286" s="4">
        <f>VLOOKUP(B286,Costos_Proveedores!$B$2:$J$1000,9,FALSE())</f>
        <v>5354</v>
      </c>
      <c r="K286" s="5">
        <f t="shared" si="2"/>
        <v>0</v>
      </c>
      <c r="L286" s="2"/>
      <c r="M286" s="2"/>
      <c r="N286" s="2"/>
      <c r="O286" s="2"/>
      <c r="P286" s="1">
        <f t="shared" si="3"/>
        <v>0</v>
      </c>
      <c r="Q286" s="1">
        <f t="shared" si="4"/>
        <v>0</v>
      </c>
      <c r="R286" s="1">
        <f t="shared" si="5"/>
        <v>0</v>
      </c>
      <c r="S286" s="6" t="s">
        <v>1020</v>
      </c>
    </row>
    <row r="287">
      <c r="A287" s="3" t="str">
        <f t="array" ref="A287">XLOOKUP(B287,Costos_Proveedores!$B$2:$B$2000,Costos_Proveedores!$A$2:$A$2000)</f>
        <v>BLENDS N TEA</v>
      </c>
      <c r="B287" s="2" t="s">
        <v>1021</v>
      </c>
      <c r="C287" s="2" t="s">
        <v>1022</v>
      </c>
      <c r="D287" s="2" t="s">
        <v>1023</v>
      </c>
      <c r="E287" s="2" t="s">
        <v>31</v>
      </c>
      <c r="F287" s="2">
        <v>0.0</v>
      </c>
      <c r="G287" s="2">
        <v>1.0</v>
      </c>
      <c r="H287" s="3">
        <f t="shared" si="1"/>
        <v>0</v>
      </c>
      <c r="I287" s="2" t="s">
        <v>232</v>
      </c>
      <c r="J287" s="4">
        <f>VLOOKUP(B287,Costos_Proveedores!$B$2:$J$1000,9,FALSE())</f>
        <v>6694</v>
      </c>
      <c r="K287" s="5">
        <f t="shared" si="2"/>
        <v>0</v>
      </c>
      <c r="L287" s="2"/>
      <c r="M287" s="2"/>
      <c r="N287" s="2"/>
      <c r="O287" s="2"/>
      <c r="P287" s="1">
        <f t="shared" si="3"/>
        <v>0</v>
      </c>
      <c r="Q287" s="1">
        <f t="shared" si="4"/>
        <v>0</v>
      </c>
      <c r="R287" s="1">
        <f t="shared" si="5"/>
        <v>0</v>
      </c>
      <c r="S287" s="6" t="s">
        <v>1024</v>
      </c>
    </row>
    <row r="288">
      <c r="A288" s="3" t="str">
        <f t="array" ref="A288">XLOOKUP(B288,Costos_Proveedores!$B$2:$B$2000,Costos_Proveedores!$A$2:$A$2000)</f>
        <v>BLENDS N TEA</v>
      </c>
      <c r="B288" s="2" t="s">
        <v>1025</v>
      </c>
      <c r="C288" s="2" t="s">
        <v>1026</v>
      </c>
      <c r="D288" s="2" t="s">
        <v>1027</v>
      </c>
      <c r="E288" s="2" t="s">
        <v>47</v>
      </c>
      <c r="F288" s="2">
        <v>2.0</v>
      </c>
      <c r="G288" s="2">
        <v>0.0</v>
      </c>
      <c r="H288" s="3">
        <f t="shared" si="1"/>
        <v>2</v>
      </c>
      <c r="I288" s="2" t="s">
        <v>232</v>
      </c>
      <c r="J288" s="4">
        <f>VLOOKUP(B288,Costos_Proveedores!$B$2:$J$1000,9,FALSE())</f>
        <v>5354</v>
      </c>
      <c r="K288" s="5">
        <f t="shared" si="2"/>
        <v>10708</v>
      </c>
      <c r="L288" s="2">
        <v>2.0</v>
      </c>
      <c r="M288" s="2">
        <v>2.0</v>
      </c>
      <c r="N288" s="2">
        <v>0.0</v>
      </c>
      <c r="O288" s="2">
        <v>0.0</v>
      </c>
      <c r="P288" s="1">
        <f t="shared" si="3"/>
        <v>0</v>
      </c>
      <c r="Q288" s="1">
        <f t="shared" si="4"/>
        <v>0</v>
      </c>
      <c r="R288" s="1">
        <f t="shared" si="5"/>
        <v>0</v>
      </c>
      <c r="S288" s="6" t="s">
        <v>1028</v>
      </c>
    </row>
    <row r="289">
      <c r="A289" s="3" t="str">
        <f t="array" ref="A289">XLOOKUP(B289,Costos_Proveedores!$B$2:$B$2000,Costos_Proveedores!$A$2:$A$2000)</f>
        <v>BLENDS N TEA</v>
      </c>
      <c r="B289" s="2" t="s">
        <v>1029</v>
      </c>
      <c r="C289" s="2" t="s">
        <v>1030</v>
      </c>
      <c r="D289" s="2" t="s">
        <v>1031</v>
      </c>
      <c r="E289" s="2" t="s">
        <v>31</v>
      </c>
      <c r="F289" s="2">
        <v>0.0</v>
      </c>
      <c r="G289" s="2">
        <v>1.0</v>
      </c>
      <c r="H289" s="3">
        <f t="shared" si="1"/>
        <v>0</v>
      </c>
      <c r="I289" s="2" t="s">
        <v>232</v>
      </c>
      <c r="J289" s="4">
        <f>VLOOKUP(B289,Costos_Proveedores!$B$2:$J$1000,9,FALSE())</f>
        <v>6694</v>
      </c>
      <c r="K289" s="5">
        <f t="shared" si="2"/>
        <v>0</v>
      </c>
      <c r="L289" s="2">
        <v>1.0</v>
      </c>
      <c r="M289" s="2">
        <v>1.0</v>
      </c>
      <c r="N289" s="2">
        <v>0.0</v>
      </c>
      <c r="O289" s="2">
        <v>0.0</v>
      </c>
      <c r="P289" s="1">
        <f t="shared" si="3"/>
        <v>1</v>
      </c>
      <c r="Q289" s="1">
        <f t="shared" si="4"/>
        <v>0</v>
      </c>
      <c r="R289" s="1">
        <f t="shared" si="5"/>
        <v>1</v>
      </c>
      <c r="S289" s="6" t="s">
        <v>1032</v>
      </c>
    </row>
    <row r="290">
      <c r="A290" s="3" t="str">
        <f t="array" ref="A290">XLOOKUP(B290,Costos_Proveedores!$B$2:$B$2000,Costos_Proveedores!$A$2:$A$2000)</f>
        <v>BLENDS N TEA</v>
      </c>
      <c r="B290" s="2" t="s">
        <v>1033</v>
      </c>
      <c r="C290" s="2" t="s">
        <v>1034</v>
      </c>
      <c r="D290" s="2" t="s">
        <v>1035</v>
      </c>
      <c r="E290" s="2" t="s">
        <v>47</v>
      </c>
      <c r="F290" s="2">
        <v>2.0</v>
      </c>
      <c r="G290" s="2">
        <v>2.0</v>
      </c>
      <c r="H290" s="3">
        <f t="shared" si="1"/>
        <v>2</v>
      </c>
      <c r="I290" s="2" t="s">
        <v>232</v>
      </c>
      <c r="J290" s="4">
        <f>VLOOKUP(B290,Costos_Proveedores!$B$2:$J$1000,9,FALSE())</f>
        <v>6024</v>
      </c>
      <c r="K290" s="5">
        <f t="shared" si="2"/>
        <v>12048</v>
      </c>
      <c r="L290" s="2"/>
      <c r="M290" s="2"/>
      <c r="N290" s="2"/>
      <c r="O290" s="2"/>
      <c r="P290" s="1">
        <f t="shared" si="3"/>
        <v>0</v>
      </c>
      <c r="Q290" s="1">
        <f t="shared" si="4"/>
        <v>0</v>
      </c>
      <c r="R290" s="1">
        <f t="shared" si="5"/>
        <v>0</v>
      </c>
      <c r="S290" s="6" t="s">
        <v>1036</v>
      </c>
    </row>
    <row r="291">
      <c r="A291" s="3" t="str">
        <f t="array" ref="A291">XLOOKUP(B291,Costos_Proveedores!$B$2:$B$2000,Costos_Proveedores!$A$2:$A$2000)</f>
        <v>BLENDS N TEA</v>
      </c>
      <c r="B291" s="2" t="s">
        <v>1037</v>
      </c>
      <c r="C291" s="2" t="s">
        <v>1038</v>
      </c>
      <c r="D291" s="2" t="s">
        <v>1039</v>
      </c>
      <c r="E291" s="2" t="s">
        <v>31</v>
      </c>
      <c r="F291" s="2">
        <v>0.0</v>
      </c>
      <c r="G291" s="2">
        <v>1.0</v>
      </c>
      <c r="H291" s="3">
        <f t="shared" si="1"/>
        <v>0</v>
      </c>
      <c r="I291" s="2" t="s">
        <v>232</v>
      </c>
      <c r="J291" s="4">
        <f>VLOOKUP(B291,Costos_Proveedores!$B$2:$J$1000,9,FALSE())</f>
        <v>8033</v>
      </c>
      <c r="K291" s="5">
        <f t="shared" si="2"/>
        <v>0</v>
      </c>
      <c r="L291" s="2">
        <v>1.0</v>
      </c>
      <c r="M291" s="2"/>
      <c r="N291" s="2"/>
      <c r="O291" s="2"/>
      <c r="P291" s="1">
        <f t="shared" si="3"/>
        <v>0</v>
      </c>
      <c r="Q291" s="1">
        <f t="shared" si="4"/>
        <v>0</v>
      </c>
      <c r="R291" s="1">
        <f t="shared" si="5"/>
        <v>0</v>
      </c>
      <c r="S291" s="6" t="s">
        <v>1040</v>
      </c>
    </row>
    <row r="292">
      <c r="A292" s="3" t="str">
        <f t="array" ref="A292">XLOOKUP(B292,Costos_Proveedores!$B$2:$B$2000,Costos_Proveedores!$A$2:$A$2000)</f>
        <v>BLENDS N TEA</v>
      </c>
      <c r="B292" s="2" t="s">
        <v>1041</v>
      </c>
      <c r="C292" s="2" t="s">
        <v>1042</v>
      </c>
      <c r="D292" s="2" t="s">
        <v>1043</v>
      </c>
      <c r="E292" s="2" t="s">
        <v>31</v>
      </c>
      <c r="F292" s="2">
        <v>0.0</v>
      </c>
      <c r="G292" s="2">
        <v>1.0</v>
      </c>
      <c r="H292" s="3">
        <f t="shared" si="1"/>
        <v>0</v>
      </c>
      <c r="I292" s="2" t="s">
        <v>232</v>
      </c>
      <c r="J292" s="4">
        <f>VLOOKUP(B292,Costos_Proveedores!$B$2:$J$1000,9,FALSE())</f>
        <v>6694</v>
      </c>
      <c r="K292" s="5">
        <f t="shared" si="2"/>
        <v>0</v>
      </c>
      <c r="L292" s="2">
        <v>2.0</v>
      </c>
      <c r="M292" s="2">
        <v>3.0</v>
      </c>
      <c r="N292" s="2">
        <v>0.0</v>
      </c>
      <c r="O292" s="2">
        <v>0.0</v>
      </c>
      <c r="P292" s="1">
        <f t="shared" si="3"/>
        <v>3</v>
      </c>
      <c r="Q292" s="1">
        <f t="shared" si="4"/>
        <v>0</v>
      </c>
      <c r="R292" s="1">
        <f t="shared" si="5"/>
        <v>3</v>
      </c>
      <c r="S292" s="6" t="s">
        <v>1044</v>
      </c>
    </row>
    <row r="293">
      <c r="A293" s="3" t="str">
        <f t="array" ref="A293">XLOOKUP(B293,Costos_Proveedores!$B$2:$B$2000,Costos_Proveedores!$A$2:$A$2000)</f>
        <v>BLENDS N TEA</v>
      </c>
      <c r="B293" s="2" t="s">
        <v>1045</v>
      </c>
      <c r="C293" s="2" t="s">
        <v>1046</v>
      </c>
      <c r="D293" s="2" t="s">
        <v>1047</v>
      </c>
      <c r="E293" s="2" t="s">
        <v>47</v>
      </c>
      <c r="F293" s="2">
        <v>5.0</v>
      </c>
      <c r="G293" s="2">
        <v>1.0</v>
      </c>
      <c r="H293" s="3">
        <f t="shared" si="1"/>
        <v>5</v>
      </c>
      <c r="I293" s="2" t="s">
        <v>232</v>
      </c>
      <c r="J293" s="4">
        <f>VLOOKUP(B293,Costos_Proveedores!$B$2:$J$1000,9,FALSE())</f>
        <v>4683</v>
      </c>
      <c r="K293" s="5">
        <f t="shared" si="2"/>
        <v>23415</v>
      </c>
      <c r="L293" s="2">
        <v>1.0</v>
      </c>
      <c r="M293" s="2">
        <v>1.0</v>
      </c>
      <c r="N293" s="2">
        <v>0.0</v>
      </c>
      <c r="O293" s="2">
        <v>0.0</v>
      </c>
      <c r="P293" s="1">
        <f t="shared" si="3"/>
        <v>0</v>
      </c>
      <c r="Q293" s="1">
        <f t="shared" si="4"/>
        <v>0</v>
      </c>
      <c r="R293" s="1">
        <f t="shared" si="5"/>
        <v>0</v>
      </c>
      <c r="S293" s="6" t="s">
        <v>1048</v>
      </c>
    </row>
    <row r="294">
      <c r="A294" s="3" t="str">
        <f t="array" ref="A294">XLOOKUP(B294,Costos_Proveedores!$B$2:$B$2000,Costos_Proveedores!$A$2:$A$2000)</f>
        <v>BLENDS N TEA</v>
      </c>
      <c r="B294" s="2" t="s">
        <v>1049</v>
      </c>
      <c r="C294" s="2" t="s">
        <v>1050</v>
      </c>
      <c r="D294" s="2" t="s">
        <v>1051</v>
      </c>
      <c r="E294" s="2" t="s">
        <v>31</v>
      </c>
      <c r="F294" s="2">
        <v>0.0</v>
      </c>
      <c r="G294" s="2">
        <v>1.0</v>
      </c>
      <c r="H294" s="3">
        <f t="shared" si="1"/>
        <v>0</v>
      </c>
      <c r="I294" s="2" t="s">
        <v>232</v>
      </c>
      <c r="J294" s="4">
        <f>VLOOKUP(B294,Costos_Proveedores!$B$2:$J$1000,9,FALSE())</f>
        <v>4683</v>
      </c>
      <c r="K294" s="5">
        <f t="shared" si="2"/>
        <v>0</v>
      </c>
      <c r="L294" s="2"/>
      <c r="M294" s="2"/>
      <c r="N294" s="2"/>
      <c r="O294" s="2"/>
      <c r="P294" s="1">
        <f t="shared" si="3"/>
        <v>0</v>
      </c>
      <c r="Q294" s="1">
        <f t="shared" si="4"/>
        <v>0</v>
      </c>
      <c r="R294" s="1">
        <f t="shared" si="5"/>
        <v>0</v>
      </c>
      <c r="S294" s="6" t="s">
        <v>1052</v>
      </c>
    </row>
    <row r="295">
      <c r="A295" s="3" t="str">
        <f t="array" ref="A295">XLOOKUP(B295,Costos_Proveedores!$B$2:$B$2000,Costos_Proveedores!$A$2:$A$2000)</f>
        <v>BLENDS N TEA</v>
      </c>
      <c r="B295" s="2" t="s">
        <v>1053</v>
      </c>
      <c r="C295" s="2" t="s">
        <v>1054</v>
      </c>
      <c r="D295" s="2" t="s">
        <v>1055</v>
      </c>
      <c r="E295" s="2" t="s">
        <v>31</v>
      </c>
      <c r="F295" s="2">
        <v>0.0</v>
      </c>
      <c r="G295" s="2">
        <v>0.0</v>
      </c>
      <c r="H295" s="3">
        <f t="shared" si="1"/>
        <v>0</v>
      </c>
      <c r="I295" s="2" t="s">
        <v>232</v>
      </c>
      <c r="J295" s="4">
        <f>VLOOKUP(B295,Costos_Proveedores!$B$2:$J$1000,9,FALSE())</f>
        <v>6694</v>
      </c>
      <c r="K295" s="5">
        <f t="shared" si="2"/>
        <v>0</v>
      </c>
      <c r="L295" s="2"/>
      <c r="M295" s="2"/>
      <c r="N295" s="2"/>
      <c r="O295" s="2"/>
      <c r="P295" s="1">
        <f t="shared" si="3"/>
        <v>0</v>
      </c>
      <c r="Q295" s="1">
        <f t="shared" si="4"/>
        <v>0</v>
      </c>
      <c r="R295" s="1">
        <f t="shared" si="5"/>
        <v>0</v>
      </c>
      <c r="S295" s="6" t="s">
        <v>1056</v>
      </c>
    </row>
    <row r="296">
      <c r="A296" s="3" t="str">
        <f t="array" ref="A296">XLOOKUP(B296,Costos_Proveedores!$B$2:$B$2000,Costos_Proveedores!$A$2:$A$2000)</f>
        <v>BLENDS N TEA</v>
      </c>
      <c r="B296" s="2" t="s">
        <v>1057</v>
      </c>
      <c r="C296" s="2" t="s">
        <v>1058</v>
      </c>
      <c r="D296" s="2" t="s">
        <v>1059</v>
      </c>
      <c r="E296" s="2" t="s">
        <v>31</v>
      </c>
      <c r="F296" s="2">
        <v>0.0</v>
      </c>
      <c r="G296" s="2">
        <v>1.0</v>
      </c>
      <c r="H296" s="3">
        <f t="shared" si="1"/>
        <v>0</v>
      </c>
      <c r="I296" s="2" t="s">
        <v>232</v>
      </c>
      <c r="J296" s="4">
        <f>VLOOKUP(B296,Costos_Proveedores!$B$2:$J$1000,9,FALSE())</f>
        <v>10714</v>
      </c>
      <c r="K296" s="5">
        <f t="shared" si="2"/>
        <v>0</v>
      </c>
      <c r="L296" s="2">
        <v>2.0</v>
      </c>
      <c r="M296" s="2">
        <v>2.0</v>
      </c>
      <c r="N296" s="2">
        <v>0.0</v>
      </c>
      <c r="O296" s="2">
        <v>0.0</v>
      </c>
      <c r="P296" s="1">
        <f t="shared" si="3"/>
        <v>2</v>
      </c>
      <c r="Q296" s="1">
        <f t="shared" si="4"/>
        <v>0</v>
      </c>
      <c r="R296" s="1">
        <f t="shared" si="5"/>
        <v>2</v>
      </c>
      <c r="S296" s="6" t="s">
        <v>1060</v>
      </c>
    </row>
    <row r="297">
      <c r="A297" s="3" t="str">
        <f t="array" ref="A297">XLOOKUP(B297,Costos_Proveedores!$B$2:$B$2000,Costos_Proveedores!$A$2:$A$2000)</f>
        <v>BLENDS N TEA</v>
      </c>
      <c r="B297" s="2" t="s">
        <v>1061</v>
      </c>
      <c r="C297" s="2" t="s">
        <v>1062</v>
      </c>
      <c r="D297" s="2" t="s">
        <v>1063</v>
      </c>
      <c r="E297" s="2" t="s">
        <v>47</v>
      </c>
      <c r="F297" s="2">
        <v>2.0</v>
      </c>
      <c r="G297" s="2">
        <v>1.0</v>
      </c>
      <c r="H297" s="3">
        <f t="shared" si="1"/>
        <v>2</v>
      </c>
      <c r="I297" s="2" t="s">
        <v>232</v>
      </c>
      <c r="J297" s="4">
        <f>VLOOKUP(B297,Costos_Proveedores!$B$2:$J$1000,9,FALSE())</f>
        <v>8033</v>
      </c>
      <c r="K297" s="5">
        <f t="shared" si="2"/>
        <v>16066</v>
      </c>
      <c r="L297" s="2"/>
      <c r="M297" s="2"/>
      <c r="N297" s="2"/>
      <c r="O297" s="2"/>
      <c r="P297" s="1">
        <f t="shared" si="3"/>
        <v>0</v>
      </c>
      <c r="Q297" s="1">
        <f t="shared" si="4"/>
        <v>0</v>
      </c>
      <c r="R297" s="1">
        <f t="shared" si="5"/>
        <v>0</v>
      </c>
      <c r="S297" s="6" t="s">
        <v>1064</v>
      </c>
    </row>
    <row r="298">
      <c r="A298" s="3" t="str">
        <f t="array" ref="A298">XLOOKUP(B298,Costos_Proveedores!$B$2:$B$2000,Costos_Proveedores!$A$2:$A$2000)</f>
        <v>BLENDS N TEA</v>
      </c>
      <c r="B298" s="2" t="s">
        <v>1065</v>
      </c>
      <c r="C298" s="2" t="s">
        <v>1066</v>
      </c>
      <c r="D298" s="2" t="s">
        <v>1067</v>
      </c>
      <c r="E298" s="2" t="s">
        <v>47</v>
      </c>
      <c r="F298" s="2">
        <v>2.0</v>
      </c>
      <c r="G298" s="2">
        <v>0.0</v>
      </c>
      <c r="H298" s="3">
        <f t="shared" si="1"/>
        <v>2</v>
      </c>
      <c r="I298" s="2" t="s">
        <v>232</v>
      </c>
      <c r="J298" s="4">
        <f>VLOOKUP(B298,Costos_Proveedores!$B$2:$J$1000,9,FALSE())</f>
        <v>4683</v>
      </c>
      <c r="K298" s="5">
        <f t="shared" si="2"/>
        <v>9366</v>
      </c>
      <c r="L298" s="2">
        <v>3.0</v>
      </c>
      <c r="M298" s="2">
        <v>3.0</v>
      </c>
      <c r="N298" s="2">
        <v>0.0</v>
      </c>
      <c r="O298" s="2">
        <v>0.0</v>
      </c>
      <c r="P298" s="1">
        <f t="shared" si="3"/>
        <v>1</v>
      </c>
      <c r="Q298" s="1">
        <f t="shared" si="4"/>
        <v>0</v>
      </c>
      <c r="R298" s="1">
        <f t="shared" si="5"/>
        <v>1</v>
      </c>
      <c r="S298" s="6" t="s">
        <v>1068</v>
      </c>
    </row>
    <row r="299">
      <c r="A299" s="3" t="str">
        <f t="array" ref="A299">XLOOKUP(B299,Costos_Proveedores!$B$2:$B$2000,Costos_Proveedores!$A$2:$A$2000)</f>
        <v>BLENDS N TEA</v>
      </c>
      <c r="B299" s="2" t="s">
        <v>1069</v>
      </c>
      <c r="C299" s="2" t="s">
        <v>1070</v>
      </c>
      <c r="D299" s="2" t="s">
        <v>1071</v>
      </c>
      <c r="E299" s="2" t="s">
        <v>31</v>
      </c>
      <c r="F299" s="2">
        <v>0.0</v>
      </c>
      <c r="G299" s="2">
        <v>1.0</v>
      </c>
      <c r="H299" s="3">
        <f t="shared" si="1"/>
        <v>0</v>
      </c>
      <c r="I299" s="2" t="s">
        <v>232</v>
      </c>
      <c r="J299" s="4">
        <f>VLOOKUP(B299,Costos_Proveedores!$B$2:$J$1000,9,FALSE())</f>
        <v>6694</v>
      </c>
      <c r="K299" s="5">
        <f t="shared" si="2"/>
        <v>0</v>
      </c>
      <c r="L299" s="2">
        <v>2.0</v>
      </c>
      <c r="M299" s="2">
        <v>1.0</v>
      </c>
      <c r="N299" s="2">
        <v>0.0</v>
      </c>
      <c r="O299" s="2">
        <v>0.0</v>
      </c>
      <c r="P299" s="1">
        <f t="shared" si="3"/>
        <v>1</v>
      </c>
      <c r="Q299" s="1">
        <f t="shared" si="4"/>
        <v>0</v>
      </c>
      <c r="R299" s="1">
        <f t="shared" si="5"/>
        <v>1</v>
      </c>
      <c r="S299" s="6" t="s">
        <v>1072</v>
      </c>
    </row>
    <row r="300">
      <c r="A300" s="3" t="str">
        <f t="array" ref="A300">XLOOKUP(B300,Costos_Proveedores!$B$2:$B$2000,Costos_Proveedores!$A$2:$A$2000)</f>
        <v>BLENDS N TEA</v>
      </c>
      <c r="B300" s="2" t="s">
        <v>1073</v>
      </c>
      <c r="C300" s="2" t="s">
        <v>1074</v>
      </c>
      <c r="D300" s="2" t="s">
        <v>1075</v>
      </c>
      <c r="E300" s="2" t="s">
        <v>31</v>
      </c>
      <c r="F300" s="2">
        <v>0.0</v>
      </c>
      <c r="G300" s="2">
        <v>1.0</v>
      </c>
      <c r="H300" s="3">
        <f t="shared" si="1"/>
        <v>0</v>
      </c>
      <c r="I300" s="2" t="s">
        <v>232</v>
      </c>
      <c r="J300" s="4">
        <f>VLOOKUP(B300,Costos_Proveedores!$B$2:$J$1000,9,FALSE())</f>
        <v>4683</v>
      </c>
      <c r="K300" s="5">
        <f t="shared" si="2"/>
        <v>0</v>
      </c>
      <c r="L300" s="2"/>
      <c r="M300" s="2"/>
      <c r="N300" s="2"/>
      <c r="O300" s="2"/>
      <c r="P300" s="1">
        <f t="shared" si="3"/>
        <v>0</v>
      </c>
      <c r="Q300" s="1">
        <f t="shared" si="4"/>
        <v>0</v>
      </c>
      <c r="R300" s="1">
        <f t="shared" si="5"/>
        <v>0</v>
      </c>
      <c r="S300" s="6" t="s">
        <v>1076</v>
      </c>
    </row>
    <row r="301">
      <c r="A301" s="3" t="str">
        <f t="array" ref="A301">XLOOKUP(B301,Costos_Proveedores!$B$2:$B$2000,Costos_Proveedores!$A$2:$A$2000)</f>
        <v>BLENDS N TEA</v>
      </c>
      <c r="B301" s="2" t="s">
        <v>1077</v>
      </c>
      <c r="C301" s="2" t="s">
        <v>1078</v>
      </c>
      <c r="D301" s="2" t="s">
        <v>1079</v>
      </c>
      <c r="E301" s="2" t="s">
        <v>31</v>
      </c>
      <c r="G301" s="2">
        <v>0.0</v>
      </c>
      <c r="H301" s="3">
        <f t="shared" si="1"/>
        <v>0</v>
      </c>
      <c r="I301" s="2" t="s">
        <v>22</v>
      </c>
      <c r="J301" s="4">
        <f>VLOOKUP(B301,Costos_Proveedores!$B$2:$J$1000,9,FALSE())</f>
        <v>4683</v>
      </c>
      <c r="K301" s="5">
        <f t="shared" si="2"/>
        <v>0</v>
      </c>
      <c r="L301" s="2"/>
      <c r="M301" s="2"/>
      <c r="N301" s="2"/>
      <c r="O301" s="2"/>
      <c r="P301" s="1">
        <f t="shared" si="3"/>
        <v>0</v>
      </c>
      <c r="Q301" s="1">
        <f t="shared" si="4"/>
        <v>0</v>
      </c>
      <c r="R301" s="1">
        <f t="shared" si="5"/>
        <v>0</v>
      </c>
      <c r="S301" s="6" t="s">
        <v>1080</v>
      </c>
    </row>
    <row r="302">
      <c r="A302" s="3" t="str">
        <f t="array" ref="A302">XLOOKUP(B302,Costos_Proveedores!$B$2:$B$2000,Costos_Proveedores!$A$2:$A$2000)</f>
        <v>BLENDS N TEA</v>
      </c>
      <c r="B302" s="2" t="s">
        <v>1081</v>
      </c>
      <c r="C302" s="2" t="s">
        <v>1082</v>
      </c>
      <c r="D302" s="2" t="s">
        <v>1083</v>
      </c>
      <c r="E302" s="2" t="s">
        <v>31</v>
      </c>
      <c r="F302" s="2">
        <v>0.0</v>
      </c>
      <c r="G302" s="2">
        <v>1.0</v>
      </c>
      <c r="H302" s="3">
        <f t="shared" si="1"/>
        <v>0</v>
      </c>
      <c r="I302" s="2" t="s">
        <v>232</v>
      </c>
      <c r="J302" s="4">
        <f>VLOOKUP(B302,Costos_Proveedores!$B$2:$J$1000,9,FALSE())</f>
        <v>6694</v>
      </c>
      <c r="K302" s="5">
        <f t="shared" si="2"/>
        <v>0</v>
      </c>
      <c r="L302" s="2"/>
      <c r="M302" s="2"/>
      <c r="N302" s="2"/>
      <c r="O302" s="2"/>
      <c r="P302" s="1">
        <f t="shared" si="3"/>
        <v>0</v>
      </c>
      <c r="Q302" s="1">
        <f t="shared" si="4"/>
        <v>0</v>
      </c>
      <c r="R302" s="1">
        <f t="shared" si="5"/>
        <v>0</v>
      </c>
      <c r="S302" s="6" t="s">
        <v>1084</v>
      </c>
    </row>
    <row r="303">
      <c r="A303" s="3" t="str">
        <f t="array" ref="A303">XLOOKUP(B303,Costos_Proveedores!$B$2:$B$2000,Costos_Proveedores!$A$2:$A$2000)</f>
        <v>BLENDS N TEA</v>
      </c>
      <c r="B303" s="2" t="s">
        <v>1085</v>
      </c>
      <c r="C303" s="2" t="s">
        <v>1086</v>
      </c>
      <c r="D303" s="2" t="s">
        <v>1087</v>
      </c>
      <c r="E303" s="2" t="s">
        <v>31</v>
      </c>
      <c r="F303" s="2">
        <v>0.0</v>
      </c>
      <c r="G303" s="2">
        <v>1.0</v>
      </c>
      <c r="H303" s="3">
        <f t="shared" si="1"/>
        <v>0</v>
      </c>
      <c r="I303" s="2" t="s">
        <v>232</v>
      </c>
      <c r="J303" s="4">
        <f>VLOOKUP(B303,Costos_Proveedores!$B$2:$J$1000,9,FALSE())</f>
        <v>6694</v>
      </c>
      <c r="K303" s="5">
        <f t="shared" si="2"/>
        <v>0</v>
      </c>
      <c r="L303" s="2"/>
      <c r="M303" s="2"/>
      <c r="N303" s="2"/>
      <c r="O303" s="2"/>
      <c r="P303" s="1">
        <f t="shared" si="3"/>
        <v>0</v>
      </c>
      <c r="Q303" s="1">
        <f t="shared" si="4"/>
        <v>0</v>
      </c>
      <c r="R303" s="1">
        <f t="shared" si="5"/>
        <v>0</v>
      </c>
      <c r="S303" s="6" t="s">
        <v>1088</v>
      </c>
    </row>
    <row r="304">
      <c r="A304" s="3" t="str">
        <f t="array" ref="A304">XLOOKUP(B304,Costos_Proveedores!$B$2:$B$2000,Costos_Proveedores!$A$2:$A$2000)</f>
        <v>BLENDS N TEA</v>
      </c>
      <c r="B304" s="2" t="s">
        <v>1089</v>
      </c>
      <c r="C304" s="2" t="s">
        <v>1090</v>
      </c>
      <c r="D304" s="2" t="s">
        <v>1091</v>
      </c>
      <c r="E304" s="2" t="s">
        <v>31</v>
      </c>
      <c r="F304" s="2">
        <v>0.0</v>
      </c>
      <c r="G304" s="2">
        <v>1.0</v>
      </c>
      <c r="H304" s="3">
        <f t="shared" si="1"/>
        <v>0</v>
      </c>
      <c r="I304" s="2" t="s">
        <v>232</v>
      </c>
      <c r="J304" s="4">
        <f>VLOOKUP(B304,Costos_Proveedores!$B$2:$J$1000,9,FALSE())</f>
        <v>6694</v>
      </c>
      <c r="K304" s="5">
        <f t="shared" si="2"/>
        <v>0</v>
      </c>
      <c r="L304" s="2">
        <v>1.0</v>
      </c>
      <c r="M304" s="2">
        <v>1.0</v>
      </c>
      <c r="N304" s="2">
        <v>0.0</v>
      </c>
      <c r="O304" s="2">
        <v>0.0</v>
      </c>
      <c r="P304" s="1">
        <f t="shared" si="3"/>
        <v>1</v>
      </c>
      <c r="Q304" s="1">
        <f t="shared" si="4"/>
        <v>0</v>
      </c>
      <c r="R304" s="1">
        <f t="shared" si="5"/>
        <v>1</v>
      </c>
      <c r="S304" s="6" t="s">
        <v>1092</v>
      </c>
    </row>
    <row r="305">
      <c r="A305" s="3" t="str">
        <f t="array" ref="A305">XLOOKUP(B305,Costos_Proveedores!$B$2:$B$2000,Costos_Proveedores!$A$2:$A$2000)</f>
        <v>BLENDS N TEA</v>
      </c>
      <c r="B305" s="2" t="s">
        <v>1093</v>
      </c>
      <c r="C305" s="2" t="s">
        <v>1094</v>
      </c>
      <c r="D305" s="2" t="s">
        <v>1095</v>
      </c>
      <c r="E305" s="2" t="s">
        <v>31</v>
      </c>
      <c r="F305" s="2">
        <v>0.0</v>
      </c>
      <c r="G305" s="2">
        <v>1.0</v>
      </c>
      <c r="H305" s="3">
        <f t="shared" si="1"/>
        <v>0</v>
      </c>
      <c r="I305" s="2" t="s">
        <v>232</v>
      </c>
      <c r="J305" s="4">
        <f>VLOOKUP(B305,Costos_Proveedores!$B$2:$J$1000,9,FALSE())</f>
        <v>5354</v>
      </c>
      <c r="K305" s="5">
        <f t="shared" si="2"/>
        <v>0</v>
      </c>
      <c r="L305" s="2"/>
      <c r="M305" s="2"/>
      <c r="N305" s="2"/>
      <c r="O305" s="2"/>
      <c r="P305" s="1">
        <f t="shared" si="3"/>
        <v>0</v>
      </c>
      <c r="Q305" s="1">
        <f t="shared" si="4"/>
        <v>0</v>
      </c>
      <c r="R305" s="1">
        <f t="shared" si="5"/>
        <v>0</v>
      </c>
      <c r="S305" s="6" t="s">
        <v>1096</v>
      </c>
    </row>
    <row r="306">
      <c r="A306" s="3" t="str">
        <f t="array" ref="A306">XLOOKUP(B306,Costos_Proveedores!$B$2:$B$2000,Costos_Proveedores!$A$2:$A$2000)</f>
        <v>BLENDS N TEA</v>
      </c>
      <c r="B306" s="2" t="s">
        <v>1097</v>
      </c>
      <c r="C306" s="2" t="s">
        <v>1098</v>
      </c>
      <c r="D306" s="2" t="s">
        <v>1099</v>
      </c>
      <c r="E306" s="2" t="s">
        <v>31</v>
      </c>
      <c r="F306" s="2">
        <v>0.0</v>
      </c>
      <c r="G306" s="2">
        <v>1.0</v>
      </c>
      <c r="H306" s="3">
        <f t="shared" si="1"/>
        <v>0</v>
      </c>
      <c r="I306" s="2" t="s">
        <v>232</v>
      </c>
      <c r="J306" s="4">
        <f>VLOOKUP(B306,Costos_Proveedores!$B$2:$J$1000,9,FALSE())</f>
        <v>4683</v>
      </c>
      <c r="K306" s="5">
        <f t="shared" si="2"/>
        <v>0</v>
      </c>
      <c r="L306" s="2"/>
      <c r="M306" s="2"/>
      <c r="N306" s="2"/>
      <c r="O306" s="2"/>
      <c r="P306" s="1">
        <f t="shared" si="3"/>
        <v>0</v>
      </c>
      <c r="Q306" s="1">
        <f t="shared" si="4"/>
        <v>0</v>
      </c>
      <c r="R306" s="1">
        <f t="shared" si="5"/>
        <v>0</v>
      </c>
      <c r="S306" s="6" t="s">
        <v>1100</v>
      </c>
    </row>
    <row r="307">
      <c r="A307" s="3" t="str">
        <f t="array" ref="A307">XLOOKUP(B307,Costos_Proveedores!$B$2:$B$2000,Costos_Proveedores!$A$2:$A$2000)</f>
        <v>BLENDS N TEA</v>
      </c>
      <c r="B307" s="2" t="s">
        <v>1101</v>
      </c>
      <c r="C307" s="2" t="s">
        <v>1102</v>
      </c>
      <c r="D307" s="2" t="s">
        <v>1103</v>
      </c>
      <c r="E307" s="2" t="s">
        <v>47</v>
      </c>
      <c r="F307" s="2">
        <v>2.0</v>
      </c>
      <c r="G307" s="2">
        <v>1.0</v>
      </c>
      <c r="H307" s="3">
        <f t="shared" si="1"/>
        <v>2</v>
      </c>
      <c r="I307" s="2" t="s">
        <v>232</v>
      </c>
      <c r="J307" s="4">
        <f>VLOOKUP(B307,Costos_Proveedores!$B$2:$J$1000,9,FALSE())</f>
        <v>6694</v>
      </c>
      <c r="K307" s="5">
        <f t="shared" si="2"/>
        <v>13388</v>
      </c>
      <c r="L307" s="2"/>
      <c r="M307" s="2"/>
      <c r="N307" s="2"/>
      <c r="O307" s="2"/>
      <c r="P307" s="1">
        <f t="shared" si="3"/>
        <v>0</v>
      </c>
      <c r="Q307" s="1">
        <f t="shared" si="4"/>
        <v>0</v>
      </c>
      <c r="R307" s="1">
        <f t="shared" si="5"/>
        <v>0</v>
      </c>
      <c r="S307" s="6" t="s">
        <v>1104</v>
      </c>
    </row>
    <row r="308">
      <c r="A308" s="3" t="str">
        <f t="array" ref="A308">XLOOKUP(B308,Costos_Proveedores!$B$2:$B$2000,Costos_Proveedores!$A$2:$A$2000)</f>
        <v>BLENDS N TEA</v>
      </c>
      <c r="B308" s="2" t="s">
        <v>1105</v>
      </c>
      <c r="C308" s="2" t="s">
        <v>1106</v>
      </c>
      <c r="D308" s="2" t="s">
        <v>1107</v>
      </c>
      <c r="E308" s="2" t="s">
        <v>31</v>
      </c>
      <c r="F308" s="2">
        <v>0.0</v>
      </c>
      <c r="G308" s="2">
        <v>1.0</v>
      </c>
      <c r="H308" s="3">
        <f t="shared" si="1"/>
        <v>0</v>
      </c>
      <c r="I308" s="2" t="s">
        <v>232</v>
      </c>
      <c r="J308" s="4">
        <f>VLOOKUP(B308,Costos_Proveedores!$B$2:$J$1000,9,FALSE())</f>
        <v>8033</v>
      </c>
      <c r="K308" s="5">
        <f t="shared" si="2"/>
        <v>0</v>
      </c>
      <c r="L308" s="2">
        <v>2.0</v>
      </c>
      <c r="M308" s="2">
        <v>2.0</v>
      </c>
      <c r="N308" s="2">
        <v>0.0</v>
      </c>
      <c r="O308" s="2">
        <v>0.0</v>
      </c>
      <c r="P308" s="1">
        <f t="shared" si="3"/>
        <v>2</v>
      </c>
      <c r="Q308" s="1">
        <f t="shared" si="4"/>
        <v>0</v>
      </c>
      <c r="R308" s="1">
        <f t="shared" si="5"/>
        <v>2</v>
      </c>
      <c r="S308" s="6" t="s">
        <v>1108</v>
      </c>
    </row>
    <row r="309">
      <c r="A309" s="3" t="str">
        <f t="array" ref="A309">XLOOKUP(B309,Costos_Proveedores!$B$2:$B$2000,Costos_Proveedores!$A$2:$A$2000)</f>
        <v>BLENDS N TEA</v>
      </c>
      <c r="B309" s="2" t="s">
        <v>1109</v>
      </c>
      <c r="C309" s="2" t="s">
        <v>1110</v>
      </c>
      <c r="D309" s="2" t="s">
        <v>1111</v>
      </c>
      <c r="E309" s="2" t="s">
        <v>31</v>
      </c>
      <c r="F309" s="2">
        <v>0.0</v>
      </c>
      <c r="G309" s="2">
        <v>1.0</v>
      </c>
      <c r="H309" s="3">
        <f t="shared" si="1"/>
        <v>0</v>
      </c>
      <c r="I309" s="2" t="s">
        <v>232</v>
      </c>
      <c r="J309" s="4">
        <f>VLOOKUP(B309,Costos_Proveedores!$B$2:$J$1000,9,FALSE())</f>
        <v>6944</v>
      </c>
      <c r="K309" s="5">
        <f t="shared" si="2"/>
        <v>0</v>
      </c>
      <c r="L309" s="2">
        <v>1.0</v>
      </c>
      <c r="M309" s="2"/>
      <c r="N309" s="2"/>
      <c r="O309" s="2"/>
      <c r="P309" s="1">
        <f t="shared" si="3"/>
        <v>0</v>
      </c>
      <c r="Q309" s="1">
        <f t="shared" si="4"/>
        <v>0</v>
      </c>
      <c r="R309" s="1">
        <f t="shared" si="5"/>
        <v>0</v>
      </c>
      <c r="S309" s="6" t="s">
        <v>1112</v>
      </c>
    </row>
    <row r="310">
      <c r="A310" s="3" t="str">
        <f t="array" ref="A310">XLOOKUP(B310,Costos_Proveedores!$B$2:$B$2000,Costos_Proveedores!$A$2:$A$2000)</f>
        <v>BLENDS N TEA</v>
      </c>
      <c r="B310" s="2" t="s">
        <v>1113</v>
      </c>
      <c r="C310" s="2" t="s">
        <v>1114</v>
      </c>
      <c r="D310" s="2" t="s">
        <v>1115</v>
      </c>
      <c r="E310" s="2" t="s">
        <v>31</v>
      </c>
      <c r="F310" s="2">
        <v>0.0</v>
      </c>
      <c r="G310" s="2">
        <v>1.0</v>
      </c>
      <c r="H310" s="3">
        <f t="shared" si="1"/>
        <v>0</v>
      </c>
      <c r="I310" s="2" t="s">
        <v>232</v>
      </c>
      <c r="J310" s="4">
        <f>VLOOKUP(B310,Costos_Proveedores!$B$2:$J$1000,9,FALSE())</f>
        <v>8033</v>
      </c>
      <c r="K310" s="5">
        <f t="shared" si="2"/>
        <v>0</v>
      </c>
      <c r="L310" s="2"/>
      <c r="M310" s="2"/>
      <c r="N310" s="2"/>
      <c r="O310" s="2"/>
      <c r="P310" s="1">
        <f t="shared" si="3"/>
        <v>0</v>
      </c>
      <c r="Q310" s="1">
        <f t="shared" si="4"/>
        <v>0</v>
      </c>
      <c r="R310" s="1">
        <f t="shared" si="5"/>
        <v>0</v>
      </c>
      <c r="S310" s="6" t="s">
        <v>1116</v>
      </c>
    </row>
    <row r="311">
      <c r="A311" s="3" t="str">
        <f t="array" ref="A311">XLOOKUP(B311,Costos_Proveedores!$B$2:$B$2000,Costos_Proveedores!$A$2:$A$2000)</f>
        <v>BLENDS N TEA</v>
      </c>
      <c r="B311" s="2" t="s">
        <v>1117</v>
      </c>
      <c r="C311" s="2" t="s">
        <v>1118</v>
      </c>
      <c r="D311" s="2" t="s">
        <v>1119</v>
      </c>
      <c r="E311" s="2" t="s">
        <v>31</v>
      </c>
      <c r="F311" s="2">
        <v>0.0</v>
      </c>
      <c r="G311" s="2">
        <v>1.0</v>
      </c>
      <c r="H311" s="3">
        <f t="shared" si="1"/>
        <v>0</v>
      </c>
      <c r="I311" s="2" t="s">
        <v>232</v>
      </c>
      <c r="J311" s="4">
        <f>VLOOKUP(B311,Costos_Proveedores!$B$2:$J$1000,9,FALSE())</f>
        <v>4683</v>
      </c>
      <c r="K311" s="5">
        <f t="shared" si="2"/>
        <v>0</v>
      </c>
      <c r="L311" s="2"/>
      <c r="M311" s="2"/>
      <c r="N311" s="2"/>
      <c r="O311" s="2"/>
      <c r="P311" s="1">
        <f t="shared" si="3"/>
        <v>0</v>
      </c>
      <c r="Q311" s="1">
        <f t="shared" si="4"/>
        <v>0</v>
      </c>
      <c r="R311" s="1">
        <f t="shared" si="5"/>
        <v>0</v>
      </c>
      <c r="S311" s="6" t="s">
        <v>1120</v>
      </c>
    </row>
    <row r="312">
      <c r="A312" s="3" t="str">
        <f t="array" ref="A312">XLOOKUP(B312,Costos_Proveedores!$B$2:$B$2000,Costos_Proveedores!$A$2:$A$2000)</f>
        <v>BLENDS N TEA</v>
      </c>
      <c r="B312" s="2" t="s">
        <v>1121</v>
      </c>
      <c r="C312" s="2" t="s">
        <v>1122</v>
      </c>
      <c r="D312" s="2" t="s">
        <v>1123</v>
      </c>
      <c r="E312" s="2" t="s">
        <v>31</v>
      </c>
      <c r="F312" s="2">
        <v>0.0</v>
      </c>
      <c r="G312" s="2">
        <v>1.0</v>
      </c>
      <c r="H312" s="3">
        <f t="shared" si="1"/>
        <v>0</v>
      </c>
      <c r="I312" s="2" t="s">
        <v>232</v>
      </c>
      <c r="J312" s="4">
        <f>VLOOKUP(B312,Costos_Proveedores!$B$2:$J$1000,9,FALSE())</f>
        <v>4683</v>
      </c>
      <c r="K312" s="5">
        <f t="shared" si="2"/>
        <v>0</v>
      </c>
      <c r="L312" s="2">
        <v>1.0</v>
      </c>
      <c r="M312" s="2"/>
      <c r="N312" s="2"/>
      <c r="O312" s="2"/>
      <c r="P312" s="1">
        <f t="shared" si="3"/>
        <v>0</v>
      </c>
      <c r="Q312" s="1">
        <f t="shared" si="4"/>
        <v>0</v>
      </c>
      <c r="R312" s="1">
        <f t="shared" si="5"/>
        <v>0</v>
      </c>
      <c r="S312" s="6" t="s">
        <v>1124</v>
      </c>
    </row>
    <row r="313">
      <c r="A313" s="3" t="str">
        <f t="array" ref="A313">XLOOKUP(B313,Costos_Proveedores!$B$2:$B$2000,Costos_Proveedores!$A$2:$A$2000)</f>
        <v>BLENDS N TEA</v>
      </c>
      <c r="B313" s="2" t="s">
        <v>1125</v>
      </c>
      <c r="C313" s="2" t="s">
        <v>1126</v>
      </c>
      <c r="D313" s="2" t="s">
        <v>1127</v>
      </c>
      <c r="E313" s="2" t="s">
        <v>31</v>
      </c>
      <c r="F313" s="2">
        <v>0.0</v>
      </c>
      <c r="G313" s="2">
        <v>1.0</v>
      </c>
      <c r="H313" s="3">
        <f t="shared" si="1"/>
        <v>0</v>
      </c>
      <c r="I313" s="2" t="s">
        <v>232</v>
      </c>
      <c r="J313" s="4">
        <f>VLOOKUP(B313,Costos_Proveedores!$B$2:$J$1000,9,FALSE())</f>
        <v>8033</v>
      </c>
      <c r="K313" s="5">
        <f t="shared" si="2"/>
        <v>0</v>
      </c>
      <c r="L313" s="2">
        <v>1.0</v>
      </c>
      <c r="M313" s="2">
        <v>3.0</v>
      </c>
      <c r="N313" s="2">
        <v>0.0</v>
      </c>
      <c r="O313" s="2">
        <v>0.0</v>
      </c>
      <c r="P313" s="1">
        <f t="shared" si="3"/>
        <v>3</v>
      </c>
      <c r="Q313" s="1">
        <f t="shared" si="4"/>
        <v>0</v>
      </c>
      <c r="R313" s="1">
        <f t="shared" si="5"/>
        <v>3</v>
      </c>
      <c r="S313" s="6" t="s">
        <v>1128</v>
      </c>
    </row>
    <row r="314">
      <c r="A314" s="3" t="str">
        <f t="array" ref="A314">XLOOKUP(B314,Costos_Proveedores!$B$2:$B$2000,Costos_Proveedores!$A$2:$A$2000)</f>
        <v>BLENDS N TEA</v>
      </c>
      <c r="B314" s="2" t="s">
        <v>1129</v>
      </c>
      <c r="C314" s="2" t="s">
        <v>1130</v>
      </c>
      <c r="D314" s="2" t="s">
        <v>1131</v>
      </c>
      <c r="E314" s="2" t="s">
        <v>31</v>
      </c>
      <c r="F314" s="2">
        <v>0.0</v>
      </c>
      <c r="G314" s="2">
        <v>1.0</v>
      </c>
      <c r="H314" s="3">
        <f t="shared" si="1"/>
        <v>0</v>
      </c>
      <c r="I314" s="2" t="s">
        <v>232</v>
      </c>
      <c r="J314" s="4">
        <f>VLOOKUP(B314,Costos_Proveedores!$B$2:$J$1000,9,FALSE())</f>
        <v>6694</v>
      </c>
      <c r="K314" s="5">
        <f t="shared" si="2"/>
        <v>0</v>
      </c>
      <c r="L314" s="2"/>
      <c r="M314" s="2"/>
      <c r="N314" s="2"/>
      <c r="O314" s="2"/>
      <c r="P314" s="1">
        <f t="shared" si="3"/>
        <v>0</v>
      </c>
      <c r="Q314" s="1">
        <f t="shared" si="4"/>
        <v>0</v>
      </c>
      <c r="R314" s="1">
        <f t="shared" si="5"/>
        <v>0</v>
      </c>
      <c r="S314" s="6" t="s">
        <v>1132</v>
      </c>
    </row>
    <row r="315">
      <c r="A315" s="3" t="str">
        <f t="array" ref="A315">XLOOKUP(B315,Costos_Proveedores!$B$2:$B$2000,Costos_Proveedores!$A$2:$A$2000)</f>
        <v>BLENDS N TEA</v>
      </c>
      <c r="B315" s="2" t="s">
        <v>1133</v>
      </c>
      <c r="C315" s="2" t="s">
        <v>1134</v>
      </c>
      <c r="D315" s="2" t="s">
        <v>1135</v>
      </c>
      <c r="E315" s="2" t="s">
        <v>31</v>
      </c>
      <c r="F315" s="2">
        <v>0.0</v>
      </c>
      <c r="G315" s="2">
        <v>0.0</v>
      </c>
      <c r="H315" s="3">
        <f t="shared" si="1"/>
        <v>0</v>
      </c>
      <c r="I315" s="2" t="s">
        <v>232</v>
      </c>
      <c r="J315" s="4">
        <f>VLOOKUP(B315,Costos_Proveedores!$B$2:$J$1000,9,FALSE())</f>
        <v>8033</v>
      </c>
      <c r="K315" s="5">
        <f t="shared" si="2"/>
        <v>0</v>
      </c>
      <c r="L315" s="2"/>
      <c r="M315" s="2"/>
      <c r="N315" s="2"/>
      <c r="O315" s="2"/>
      <c r="P315" s="1">
        <f t="shared" si="3"/>
        <v>0</v>
      </c>
      <c r="Q315" s="1">
        <f t="shared" si="4"/>
        <v>0</v>
      </c>
      <c r="R315" s="1">
        <f t="shared" si="5"/>
        <v>0</v>
      </c>
      <c r="S315" s="6" t="s">
        <v>1136</v>
      </c>
    </row>
    <row r="316">
      <c r="A316" s="3" t="str">
        <f t="array" ref="A316">XLOOKUP(B316,Costos_Proveedores!$B$2:$B$2000,Costos_Proveedores!$A$2:$A$2000)</f>
        <v>BLENDS N TEA</v>
      </c>
      <c r="B316" s="2" t="s">
        <v>1137</v>
      </c>
      <c r="C316" s="2" t="s">
        <v>1138</v>
      </c>
      <c r="D316" s="2" t="s">
        <v>1139</v>
      </c>
      <c r="E316" s="2" t="s">
        <v>31</v>
      </c>
      <c r="F316" s="2">
        <v>0.0</v>
      </c>
      <c r="G316" s="2">
        <v>1.0</v>
      </c>
      <c r="H316" s="3">
        <f t="shared" si="1"/>
        <v>0</v>
      </c>
      <c r="I316" s="2" t="s">
        <v>232</v>
      </c>
      <c r="J316" s="4">
        <f>VLOOKUP(B316,Costos_Proveedores!$B$2:$J$1000,9,FALSE())</f>
        <v>4683</v>
      </c>
      <c r="K316" s="5">
        <f t="shared" si="2"/>
        <v>0</v>
      </c>
      <c r="L316" s="2"/>
      <c r="M316" s="2"/>
      <c r="N316" s="2"/>
      <c r="O316" s="2"/>
      <c r="P316" s="1">
        <f t="shared" si="3"/>
        <v>0</v>
      </c>
      <c r="Q316" s="1">
        <f t="shared" si="4"/>
        <v>0</v>
      </c>
      <c r="R316" s="1">
        <f t="shared" si="5"/>
        <v>0</v>
      </c>
      <c r="S316" s="6" t="s">
        <v>1140</v>
      </c>
    </row>
    <row r="317">
      <c r="A317" s="3" t="str">
        <f t="array" ref="A317">XLOOKUP(B317,Costos_Proveedores!$B$2:$B$2000,Costos_Proveedores!$A$2:$A$2000)</f>
        <v>BLENDS N TEA</v>
      </c>
      <c r="B317" s="2" t="s">
        <v>1141</v>
      </c>
      <c r="C317" s="2" t="s">
        <v>1142</v>
      </c>
      <c r="D317" s="2" t="s">
        <v>1143</v>
      </c>
      <c r="E317" s="2" t="s">
        <v>31</v>
      </c>
      <c r="F317" s="2">
        <v>0.0</v>
      </c>
      <c r="G317" s="2">
        <v>1.0</v>
      </c>
      <c r="H317" s="3">
        <f t="shared" si="1"/>
        <v>0</v>
      </c>
      <c r="I317" s="2" t="s">
        <v>232</v>
      </c>
      <c r="J317" s="4">
        <f>VLOOKUP(B317,Costos_Proveedores!$B$2:$J$1000,9,FALSE())</f>
        <v>4683</v>
      </c>
      <c r="K317" s="5">
        <f t="shared" si="2"/>
        <v>0</v>
      </c>
      <c r="L317" s="2">
        <v>1.0</v>
      </c>
      <c r="M317" s="2">
        <v>3.0</v>
      </c>
      <c r="N317" s="2">
        <v>0.0</v>
      </c>
      <c r="O317" s="2">
        <v>0.0</v>
      </c>
      <c r="P317" s="1">
        <f t="shared" si="3"/>
        <v>3</v>
      </c>
      <c r="Q317" s="1">
        <f t="shared" si="4"/>
        <v>0</v>
      </c>
      <c r="R317" s="1">
        <f t="shared" si="5"/>
        <v>3</v>
      </c>
      <c r="S317" s="6" t="s">
        <v>1144</v>
      </c>
    </row>
    <row r="318">
      <c r="A318" s="3" t="str">
        <f t="array" ref="A318">XLOOKUP(B318,Costos_Proveedores!$B$2:$B$2000,Costos_Proveedores!$A$2:$A$2000)</f>
        <v>BLENDS N TEA</v>
      </c>
      <c r="B318" s="2" t="s">
        <v>1145</v>
      </c>
      <c r="C318" s="2" t="s">
        <v>1146</v>
      </c>
      <c r="D318" s="2" t="s">
        <v>1147</v>
      </c>
      <c r="E318" s="2" t="s">
        <v>31</v>
      </c>
      <c r="F318" s="2">
        <v>0.0</v>
      </c>
      <c r="G318" s="2">
        <v>1.0</v>
      </c>
      <c r="H318" s="3">
        <f t="shared" si="1"/>
        <v>0</v>
      </c>
      <c r="I318" s="2" t="s">
        <v>232</v>
      </c>
      <c r="J318" s="4">
        <f>VLOOKUP(B318,Costos_Proveedores!$B$2:$J$1000,9,FALSE())</f>
        <v>8033</v>
      </c>
      <c r="K318" s="5">
        <f t="shared" si="2"/>
        <v>0</v>
      </c>
      <c r="L318" s="2"/>
      <c r="M318" s="2"/>
      <c r="N318" s="2"/>
      <c r="O318" s="2"/>
      <c r="P318" s="1">
        <f t="shared" si="3"/>
        <v>0</v>
      </c>
      <c r="Q318" s="1">
        <f t="shared" si="4"/>
        <v>0</v>
      </c>
      <c r="R318" s="1">
        <f t="shared" si="5"/>
        <v>0</v>
      </c>
      <c r="S318" s="6" t="s">
        <v>1148</v>
      </c>
    </row>
    <row r="319">
      <c r="A319" s="3" t="str">
        <f t="array" ref="A319">XLOOKUP(B319,Costos_Proveedores!$B$2:$B$2000,Costos_Proveedores!$A$2:$A$2000)</f>
        <v>BLENDS N TEA</v>
      </c>
      <c r="B319" s="2" t="s">
        <v>1149</v>
      </c>
      <c r="C319" s="2" t="s">
        <v>1150</v>
      </c>
      <c r="D319" s="2" t="s">
        <v>1151</v>
      </c>
      <c r="E319" s="2" t="s">
        <v>31</v>
      </c>
      <c r="F319" s="2">
        <v>0.0</v>
      </c>
      <c r="G319" s="2">
        <v>1.0</v>
      </c>
      <c r="H319" s="3">
        <f t="shared" si="1"/>
        <v>0</v>
      </c>
      <c r="I319" s="2" t="s">
        <v>232</v>
      </c>
      <c r="J319" s="4">
        <f>VLOOKUP(B319,Costos_Proveedores!$B$2:$J$1000,9,FALSE())</f>
        <v>8033</v>
      </c>
      <c r="K319" s="5">
        <f t="shared" si="2"/>
        <v>0</v>
      </c>
      <c r="L319" s="2"/>
      <c r="M319" s="2"/>
      <c r="N319" s="2"/>
      <c r="O319" s="2"/>
      <c r="P319" s="1">
        <f t="shared" si="3"/>
        <v>0</v>
      </c>
      <c r="Q319" s="1">
        <f t="shared" si="4"/>
        <v>0</v>
      </c>
      <c r="R319" s="1">
        <f t="shared" si="5"/>
        <v>0</v>
      </c>
      <c r="S319" s="6" t="s">
        <v>1152</v>
      </c>
    </row>
    <row r="320">
      <c r="A320" s="3" t="str">
        <f t="array" ref="A320">XLOOKUP(B320,Costos_Proveedores!$B$2:$B$2000,Costos_Proveedores!$A$2:$A$2000)</f>
        <v>BLENDS N TEA</v>
      </c>
      <c r="B320" s="2" t="s">
        <v>1153</v>
      </c>
      <c r="C320" s="2" t="s">
        <v>1154</v>
      </c>
      <c r="D320" s="2" t="s">
        <v>1155</v>
      </c>
      <c r="E320" s="2" t="s">
        <v>31</v>
      </c>
      <c r="F320" s="2">
        <v>0.0</v>
      </c>
      <c r="G320" s="2">
        <v>1.0</v>
      </c>
      <c r="H320" s="3">
        <f t="shared" si="1"/>
        <v>0</v>
      </c>
      <c r="I320" s="2" t="s">
        <v>232</v>
      </c>
      <c r="J320" s="4">
        <f>VLOOKUP(B320,Costos_Proveedores!$B$2:$J$1000,9,FALSE())</f>
        <v>6694</v>
      </c>
      <c r="K320" s="5">
        <f t="shared" si="2"/>
        <v>0</v>
      </c>
      <c r="L320" s="2"/>
      <c r="M320" s="2"/>
      <c r="N320" s="2"/>
      <c r="O320" s="2"/>
      <c r="P320" s="1">
        <f t="shared" si="3"/>
        <v>0</v>
      </c>
      <c r="Q320" s="1">
        <f t="shared" si="4"/>
        <v>0</v>
      </c>
      <c r="R320" s="1">
        <f t="shared" si="5"/>
        <v>0</v>
      </c>
      <c r="S320" s="6" t="s">
        <v>1156</v>
      </c>
    </row>
    <row r="321">
      <c r="A321" s="3" t="str">
        <f t="array" ref="A321">XLOOKUP(B321,Costos_Proveedores!$B$2:$B$2000,Costos_Proveedores!$A$2:$A$2000)</f>
        <v>BLENDS N TEA</v>
      </c>
      <c r="B321" s="2" t="s">
        <v>1157</v>
      </c>
      <c r="C321" s="2" t="s">
        <v>1158</v>
      </c>
      <c r="D321" s="2" t="s">
        <v>1159</v>
      </c>
      <c r="E321" s="2" t="s">
        <v>31</v>
      </c>
      <c r="F321" s="2">
        <v>0.0</v>
      </c>
      <c r="G321" s="2">
        <v>1.0</v>
      </c>
      <c r="H321" s="3">
        <f t="shared" si="1"/>
        <v>0</v>
      </c>
      <c r="I321" s="2" t="s">
        <v>232</v>
      </c>
      <c r="J321" s="4">
        <f>VLOOKUP(B321,Costos_Proveedores!$B$2:$J$1000,9,FALSE())</f>
        <v>4683</v>
      </c>
      <c r="K321" s="5">
        <f t="shared" si="2"/>
        <v>0</v>
      </c>
      <c r="L321" s="2">
        <v>1.0</v>
      </c>
      <c r="M321" s="2">
        <v>2.0</v>
      </c>
      <c r="N321" s="2">
        <v>0.0</v>
      </c>
      <c r="O321" s="2">
        <v>0.0</v>
      </c>
      <c r="P321" s="1">
        <f t="shared" si="3"/>
        <v>2</v>
      </c>
      <c r="Q321" s="1">
        <f t="shared" si="4"/>
        <v>0</v>
      </c>
      <c r="R321" s="1">
        <f t="shared" si="5"/>
        <v>2</v>
      </c>
      <c r="S321" s="6" t="s">
        <v>1160</v>
      </c>
    </row>
    <row r="322">
      <c r="A322" s="3" t="str">
        <f t="array" ref="A322">XLOOKUP(B322,Costos_Proveedores!$B$2:$B$2000,Costos_Proveedores!$A$2:$A$2000)</f>
        <v>BLENDS N TEA</v>
      </c>
      <c r="B322" s="2" t="s">
        <v>1161</v>
      </c>
      <c r="C322" s="2" t="s">
        <v>1162</v>
      </c>
      <c r="D322" s="2" t="s">
        <v>1163</v>
      </c>
      <c r="E322" s="2" t="s">
        <v>47</v>
      </c>
      <c r="F322" s="2">
        <v>1.0</v>
      </c>
      <c r="G322" s="2">
        <v>1.0</v>
      </c>
      <c r="H322" s="3">
        <f t="shared" si="1"/>
        <v>1</v>
      </c>
      <c r="I322" s="2" t="s">
        <v>232</v>
      </c>
      <c r="J322" s="4">
        <f>VLOOKUP(B322,Costos_Proveedores!$B$2:$J$1000,9,FALSE())</f>
        <v>6694</v>
      </c>
      <c r="K322" s="5">
        <f t="shared" si="2"/>
        <v>6694</v>
      </c>
      <c r="L322" s="2">
        <v>1.0</v>
      </c>
      <c r="M322" s="2">
        <v>3.0</v>
      </c>
      <c r="N322" s="2">
        <v>0.0</v>
      </c>
      <c r="O322" s="2">
        <v>0.0</v>
      </c>
      <c r="P322" s="1">
        <f t="shared" si="3"/>
        <v>2</v>
      </c>
      <c r="Q322" s="1">
        <f t="shared" si="4"/>
        <v>0</v>
      </c>
      <c r="R322" s="1">
        <f t="shared" si="5"/>
        <v>2</v>
      </c>
      <c r="S322" s="6" t="s">
        <v>1164</v>
      </c>
    </row>
    <row r="323">
      <c r="A323" s="3" t="str">
        <f t="array" ref="A323">XLOOKUP(B323,Costos_Proveedores!$B$2:$B$2000,Costos_Proveedores!$A$2:$A$2000)</f>
        <v>BLENDS N TEA</v>
      </c>
      <c r="B323" s="2" t="s">
        <v>1165</v>
      </c>
      <c r="C323" s="2" t="s">
        <v>1166</v>
      </c>
      <c r="D323" s="2" t="s">
        <v>1167</v>
      </c>
      <c r="E323" s="2" t="s">
        <v>31</v>
      </c>
      <c r="F323" s="2">
        <v>0.0</v>
      </c>
      <c r="G323" s="2">
        <v>0.0</v>
      </c>
      <c r="H323" s="3">
        <f t="shared" si="1"/>
        <v>0</v>
      </c>
      <c r="I323" s="2" t="s">
        <v>232</v>
      </c>
      <c r="J323" s="4">
        <f>VLOOKUP(B323,Costos_Proveedores!$B$2:$J$1000,9,FALSE())</f>
        <v>4683</v>
      </c>
      <c r="K323" s="5">
        <f t="shared" si="2"/>
        <v>0</v>
      </c>
      <c r="L323" s="2">
        <v>2.0</v>
      </c>
      <c r="M323" s="2">
        <v>3.0</v>
      </c>
      <c r="N323" s="2">
        <v>0.0</v>
      </c>
      <c r="O323" s="2">
        <v>0.0</v>
      </c>
      <c r="P323" s="1">
        <f t="shared" si="3"/>
        <v>3</v>
      </c>
      <c r="Q323" s="1">
        <f t="shared" si="4"/>
        <v>0</v>
      </c>
      <c r="R323" s="1">
        <f t="shared" si="5"/>
        <v>3</v>
      </c>
      <c r="S323" s="6" t="s">
        <v>1168</v>
      </c>
    </row>
    <row r="324">
      <c r="A324" s="3" t="str">
        <f t="array" ref="A324">XLOOKUP(B324,Costos_Proveedores!$B$2:$B$2000,Costos_Proveedores!$A$2:$A$2000)</f>
        <v>BLENDS N TEA</v>
      </c>
      <c r="B324" s="2" t="s">
        <v>1169</v>
      </c>
      <c r="C324" s="2" t="s">
        <v>1170</v>
      </c>
      <c r="D324" s="2" t="s">
        <v>1171</v>
      </c>
      <c r="E324" s="2" t="s">
        <v>31</v>
      </c>
      <c r="F324" s="2">
        <v>0.0</v>
      </c>
      <c r="G324" s="2">
        <v>1.0</v>
      </c>
      <c r="H324" s="3">
        <f t="shared" si="1"/>
        <v>0</v>
      </c>
      <c r="I324" s="2" t="s">
        <v>232</v>
      </c>
      <c r="J324" s="4">
        <f>VLOOKUP(B324,Costos_Proveedores!$B$2:$J$1000,9,FALSE())</f>
        <v>4683</v>
      </c>
      <c r="K324" s="5">
        <f t="shared" si="2"/>
        <v>0</v>
      </c>
      <c r="L324" s="2"/>
      <c r="M324" s="2"/>
      <c r="N324" s="2"/>
      <c r="O324" s="2"/>
      <c r="P324" s="1">
        <f t="shared" si="3"/>
        <v>0</v>
      </c>
      <c r="Q324" s="1">
        <f t="shared" si="4"/>
        <v>0</v>
      </c>
      <c r="R324" s="1">
        <f t="shared" si="5"/>
        <v>0</v>
      </c>
      <c r="S324" s="6" t="s">
        <v>1172</v>
      </c>
    </row>
    <row r="325">
      <c r="A325" s="3" t="str">
        <f t="array" ref="A325">XLOOKUP(B325,Costos_Proveedores!$B$2:$B$2000,Costos_Proveedores!$A$2:$A$2000)</f>
        <v>BLENDS N TEA</v>
      </c>
      <c r="B325" s="2" t="s">
        <v>1173</v>
      </c>
      <c r="C325" s="2" t="s">
        <v>1174</v>
      </c>
      <c r="D325" s="2" t="s">
        <v>1175</v>
      </c>
      <c r="E325" s="2" t="s">
        <v>31</v>
      </c>
      <c r="F325" s="2">
        <v>0.0</v>
      </c>
      <c r="G325" s="2">
        <v>0.0</v>
      </c>
      <c r="H325" s="3">
        <f t="shared" si="1"/>
        <v>0</v>
      </c>
      <c r="I325" s="2" t="s">
        <v>232</v>
      </c>
      <c r="J325" s="4">
        <f>VLOOKUP(B325,Costos_Proveedores!$B$2:$J$1000,9,FALSE())</f>
        <v>4683</v>
      </c>
      <c r="K325" s="5">
        <f t="shared" si="2"/>
        <v>0</v>
      </c>
      <c r="L325" s="2"/>
      <c r="M325" s="2"/>
      <c r="N325" s="2"/>
      <c r="O325" s="2"/>
      <c r="P325" s="1">
        <f t="shared" si="3"/>
        <v>0</v>
      </c>
      <c r="Q325" s="1">
        <f t="shared" si="4"/>
        <v>0</v>
      </c>
      <c r="R325" s="1">
        <f t="shared" si="5"/>
        <v>0</v>
      </c>
      <c r="S325" s="6" t="s">
        <v>1176</v>
      </c>
    </row>
    <row r="326">
      <c r="A326" s="3" t="str">
        <f t="array" ref="A326">XLOOKUP(B326,Costos_Proveedores!$B$2:$B$2000,Costos_Proveedores!$A$2:$A$2000)</f>
        <v>BLENDS N TEA</v>
      </c>
      <c r="B326" s="2" t="s">
        <v>1177</v>
      </c>
      <c r="C326" s="2" t="s">
        <v>1178</v>
      </c>
      <c r="D326" s="2" t="s">
        <v>1179</v>
      </c>
      <c r="E326" s="2" t="s">
        <v>31</v>
      </c>
      <c r="F326" s="2">
        <v>0.0</v>
      </c>
      <c r="G326" s="2">
        <v>0.0</v>
      </c>
      <c r="H326" s="3">
        <f t="shared" si="1"/>
        <v>0</v>
      </c>
      <c r="I326" s="2" t="s">
        <v>232</v>
      </c>
      <c r="J326" s="4">
        <f>VLOOKUP(B326,Costos_Proveedores!$B$2:$J$1000,9,FALSE())</f>
        <v>4683</v>
      </c>
      <c r="K326" s="5">
        <f t="shared" si="2"/>
        <v>0</v>
      </c>
      <c r="L326" s="2"/>
      <c r="M326" s="2"/>
      <c r="N326" s="2"/>
      <c r="O326" s="2"/>
      <c r="P326" s="1">
        <f t="shared" si="3"/>
        <v>0</v>
      </c>
      <c r="Q326" s="1">
        <f t="shared" si="4"/>
        <v>0</v>
      </c>
      <c r="R326" s="1">
        <f t="shared" si="5"/>
        <v>0</v>
      </c>
      <c r="S326" s="6" t="s">
        <v>1180</v>
      </c>
    </row>
    <row r="327">
      <c r="A327" s="3" t="str">
        <f t="array" ref="A327">XLOOKUP(B327,Costos_Proveedores!$B$2:$B$2000,Costos_Proveedores!$A$2:$A$2000)</f>
        <v>BLENDS N TEA</v>
      </c>
      <c r="B327" s="2" t="s">
        <v>1181</v>
      </c>
      <c r="C327" s="2" t="s">
        <v>1182</v>
      </c>
      <c r="D327" s="2" t="s">
        <v>1183</v>
      </c>
      <c r="E327" s="2" t="s">
        <v>31</v>
      </c>
      <c r="F327" s="2">
        <v>0.0</v>
      </c>
      <c r="G327" s="2">
        <v>0.0</v>
      </c>
      <c r="H327" s="3">
        <f t="shared" si="1"/>
        <v>0</v>
      </c>
      <c r="I327" s="2" t="s">
        <v>232</v>
      </c>
      <c r="J327" s="4">
        <f>VLOOKUP(B327,Costos_Proveedores!$B$2:$J$1000,9,FALSE())</f>
        <v>6694</v>
      </c>
      <c r="K327" s="5">
        <f t="shared" si="2"/>
        <v>0</v>
      </c>
      <c r="L327" s="2"/>
      <c r="M327" s="2"/>
      <c r="N327" s="2"/>
      <c r="O327" s="2"/>
      <c r="P327" s="1">
        <f t="shared" si="3"/>
        <v>0</v>
      </c>
      <c r="Q327" s="1">
        <f t="shared" si="4"/>
        <v>0</v>
      </c>
      <c r="R327" s="1">
        <f t="shared" si="5"/>
        <v>0</v>
      </c>
      <c r="S327" s="6" t="s">
        <v>1184</v>
      </c>
    </row>
    <row r="328">
      <c r="A328" s="3" t="str">
        <f t="array" ref="A328">XLOOKUP(B328,Costos_Proveedores!$B$2:$B$2000,Costos_Proveedores!$A$2:$A$2000)</f>
        <v>BLENDS N TEA</v>
      </c>
      <c r="B328" s="2" t="s">
        <v>1185</v>
      </c>
      <c r="C328" s="2" t="s">
        <v>1186</v>
      </c>
      <c r="D328" s="2" t="s">
        <v>1187</v>
      </c>
      <c r="E328" s="2" t="s">
        <v>47</v>
      </c>
      <c r="F328" s="2">
        <v>2.0</v>
      </c>
      <c r="G328" s="2">
        <v>0.0</v>
      </c>
      <c r="H328" s="3">
        <f t="shared" si="1"/>
        <v>2</v>
      </c>
      <c r="I328" s="2" t="s">
        <v>232</v>
      </c>
      <c r="J328" s="4">
        <f>VLOOKUP(B328,Costos_Proveedores!$B$2:$J$1000,9,FALSE())</f>
        <v>4683</v>
      </c>
      <c r="K328" s="5">
        <f t="shared" si="2"/>
        <v>9366</v>
      </c>
      <c r="L328" s="2"/>
      <c r="M328" s="2"/>
      <c r="N328" s="2"/>
      <c r="O328" s="2"/>
      <c r="P328" s="1">
        <f t="shared" si="3"/>
        <v>0</v>
      </c>
      <c r="Q328" s="1">
        <f t="shared" si="4"/>
        <v>0</v>
      </c>
      <c r="R328" s="1">
        <f t="shared" si="5"/>
        <v>0</v>
      </c>
      <c r="S328" s="6" t="s">
        <v>1188</v>
      </c>
    </row>
    <row r="329">
      <c r="A329" s="3" t="str">
        <f t="array" ref="A329">XLOOKUP(B329,Costos_Proveedores!$B$2:$B$2000,Costos_Proveedores!$A$2:$A$2000)</f>
        <v>STRIVE</v>
      </c>
      <c r="B329" s="2" t="s">
        <v>1189</v>
      </c>
      <c r="C329" s="2" t="s">
        <v>1190</v>
      </c>
      <c r="D329" s="2" t="s">
        <v>1191</v>
      </c>
      <c r="E329" s="2" t="s">
        <v>31</v>
      </c>
      <c r="F329" s="2">
        <v>0.0</v>
      </c>
      <c r="G329" s="2">
        <v>5.0</v>
      </c>
      <c r="H329" s="3">
        <f t="shared" si="1"/>
        <v>0</v>
      </c>
      <c r="I329" s="2" t="s">
        <v>232</v>
      </c>
      <c r="J329" s="4">
        <f>VLOOKUP(B329,Costos_Proveedores!$B$2:$J$1000,9,FALSE())</f>
        <v>19544</v>
      </c>
      <c r="K329" s="5">
        <f t="shared" si="2"/>
        <v>0</v>
      </c>
      <c r="L329" s="2">
        <v>111.0</v>
      </c>
      <c r="M329" s="2">
        <v>106.0</v>
      </c>
      <c r="N329" s="2">
        <v>0.0</v>
      </c>
      <c r="O329" s="2">
        <v>0.0</v>
      </c>
      <c r="P329" s="1">
        <f t="shared" si="3"/>
        <v>106</v>
      </c>
      <c r="Q329" s="1">
        <f t="shared" si="4"/>
        <v>0</v>
      </c>
      <c r="R329" s="1">
        <f t="shared" si="5"/>
        <v>106</v>
      </c>
      <c r="S329" s="6" t="s">
        <v>1192</v>
      </c>
    </row>
    <row r="330">
      <c r="A330" s="3" t="str">
        <f t="array" ref="A330">XLOOKUP(B330,Costos_Proveedores!$B$2:$B$2000,Costos_Proveedores!$A$2:$A$2000)</f>
        <v>BLENDS N TEA</v>
      </c>
      <c r="B330" s="2" t="s">
        <v>1193</v>
      </c>
      <c r="C330" s="2" t="s">
        <v>1194</v>
      </c>
      <c r="D330" s="2" t="s">
        <v>745</v>
      </c>
      <c r="E330" s="2" t="s">
        <v>31</v>
      </c>
      <c r="F330" s="2">
        <v>0.0</v>
      </c>
      <c r="G330" s="2">
        <v>1.0</v>
      </c>
      <c r="H330" s="3">
        <f t="shared" si="1"/>
        <v>0</v>
      </c>
      <c r="I330" s="2" t="s">
        <v>232</v>
      </c>
      <c r="J330" s="4">
        <f>VLOOKUP(B330,Costos_Proveedores!$B$2:$J$1000,9,FALSE())</f>
        <v>10043</v>
      </c>
      <c r="K330" s="5">
        <f t="shared" si="2"/>
        <v>0</v>
      </c>
      <c r="L330" s="2">
        <v>5.0</v>
      </c>
      <c r="M330" s="2">
        <v>2.0</v>
      </c>
      <c r="N330" s="2">
        <v>0.0</v>
      </c>
      <c r="O330" s="2">
        <v>0.0</v>
      </c>
      <c r="P330" s="1">
        <f t="shared" si="3"/>
        <v>2</v>
      </c>
      <c r="Q330" s="1">
        <f t="shared" si="4"/>
        <v>0</v>
      </c>
      <c r="R330" s="1">
        <f t="shared" si="5"/>
        <v>2</v>
      </c>
      <c r="S330" s="6" t="s">
        <v>1195</v>
      </c>
    </row>
    <row r="331">
      <c r="A331" s="3" t="str">
        <f t="array" ref="A331">XLOOKUP(B331,Costos_Proveedores!$B$2:$B$2000,Costos_Proveedores!$A$2:$A$2000)</f>
        <v>CEMAX</v>
      </c>
      <c r="B331" s="2" t="s">
        <v>1196</v>
      </c>
      <c r="C331" s="2">
        <v>1173.0</v>
      </c>
      <c r="D331" s="2" t="s">
        <v>1197</v>
      </c>
      <c r="E331" s="2" t="s">
        <v>31</v>
      </c>
      <c r="F331" s="2">
        <v>0.0</v>
      </c>
      <c r="G331" s="2">
        <v>0.0</v>
      </c>
      <c r="H331" s="3">
        <f t="shared" si="1"/>
        <v>0</v>
      </c>
      <c r="I331" s="2" t="s">
        <v>22</v>
      </c>
      <c r="J331" s="4">
        <f>VLOOKUP(B331,Costos_Proveedores!$B$2:$J$1000,9,FALSE())</f>
        <v>11893</v>
      </c>
      <c r="K331" s="5">
        <f t="shared" si="2"/>
        <v>0</v>
      </c>
      <c r="L331" s="2">
        <v>12.0</v>
      </c>
      <c r="M331" s="2">
        <v>6.0</v>
      </c>
      <c r="N331" s="2">
        <v>6.0</v>
      </c>
      <c r="O331" s="2">
        <v>0.0</v>
      </c>
      <c r="P331" s="1">
        <f t="shared" si="3"/>
        <v>6</v>
      </c>
      <c r="Q331" s="1">
        <f t="shared" si="4"/>
        <v>6</v>
      </c>
      <c r="R331" s="1">
        <f t="shared" si="5"/>
        <v>12</v>
      </c>
      <c r="S331" s="6" t="s">
        <v>1198</v>
      </c>
    </row>
    <row r="332">
      <c r="A332" s="3" t="str">
        <f t="array" ref="A332">XLOOKUP(B332,Costos_Proveedores!$B$2:$B$2000,Costos_Proveedores!$A$2:$A$2000)</f>
        <v>CASO Y CIA</v>
      </c>
      <c r="B332" s="2" t="s">
        <v>1199</v>
      </c>
      <c r="C332" s="2" t="s">
        <v>1200</v>
      </c>
      <c r="D332" s="2" t="s">
        <v>1201</v>
      </c>
      <c r="E332" s="2" t="s">
        <v>31</v>
      </c>
      <c r="F332" s="2">
        <v>0.0</v>
      </c>
      <c r="G332" s="2">
        <v>0.0</v>
      </c>
      <c r="H332" s="3">
        <f t="shared" si="1"/>
        <v>0</v>
      </c>
      <c r="I332" s="2" t="s">
        <v>22</v>
      </c>
      <c r="J332" s="4">
        <f>VLOOKUP(B332,Costos_Proveedores!$B$2:$J$1000,9,FALSE())</f>
        <v>15343</v>
      </c>
      <c r="K332" s="5">
        <f t="shared" si="2"/>
        <v>0</v>
      </c>
      <c r="L332" s="2">
        <v>58.0</v>
      </c>
      <c r="M332" s="2">
        <v>0.0</v>
      </c>
      <c r="N332" s="2">
        <v>57.0</v>
      </c>
      <c r="O332" s="2">
        <v>0.0</v>
      </c>
      <c r="P332" s="1">
        <f t="shared" si="3"/>
        <v>0</v>
      </c>
      <c r="Q332" s="1">
        <f t="shared" si="4"/>
        <v>57</v>
      </c>
      <c r="R332" s="1">
        <f t="shared" si="5"/>
        <v>57</v>
      </c>
      <c r="S332" s="6" t="s">
        <v>1202</v>
      </c>
    </row>
    <row r="333">
      <c r="A333" s="3" t="str">
        <f t="array" ref="A333">XLOOKUP(B333,Costos_Proveedores!$B$2:$B$2000,Costos_Proveedores!$A$2:$A$2000)</f>
        <v>CASO Y CIA</v>
      </c>
      <c r="B333" s="2" t="s">
        <v>1203</v>
      </c>
      <c r="C333" s="2" t="s">
        <v>1204</v>
      </c>
      <c r="D333" s="2" t="s">
        <v>1205</v>
      </c>
      <c r="E333" s="2" t="s">
        <v>31</v>
      </c>
      <c r="F333" s="2">
        <v>0.0</v>
      </c>
      <c r="G333" s="2">
        <v>0.0</v>
      </c>
      <c r="H333" s="3">
        <f t="shared" si="1"/>
        <v>0</v>
      </c>
      <c r="I333" s="2" t="s">
        <v>22</v>
      </c>
      <c r="J333" s="4">
        <f>VLOOKUP(B333,Costos_Proveedores!$B$2:$J$1000,9,FALSE())</f>
        <v>12215</v>
      </c>
      <c r="K333" s="5">
        <f t="shared" si="2"/>
        <v>0</v>
      </c>
      <c r="L333" s="2">
        <v>22.0</v>
      </c>
      <c r="M333" s="2">
        <v>0.0</v>
      </c>
      <c r="N333" s="2">
        <v>22.0</v>
      </c>
      <c r="O333" s="2">
        <v>0.0</v>
      </c>
      <c r="P333" s="1">
        <f t="shared" si="3"/>
        <v>0</v>
      </c>
      <c r="Q333" s="1">
        <f t="shared" si="4"/>
        <v>22</v>
      </c>
      <c r="R333" s="1">
        <f t="shared" si="5"/>
        <v>22</v>
      </c>
      <c r="S333" s="6" t="s">
        <v>1206</v>
      </c>
    </row>
    <row r="334">
      <c r="A334" s="3" t="str">
        <f t="array" ref="A334">XLOOKUP(B334,Costos_Proveedores!$B$2:$B$2000,Costos_Proveedores!$A$2:$A$2000)</f>
        <v>CASO Y CIA</v>
      </c>
      <c r="B334" s="2" t="s">
        <v>1207</v>
      </c>
      <c r="C334" s="2" t="s">
        <v>1208</v>
      </c>
      <c r="D334" s="2" t="s">
        <v>1209</v>
      </c>
      <c r="E334" s="2" t="s">
        <v>31</v>
      </c>
      <c r="F334" s="2">
        <v>0.0</v>
      </c>
      <c r="G334" s="2">
        <v>0.0</v>
      </c>
      <c r="H334" s="3">
        <f t="shared" si="1"/>
        <v>0</v>
      </c>
      <c r="I334" s="2" t="s">
        <v>22</v>
      </c>
      <c r="J334" s="4">
        <f>VLOOKUP(B334,Costos_Proveedores!$B$2:$J$1000,9,FALSE())</f>
        <v>9206</v>
      </c>
      <c r="K334" s="5">
        <f t="shared" si="2"/>
        <v>0</v>
      </c>
      <c r="L334" s="2">
        <v>14.0</v>
      </c>
      <c r="M334" s="2">
        <v>13.0</v>
      </c>
      <c r="N334" s="2">
        <v>0.0</v>
      </c>
      <c r="O334" s="2">
        <v>0.0</v>
      </c>
      <c r="P334" s="1">
        <f t="shared" si="3"/>
        <v>13</v>
      </c>
      <c r="Q334" s="1">
        <f t="shared" si="4"/>
        <v>0</v>
      </c>
      <c r="R334" s="1">
        <f t="shared" si="5"/>
        <v>13</v>
      </c>
      <c r="S334" s="6" t="s">
        <v>1210</v>
      </c>
    </row>
    <row r="335">
      <c r="A335" s="3" t="str">
        <f t="array" ref="A335">XLOOKUP(B335,Costos_Proveedores!$B$2:$B$2000,Costos_Proveedores!$A$2:$A$2000)</f>
        <v>CASO Y CIA</v>
      </c>
      <c r="B335" s="2" t="s">
        <v>1211</v>
      </c>
      <c r="C335" s="2" t="s">
        <v>1212</v>
      </c>
      <c r="D335" s="2" t="s">
        <v>1213</v>
      </c>
      <c r="E335" s="2" t="s">
        <v>31</v>
      </c>
      <c r="F335" s="2">
        <v>0.0</v>
      </c>
      <c r="G335" s="2">
        <v>0.0</v>
      </c>
      <c r="H335" s="3">
        <f t="shared" si="1"/>
        <v>0</v>
      </c>
      <c r="I335" s="2" t="s">
        <v>22</v>
      </c>
      <c r="J335" s="4">
        <f>VLOOKUP(B335,Costos_Proveedores!$B$2:$J$1000,9,FALSE())</f>
        <v>6745</v>
      </c>
      <c r="K335" s="5">
        <f t="shared" si="2"/>
        <v>0</v>
      </c>
      <c r="L335" s="2">
        <v>34.0</v>
      </c>
      <c r="M335" s="2">
        <v>0.0</v>
      </c>
      <c r="N335" s="2">
        <v>37.0</v>
      </c>
      <c r="O335" s="2">
        <v>0.0</v>
      </c>
      <c r="P335" s="1">
        <f t="shared" si="3"/>
        <v>0</v>
      </c>
      <c r="Q335" s="1">
        <f t="shared" si="4"/>
        <v>37</v>
      </c>
      <c r="R335" s="1">
        <f t="shared" si="5"/>
        <v>37</v>
      </c>
      <c r="S335" s="6" t="s">
        <v>1214</v>
      </c>
    </row>
    <row r="336">
      <c r="A336" s="3" t="str">
        <f t="array" ref="A336">XLOOKUP(B336,Costos_Proveedores!$B$2:$B$2000,Costos_Proveedores!$A$2:$A$2000)</f>
        <v>CASO Y CIA</v>
      </c>
      <c r="B336" s="2" t="s">
        <v>1215</v>
      </c>
      <c r="C336" s="2" t="s">
        <v>1216</v>
      </c>
      <c r="D336" s="2" t="s">
        <v>1217</v>
      </c>
      <c r="E336" s="2" t="s">
        <v>31</v>
      </c>
      <c r="G336" s="2">
        <v>0.0</v>
      </c>
      <c r="H336" s="3">
        <f t="shared" si="1"/>
        <v>0</v>
      </c>
      <c r="I336" s="2" t="s">
        <v>22</v>
      </c>
      <c r="J336" s="4">
        <f>VLOOKUP(B336,Costos_Proveedores!$B$2:$J$1000,9,FALSE())</f>
        <v>7349</v>
      </c>
      <c r="K336" s="5">
        <f t="shared" si="2"/>
        <v>0</v>
      </c>
      <c r="L336" s="2">
        <v>8.0</v>
      </c>
      <c r="M336" s="2">
        <v>0.0</v>
      </c>
      <c r="N336" s="2">
        <v>8.0</v>
      </c>
      <c r="O336" s="2">
        <v>0.0</v>
      </c>
      <c r="P336" s="1">
        <f t="shared" si="3"/>
        <v>0</v>
      </c>
      <c r="Q336" s="1">
        <f t="shared" si="4"/>
        <v>8</v>
      </c>
      <c r="R336" s="1">
        <f t="shared" si="5"/>
        <v>8</v>
      </c>
      <c r="S336" s="6" t="s">
        <v>1218</v>
      </c>
    </row>
    <row r="337">
      <c r="A337" s="3" t="str">
        <f t="array" ref="A337">XLOOKUP(B337,Costos_Proveedores!$B$2:$B$2000,Costos_Proveedores!$A$2:$A$2000)</f>
        <v>CASO Y CIA</v>
      </c>
      <c r="B337" s="2" t="s">
        <v>1219</v>
      </c>
      <c r="C337" s="2" t="s">
        <v>1220</v>
      </c>
      <c r="D337" s="2" t="s">
        <v>1221</v>
      </c>
      <c r="E337" s="2" t="s">
        <v>31</v>
      </c>
      <c r="F337" s="2">
        <v>0.0</v>
      </c>
      <c r="G337" s="2">
        <v>0.0</v>
      </c>
      <c r="H337" s="3">
        <f t="shared" si="1"/>
        <v>0</v>
      </c>
      <c r="I337" s="2" t="s">
        <v>22</v>
      </c>
      <c r="J337" s="4">
        <f>VLOOKUP(B337,Costos_Proveedores!$B$2:$J$1000,9,FALSE())</f>
        <v>6137</v>
      </c>
      <c r="K337" s="5">
        <f t="shared" si="2"/>
        <v>0</v>
      </c>
      <c r="L337" s="2">
        <v>45.0</v>
      </c>
      <c r="M337" s="2">
        <v>29.0</v>
      </c>
      <c r="N337" s="2">
        <v>13.0</v>
      </c>
      <c r="O337" s="2">
        <v>0.0</v>
      </c>
      <c r="P337" s="1">
        <f t="shared" si="3"/>
        <v>29</v>
      </c>
      <c r="Q337" s="1">
        <f t="shared" si="4"/>
        <v>13</v>
      </c>
      <c r="R337" s="1">
        <f t="shared" si="5"/>
        <v>42</v>
      </c>
      <c r="S337" s="6" t="s">
        <v>1222</v>
      </c>
    </row>
    <row r="338">
      <c r="A338" s="3" t="str">
        <f t="array" ref="A338">XLOOKUP(B338,Costos_Proveedores!$B$2:$B$2000,Costos_Proveedores!$A$2:$A$2000)</f>
        <v>CASO Y CIA</v>
      </c>
      <c r="B338" s="2" t="s">
        <v>1223</v>
      </c>
      <c r="C338" s="2" t="s">
        <v>1224</v>
      </c>
      <c r="D338" s="2" t="s">
        <v>1225</v>
      </c>
      <c r="E338" s="2" t="s">
        <v>31</v>
      </c>
      <c r="F338" s="2">
        <v>0.0</v>
      </c>
      <c r="G338" s="2">
        <v>0.0</v>
      </c>
      <c r="H338" s="3">
        <f t="shared" si="1"/>
        <v>0</v>
      </c>
      <c r="I338" s="2" t="s">
        <v>22</v>
      </c>
      <c r="J338" s="4">
        <f>VLOOKUP(B338,Costos_Proveedores!$B$2:$J$1000,9,FALSE())</f>
        <v>4905</v>
      </c>
      <c r="K338" s="5">
        <f t="shared" si="2"/>
        <v>0</v>
      </c>
      <c r="L338" s="2">
        <v>79.0</v>
      </c>
      <c r="M338" s="2">
        <v>56.0</v>
      </c>
      <c r="N338" s="2">
        <v>22.0</v>
      </c>
      <c r="O338" s="2">
        <v>0.0</v>
      </c>
      <c r="P338" s="1">
        <f t="shared" si="3"/>
        <v>56</v>
      </c>
      <c r="Q338" s="1">
        <f t="shared" si="4"/>
        <v>22</v>
      </c>
      <c r="R338" s="1">
        <f t="shared" si="5"/>
        <v>78</v>
      </c>
      <c r="S338" s="6" t="s">
        <v>1226</v>
      </c>
    </row>
    <row r="339">
      <c r="A339" s="3" t="str">
        <f t="array" ref="A339">XLOOKUP(B339,Costos_Proveedores!$B$2:$B$2000,Costos_Proveedores!$A$2:$A$2000)</f>
        <v>CASO Y CIA</v>
      </c>
      <c r="B339" s="2" t="s">
        <v>1227</v>
      </c>
      <c r="C339" s="2" t="s">
        <v>1228</v>
      </c>
      <c r="D339" s="2" t="s">
        <v>1229</v>
      </c>
      <c r="E339" s="2" t="s">
        <v>47</v>
      </c>
      <c r="F339" s="2">
        <v>0.0</v>
      </c>
      <c r="G339" s="2">
        <v>14.0</v>
      </c>
      <c r="H339" s="3">
        <f t="shared" si="1"/>
        <v>14</v>
      </c>
      <c r="I339" s="2" t="s">
        <v>22</v>
      </c>
      <c r="J339" s="4">
        <f>VLOOKUP(B339,Costos_Proveedores!$B$2:$J$1000,9,FALSE())</f>
        <v>9178</v>
      </c>
      <c r="K339" s="5">
        <f t="shared" si="2"/>
        <v>128492</v>
      </c>
      <c r="L339" s="2">
        <v>44.0</v>
      </c>
      <c r="M339" s="2">
        <v>38.0</v>
      </c>
      <c r="N339" s="2">
        <v>9.0</v>
      </c>
      <c r="O339" s="2">
        <v>0.0</v>
      </c>
      <c r="P339" s="1">
        <f t="shared" si="3"/>
        <v>38</v>
      </c>
      <c r="Q339" s="1">
        <f t="shared" si="4"/>
        <v>0</v>
      </c>
      <c r="R339" s="1">
        <f t="shared" si="5"/>
        <v>38</v>
      </c>
      <c r="S339" s="6" t="s">
        <v>1230</v>
      </c>
    </row>
    <row r="340">
      <c r="A340" s="3" t="str">
        <f t="array" ref="A340">XLOOKUP(B340,Costos_Proveedores!$B$2:$B$2000,Costos_Proveedores!$A$2:$A$2000)</f>
        <v>CASO Y CIA</v>
      </c>
      <c r="B340" s="2" t="s">
        <v>1231</v>
      </c>
      <c r="C340" s="2" t="s">
        <v>1232</v>
      </c>
      <c r="D340" s="2" t="s">
        <v>1233</v>
      </c>
      <c r="E340" s="2" t="s">
        <v>31</v>
      </c>
      <c r="F340" s="2">
        <v>0.0</v>
      </c>
      <c r="G340" s="2">
        <v>0.0</v>
      </c>
      <c r="H340" s="3">
        <f t="shared" si="1"/>
        <v>0</v>
      </c>
      <c r="I340" s="2" t="s">
        <v>22</v>
      </c>
      <c r="J340" s="4">
        <f>VLOOKUP(B340,Costos_Proveedores!$B$2:$J$1000,9,FALSE())</f>
        <v>14698</v>
      </c>
      <c r="K340" s="5">
        <f t="shared" si="2"/>
        <v>0</v>
      </c>
      <c r="L340" s="2">
        <v>14.0</v>
      </c>
      <c r="M340" s="2">
        <v>0.0</v>
      </c>
      <c r="N340" s="2">
        <v>16.0</v>
      </c>
      <c r="O340" s="2">
        <v>0.0</v>
      </c>
      <c r="P340" s="1">
        <f t="shared" si="3"/>
        <v>0</v>
      </c>
      <c r="Q340" s="1">
        <f t="shared" si="4"/>
        <v>16</v>
      </c>
      <c r="R340" s="1">
        <f t="shared" si="5"/>
        <v>16</v>
      </c>
      <c r="S340" s="6" t="s">
        <v>1234</v>
      </c>
    </row>
    <row r="341">
      <c r="A341" s="3" t="str">
        <f t="array" ref="A341">XLOOKUP(B341,Costos_Proveedores!$B$2:$B$2000,Costos_Proveedores!$A$2:$A$2000)</f>
        <v>RITZY MASH</v>
      </c>
      <c r="B341" s="2" t="s">
        <v>1235</v>
      </c>
      <c r="C341" s="2">
        <v>7.804643990147E12</v>
      </c>
      <c r="D341" s="2" t="s">
        <v>1236</v>
      </c>
      <c r="E341" s="2" t="s">
        <v>47</v>
      </c>
      <c r="F341" s="2">
        <v>66.0</v>
      </c>
      <c r="G341" s="2">
        <v>16.0</v>
      </c>
      <c r="H341" s="3">
        <f t="shared" si="1"/>
        <v>66</v>
      </c>
      <c r="I341" s="2" t="s">
        <v>232</v>
      </c>
      <c r="J341" s="4">
        <f>VLOOKUP(B341,Costos_Proveedores!$B$2:$J$1000,9,FALSE())</f>
        <v>9793</v>
      </c>
      <c r="K341" s="5">
        <f t="shared" si="2"/>
        <v>646338</v>
      </c>
      <c r="L341" s="2">
        <v>40.0</v>
      </c>
      <c r="M341" s="2">
        <v>42.0</v>
      </c>
      <c r="N341" s="2">
        <v>0.0</v>
      </c>
      <c r="O341" s="2">
        <v>0.0</v>
      </c>
      <c r="P341" s="1">
        <f t="shared" si="3"/>
        <v>0</v>
      </c>
      <c r="Q341" s="1">
        <f t="shared" si="4"/>
        <v>0</v>
      </c>
      <c r="R341" s="1">
        <f t="shared" si="5"/>
        <v>0</v>
      </c>
      <c r="S341" s="6" t="s">
        <v>1237</v>
      </c>
    </row>
    <row r="342">
      <c r="A342" s="3" t="str">
        <f t="array" ref="A342">XLOOKUP(B342,Costos_Proveedores!$B$2:$B$2000,Costos_Proveedores!$A$2:$A$2000)</f>
        <v>RITZY MASH</v>
      </c>
      <c r="B342" s="2" t="s">
        <v>1238</v>
      </c>
      <c r="C342" s="2">
        <v>7.804643990154E12</v>
      </c>
      <c r="D342" s="2" t="s">
        <v>1239</v>
      </c>
      <c r="E342" s="2" t="s">
        <v>47</v>
      </c>
      <c r="F342" s="2">
        <v>10.0</v>
      </c>
      <c r="G342" s="2">
        <v>12.0</v>
      </c>
      <c r="H342" s="3">
        <f t="shared" si="1"/>
        <v>10</v>
      </c>
      <c r="I342" s="2" t="s">
        <v>232</v>
      </c>
      <c r="J342" s="4">
        <f>VLOOKUP(B342,Costos_Proveedores!$B$2:$J$1000,9,FALSE())</f>
        <v>10493</v>
      </c>
      <c r="K342" s="5">
        <f t="shared" si="2"/>
        <v>104930</v>
      </c>
      <c r="L342" s="2">
        <v>1.0</v>
      </c>
      <c r="M342" s="2">
        <v>2.0</v>
      </c>
      <c r="N342" s="2">
        <v>0.0</v>
      </c>
      <c r="O342" s="2">
        <v>0.0</v>
      </c>
      <c r="P342" s="1">
        <f t="shared" si="3"/>
        <v>0</v>
      </c>
      <c r="Q342" s="1">
        <f t="shared" si="4"/>
        <v>0</v>
      </c>
      <c r="R342" s="1">
        <f t="shared" si="5"/>
        <v>0</v>
      </c>
      <c r="S342" s="6" t="s">
        <v>1240</v>
      </c>
    </row>
    <row r="343">
      <c r="A343" s="3" t="str">
        <f t="array" ref="A343">XLOOKUP(B343,Costos_Proveedores!$B$2:$B$2000,Costos_Proveedores!$A$2:$A$2000)</f>
        <v>ZEO SPORT</v>
      </c>
      <c r="B343" s="2" t="s">
        <v>1241</v>
      </c>
      <c r="C343" s="2">
        <v>7.99192118128E11</v>
      </c>
      <c r="D343" s="2" t="s">
        <v>1242</v>
      </c>
      <c r="E343" s="2" t="s">
        <v>47</v>
      </c>
      <c r="F343" s="2">
        <v>23.0</v>
      </c>
      <c r="G343" s="2">
        <v>1.0</v>
      </c>
      <c r="H343" s="3">
        <f t="shared" si="1"/>
        <v>23</v>
      </c>
      <c r="I343" s="2" t="s">
        <v>232</v>
      </c>
      <c r="J343" s="4" t="str">
        <f>VLOOKUP(B343,Costos_Proveedores!$B$2:$J$1000,9,FALSE())</f>
        <v>$ 1</v>
      </c>
      <c r="K343" s="5">
        <f t="shared" si="2"/>
        <v>23</v>
      </c>
      <c r="L343" s="2">
        <v>6.0</v>
      </c>
      <c r="M343" s="2"/>
      <c r="N343" s="2"/>
      <c r="O343" s="2"/>
      <c r="P343" s="1">
        <f t="shared" si="3"/>
        <v>0</v>
      </c>
      <c r="Q343" s="1">
        <f t="shared" si="4"/>
        <v>0</v>
      </c>
      <c r="R343" s="1">
        <f t="shared" si="5"/>
        <v>0</v>
      </c>
      <c r="S343" s="6" t="s">
        <v>1243</v>
      </c>
    </row>
    <row r="344">
      <c r="A344" s="3" t="str">
        <f t="array" ref="A344">XLOOKUP(B344,Costos_Proveedores!$B$2:$B$2000,Costos_Proveedores!$A$2:$A$2000)</f>
        <v>RITZY MASH</v>
      </c>
      <c r="B344" s="2" t="s">
        <v>1244</v>
      </c>
      <c r="C344" s="2">
        <v>7.804643990185E12</v>
      </c>
      <c r="D344" s="2" t="s">
        <v>1245</v>
      </c>
      <c r="E344" s="2" t="s">
        <v>47</v>
      </c>
      <c r="F344" s="2">
        <v>12.0</v>
      </c>
      <c r="G344" s="2">
        <v>12.0</v>
      </c>
      <c r="H344" s="3">
        <f t="shared" si="1"/>
        <v>12</v>
      </c>
      <c r="I344" s="2" t="s">
        <v>232</v>
      </c>
      <c r="J344" s="4">
        <f>VLOOKUP(B344,Costos_Proveedores!$B$2:$J$1000,9,FALSE())</f>
        <v>10493</v>
      </c>
      <c r="K344" s="5">
        <f t="shared" si="2"/>
        <v>125916</v>
      </c>
      <c r="L344" s="2"/>
      <c r="M344" s="2"/>
      <c r="N344" s="2"/>
      <c r="O344" s="2"/>
      <c r="P344" s="1">
        <f t="shared" si="3"/>
        <v>0</v>
      </c>
      <c r="Q344" s="1">
        <f t="shared" si="4"/>
        <v>0</v>
      </c>
      <c r="R344" s="1">
        <f t="shared" si="5"/>
        <v>0</v>
      </c>
      <c r="S344" s="6" t="s">
        <v>1246</v>
      </c>
    </row>
    <row r="345">
      <c r="A345" s="3" t="str">
        <f t="array" ref="A345">XLOOKUP(B345,Costos_Proveedores!$B$2:$B$2000,Costos_Proveedores!$A$2:$A$2000)</f>
        <v>RITZY MASH</v>
      </c>
      <c r="B345" s="2" t="s">
        <v>1247</v>
      </c>
      <c r="C345" s="2">
        <v>7.804643990178E12</v>
      </c>
      <c r="D345" s="2" t="s">
        <v>1248</v>
      </c>
      <c r="E345" s="2" t="s">
        <v>47</v>
      </c>
      <c r="F345" s="2">
        <v>7.0</v>
      </c>
      <c r="G345" s="2">
        <v>12.0</v>
      </c>
      <c r="H345" s="3">
        <f t="shared" si="1"/>
        <v>7</v>
      </c>
      <c r="I345" s="2" t="s">
        <v>232</v>
      </c>
      <c r="J345" s="4">
        <f>VLOOKUP(B345,Costos_Proveedores!$B$2:$J$1000,9,FALSE())</f>
        <v>10493</v>
      </c>
      <c r="K345" s="5">
        <f t="shared" si="2"/>
        <v>73451</v>
      </c>
      <c r="L345" s="2">
        <v>2.0</v>
      </c>
      <c r="M345" s="2">
        <v>1.0</v>
      </c>
      <c r="N345" s="2">
        <v>0.0</v>
      </c>
      <c r="O345" s="2">
        <v>0.0</v>
      </c>
      <c r="P345" s="1">
        <f t="shared" si="3"/>
        <v>0</v>
      </c>
      <c r="Q345" s="1">
        <f t="shared" si="4"/>
        <v>0</v>
      </c>
      <c r="R345" s="1">
        <f t="shared" si="5"/>
        <v>0</v>
      </c>
      <c r="S345" s="6" t="s">
        <v>1249</v>
      </c>
    </row>
    <row r="346">
      <c r="A346" s="3" t="str">
        <f t="array" ref="A346">XLOOKUP(B346,Costos_Proveedores!$B$2:$B$2000,Costos_Proveedores!$A$2:$A$2000)</f>
        <v>YOURGOAL</v>
      </c>
      <c r="B346" s="2" t="s">
        <v>1250</v>
      </c>
      <c r="C346" s="2">
        <v>805163.0</v>
      </c>
      <c r="D346" s="2" t="s">
        <v>1251</v>
      </c>
      <c r="E346" s="2" t="s">
        <v>31</v>
      </c>
      <c r="G346" s="2">
        <v>0.0</v>
      </c>
      <c r="H346" s="3">
        <f t="shared" si="1"/>
        <v>0</v>
      </c>
      <c r="I346" s="2" t="s">
        <v>22</v>
      </c>
      <c r="J346" s="4">
        <f>VLOOKUP(B346,Costos_Proveedores!$B$2:$J$1000,9,FALSE())</f>
        <v>41784</v>
      </c>
      <c r="K346" s="5">
        <f t="shared" si="2"/>
        <v>0</v>
      </c>
      <c r="L346" s="2">
        <v>3.0</v>
      </c>
      <c r="M346" s="2">
        <v>0.0</v>
      </c>
      <c r="N346" s="2">
        <v>2.0</v>
      </c>
      <c r="O346" s="2">
        <v>1.0</v>
      </c>
      <c r="P346" s="1">
        <f t="shared" si="3"/>
        <v>0</v>
      </c>
      <c r="Q346" s="1">
        <f t="shared" si="4"/>
        <v>3</v>
      </c>
      <c r="R346" s="1">
        <f t="shared" si="5"/>
        <v>3</v>
      </c>
      <c r="S346" s="6" t="s">
        <v>1252</v>
      </c>
    </row>
    <row r="347">
      <c r="A347" s="3" t="str">
        <f t="array" ref="A347">XLOOKUP(B347,Costos_Proveedores!$B$2:$B$2000,Costos_Proveedores!$A$2:$A$2000)</f>
        <v>RITZY MASH</v>
      </c>
      <c r="B347" s="2" t="s">
        <v>1253</v>
      </c>
      <c r="C347" s="2">
        <v>7.804643990161E12</v>
      </c>
      <c r="D347" s="2" t="s">
        <v>1254</v>
      </c>
      <c r="E347" s="2" t="s">
        <v>47</v>
      </c>
      <c r="F347" s="2">
        <v>8.0</v>
      </c>
      <c r="G347" s="2">
        <v>12.0</v>
      </c>
      <c r="H347" s="3">
        <f t="shared" si="1"/>
        <v>8</v>
      </c>
      <c r="I347" s="2" t="s">
        <v>232</v>
      </c>
      <c r="J347" s="4">
        <f>VLOOKUP(B347,Costos_Proveedores!$B$2:$J$1000,9,FALSE())</f>
        <v>10493</v>
      </c>
      <c r="K347" s="5">
        <f t="shared" si="2"/>
        <v>83944</v>
      </c>
      <c r="L347" s="2">
        <v>2.0</v>
      </c>
      <c r="M347" s="2"/>
      <c r="N347" s="2"/>
      <c r="O347" s="2"/>
      <c r="P347" s="1">
        <f t="shared" si="3"/>
        <v>0</v>
      </c>
      <c r="Q347" s="1">
        <f t="shared" si="4"/>
        <v>0</v>
      </c>
      <c r="R347" s="1">
        <f t="shared" si="5"/>
        <v>0</v>
      </c>
      <c r="S347" s="6" t="s">
        <v>1255</v>
      </c>
    </row>
    <row r="348">
      <c r="A348" s="3" t="str">
        <f t="array" ref="A348">XLOOKUP(B348,Costos_Proveedores!$B$2:$B$2000,Costos_Proveedores!$A$2:$A$2000)</f>
        <v>ZEO SPORT</v>
      </c>
      <c r="B348" s="2" t="s">
        <v>1256</v>
      </c>
      <c r="C348" s="2">
        <v>7.37186857875E11</v>
      </c>
      <c r="D348" s="2" t="s">
        <v>1257</v>
      </c>
      <c r="E348" s="2" t="s">
        <v>47</v>
      </c>
      <c r="F348" s="2">
        <v>1.0</v>
      </c>
      <c r="G348" s="2">
        <v>1.0</v>
      </c>
      <c r="H348" s="3">
        <f t="shared" si="1"/>
        <v>1</v>
      </c>
      <c r="I348" s="2" t="s">
        <v>232</v>
      </c>
      <c r="J348" s="4">
        <f>VLOOKUP(B348,Costos_Proveedores!$B$2:$J$1000,9,FALSE())</f>
        <v>3570</v>
      </c>
      <c r="K348" s="5">
        <f t="shared" si="2"/>
        <v>3570</v>
      </c>
      <c r="L348" s="2">
        <v>11.0</v>
      </c>
      <c r="M348" s="2"/>
      <c r="N348" s="2"/>
      <c r="O348" s="2"/>
      <c r="P348" s="1">
        <f t="shared" si="3"/>
        <v>0</v>
      </c>
      <c r="Q348" s="1">
        <f t="shared" si="4"/>
        <v>0</v>
      </c>
      <c r="R348" s="1">
        <f t="shared" si="5"/>
        <v>0</v>
      </c>
      <c r="S348" s="6" t="s">
        <v>1258</v>
      </c>
    </row>
    <row r="349">
      <c r="A349" s="3" t="str">
        <f t="array" ref="A349">XLOOKUP(B349,Costos_Proveedores!$B$2:$B$2000,Costos_Proveedores!$A$2:$A$2000)</f>
        <v>RITZY MASH</v>
      </c>
      <c r="B349" s="2" t="s">
        <v>1259</v>
      </c>
      <c r="C349" s="2">
        <v>7.804643990123E12</v>
      </c>
      <c r="D349" s="2" t="s">
        <v>1260</v>
      </c>
      <c r="E349" s="2" t="s">
        <v>47</v>
      </c>
      <c r="F349" s="2">
        <v>6.0</v>
      </c>
      <c r="G349" s="2">
        <v>12.0</v>
      </c>
      <c r="H349" s="3">
        <f t="shared" si="1"/>
        <v>6</v>
      </c>
      <c r="I349" s="2" t="s">
        <v>232</v>
      </c>
      <c r="J349" s="4">
        <f>VLOOKUP(B349,Costos_Proveedores!$B$2:$J$1000,9,FALSE())</f>
        <v>12593</v>
      </c>
      <c r="K349" s="5">
        <f t="shared" si="2"/>
        <v>75558</v>
      </c>
      <c r="L349" s="2">
        <v>3.0</v>
      </c>
      <c r="M349" s="2">
        <v>3.0</v>
      </c>
      <c r="N349" s="2">
        <v>0.0</v>
      </c>
      <c r="O349" s="2">
        <v>0.0</v>
      </c>
      <c r="P349" s="1">
        <f t="shared" si="3"/>
        <v>0</v>
      </c>
      <c r="Q349" s="1">
        <f t="shared" si="4"/>
        <v>0</v>
      </c>
      <c r="R349" s="1">
        <f t="shared" si="5"/>
        <v>0</v>
      </c>
      <c r="S349" s="6" t="s">
        <v>1261</v>
      </c>
    </row>
    <row r="350">
      <c r="A350" s="3" t="str">
        <f t="array" ref="A350">XLOOKUP(B350,Costos_Proveedores!$B$2:$B$2000,Costos_Proveedores!$A$2:$A$2000)</f>
        <v>RITZY MASH</v>
      </c>
      <c r="B350" s="2" t="s">
        <v>1262</v>
      </c>
      <c r="C350" s="2">
        <v>7.804643990116E12</v>
      </c>
      <c r="D350" s="2" t="s">
        <v>1263</v>
      </c>
      <c r="E350" s="2" t="s">
        <v>47</v>
      </c>
      <c r="F350" s="2">
        <v>12.0</v>
      </c>
      <c r="G350" s="2">
        <v>12.0</v>
      </c>
      <c r="H350" s="3">
        <f t="shared" si="1"/>
        <v>12</v>
      </c>
      <c r="I350" s="2" t="s">
        <v>232</v>
      </c>
      <c r="J350" s="4">
        <f>VLOOKUP(B350,Costos_Proveedores!$B$2:$J$1000,9,FALSE())</f>
        <v>12593</v>
      </c>
      <c r="K350" s="5">
        <f t="shared" si="2"/>
        <v>151116</v>
      </c>
      <c r="L350" s="2"/>
      <c r="M350" s="2"/>
      <c r="N350" s="2"/>
      <c r="O350" s="2"/>
      <c r="P350" s="1">
        <f t="shared" si="3"/>
        <v>0</v>
      </c>
      <c r="Q350" s="1">
        <f t="shared" si="4"/>
        <v>0</v>
      </c>
      <c r="R350" s="1">
        <f t="shared" si="5"/>
        <v>0</v>
      </c>
      <c r="S350" s="6" t="s">
        <v>1264</v>
      </c>
    </row>
    <row r="351">
      <c r="A351" s="3" t="str">
        <f t="array" ref="A351">XLOOKUP(B351,Costos_Proveedores!$B$2:$B$2000,Costos_Proveedores!$A$2:$A$2000)</f>
        <v>RITZY MASH</v>
      </c>
      <c r="B351" s="2" t="s">
        <v>1265</v>
      </c>
      <c r="C351" s="2">
        <v>7.804643990192E12</v>
      </c>
      <c r="D351" s="2" t="s">
        <v>1266</v>
      </c>
      <c r="E351" s="2" t="s">
        <v>47</v>
      </c>
      <c r="F351" s="2">
        <v>11.0</v>
      </c>
      <c r="G351" s="2">
        <v>12.0</v>
      </c>
      <c r="H351" s="3">
        <f t="shared" si="1"/>
        <v>11</v>
      </c>
      <c r="I351" s="2" t="s">
        <v>232</v>
      </c>
      <c r="J351" s="4">
        <f>VLOOKUP(B351,Costos_Proveedores!$B$2:$J$1000,9,FALSE())</f>
        <v>12593</v>
      </c>
      <c r="K351" s="5">
        <f t="shared" si="2"/>
        <v>138523</v>
      </c>
      <c r="L351" s="2">
        <v>1.0</v>
      </c>
      <c r="M351" s="2">
        <v>1.0</v>
      </c>
      <c r="N351" s="2">
        <v>0.0</v>
      </c>
      <c r="O351" s="2">
        <v>0.0</v>
      </c>
      <c r="P351" s="1">
        <f t="shared" si="3"/>
        <v>0</v>
      </c>
      <c r="Q351" s="1">
        <f t="shared" si="4"/>
        <v>0</v>
      </c>
      <c r="R351" s="1">
        <f t="shared" si="5"/>
        <v>0</v>
      </c>
      <c r="S351" s="6" t="s">
        <v>1267</v>
      </c>
    </row>
    <row r="352">
      <c r="A352" s="3" t="str">
        <f t="array" ref="A352">XLOOKUP(B352,Costos_Proveedores!$B$2:$B$2000,Costos_Proveedores!$A$2:$A$2000)</f>
        <v>JOSE</v>
      </c>
      <c r="B352" s="2" t="s">
        <v>1268</v>
      </c>
      <c r="C352" s="2" t="s">
        <v>1269</v>
      </c>
      <c r="D352" s="2" t="s">
        <v>1270</v>
      </c>
      <c r="E352" s="2" t="s">
        <v>31</v>
      </c>
      <c r="F352" s="2">
        <v>0.0</v>
      </c>
      <c r="G352" s="2">
        <v>6.0</v>
      </c>
      <c r="H352" s="3">
        <f t="shared" si="1"/>
        <v>6</v>
      </c>
      <c r="I352" s="2" t="s">
        <v>22</v>
      </c>
      <c r="J352" s="4">
        <f>VLOOKUP(B352,Costos_Proveedores!$B$2:$J$1000,9,FALSE())</f>
        <v>6902</v>
      </c>
      <c r="K352" s="5">
        <f t="shared" si="2"/>
        <v>41412</v>
      </c>
      <c r="L352" s="2">
        <v>5.0</v>
      </c>
      <c r="M352" s="2">
        <v>5.0</v>
      </c>
      <c r="N352" s="2">
        <v>0.0</v>
      </c>
      <c r="O352" s="2">
        <v>0.0</v>
      </c>
      <c r="P352" s="1">
        <f t="shared" si="3"/>
        <v>5</v>
      </c>
      <c r="Q352" s="1">
        <f t="shared" si="4"/>
        <v>0</v>
      </c>
      <c r="R352" s="1">
        <f t="shared" si="5"/>
        <v>5</v>
      </c>
      <c r="S352" s="6" t="s">
        <v>1271</v>
      </c>
    </row>
    <row r="353">
      <c r="A353" s="3" t="str">
        <f t="array" ref="A353">XLOOKUP(B353,Costos_Proveedores!$B$2:$B$2000,Costos_Proveedores!$A$2:$A$2000)</f>
        <v>JOSE</v>
      </c>
      <c r="B353" s="2" t="s">
        <v>1272</v>
      </c>
      <c r="C353" s="2" t="s">
        <v>1273</v>
      </c>
      <c r="D353" s="2" t="s">
        <v>1274</v>
      </c>
      <c r="E353" s="2" t="s">
        <v>47</v>
      </c>
      <c r="G353" s="2">
        <v>1.0</v>
      </c>
      <c r="H353" s="3">
        <f t="shared" si="1"/>
        <v>1</v>
      </c>
      <c r="I353" s="2" t="s">
        <v>22</v>
      </c>
      <c r="J353" s="4">
        <f>VLOOKUP(B353,Costos_Proveedores!$B$2:$J$1000,9,FALSE())</f>
        <v>1547</v>
      </c>
      <c r="K353" s="5">
        <f t="shared" si="2"/>
        <v>1547</v>
      </c>
      <c r="L353" s="2"/>
      <c r="M353" s="2"/>
      <c r="N353" s="2"/>
      <c r="O353" s="2"/>
      <c r="P353" s="1">
        <f t="shared" si="3"/>
        <v>0</v>
      </c>
      <c r="Q353" s="1">
        <f t="shared" si="4"/>
        <v>0</v>
      </c>
      <c r="R353" s="1">
        <f t="shared" si="5"/>
        <v>0</v>
      </c>
      <c r="S353" s="6" t="s">
        <v>1275</v>
      </c>
    </row>
    <row r="354">
      <c r="A354" s="3" t="str">
        <f t="array" ref="A354">XLOOKUP(B354,Costos_Proveedores!$B$2:$B$2000,Costos_Proveedores!$A$2:$A$2000)</f>
        <v>JOSE</v>
      </c>
      <c r="B354" s="2" t="s">
        <v>1276</v>
      </c>
      <c r="C354" s="2" t="s">
        <v>1277</v>
      </c>
      <c r="D354" s="2" t="s">
        <v>1278</v>
      </c>
      <c r="E354" s="2" t="s">
        <v>31</v>
      </c>
      <c r="G354" s="2">
        <v>0.0</v>
      </c>
      <c r="H354" s="3">
        <f t="shared" si="1"/>
        <v>0</v>
      </c>
      <c r="I354" s="2" t="s">
        <v>22</v>
      </c>
      <c r="J354" s="4">
        <f>VLOOKUP(B354,Costos_Proveedores!$B$2:$J$1000,9,FALSE())</f>
        <v>9520</v>
      </c>
      <c r="K354" s="5">
        <f t="shared" si="2"/>
        <v>0</v>
      </c>
      <c r="L354" s="2"/>
      <c r="M354" s="2"/>
      <c r="N354" s="2"/>
      <c r="O354" s="2"/>
      <c r="P354" s="1">
        <f t="shared" si="3"/>
        <v>0</v>
      </c>
      <c r="Q354" s="1">
        <f t="shared" si="4"/>
        <v>0</v>
      </c>
      <c r="R354" s="1">
        <f t="shared" si="5"/>
        <v>0</v>
      </c>
      <c r="S354" s="6" t="s">
        <v>1279</v>
      </c>
    </row>
    <row r="355">
      <c r="A355" s="3" t="str">
        <f t="array" ref="A355">XLOOKUP(B355,Costos_Proveedores!$B$2:$B$2000,Costos_Proveedores!$A$2:$A$2000)</f>
        <v>JOSE</v>
      </c>
      <c r="B355" s="2" t="s">
        <v>1280</v>
      </c>
      <c r="C355" s="2" t="s">
        <v>1281</v>
      </c>
      <c r="D355" s="2" t="s">
        <v>1282</v>
      </c>
      <c r="E355" s="2" t="s">
        <v>47</v>
      </c>
      <c r="G355" s="2">
        <v>2.0</v>
      </c>
      <c r="H355" s="3">
        <f t="shared" si="1"/>
        <v>2</v>
      </c>
      <c r="I355" s="2" t="s">
        <v>22</v>
      </c>
      <c r="J355" s="4">
        <f>VLOOKUP(B355,Costos_Proveedores!$B$2:$J$1000,9,FALSE())</f>
        <v>8330</v>
      </c>
      <c r="K355" s="5">
        <f t="shared" si="2"/>
        <v>16660</v>
      </c>
      <c r="L355" s="2"/>
      <c r="M355" s="2"/>
      <c r="N355" s="2"/>
      <c r="O355" s="2"/>
      <c r="P355" s="1">
        <f t="shared" si="3"/>
        <v>0</v>
      </c>
      <c r="Q355" s="1">
        <f t="shared" si="4"/>
        <v>0</v>
      </c>
      <c r="R355" s="1">
        <f t="shared" si="5"/>
        <v>0</v>
      </c>
      <c r="S355" s="6" t="s">
        <v>1283</v>
      </c>
    </row>
    <row r="356">
      <c r="A356" s="3" t="str">
        <f t="array" ref="A356">XLOOKUP(B356,Costos_Proveedores!$B$2:$B$2000,Costos_Proveedores!$A$2:$A$2000)</f>
        <v>JOSE</v>
      </c>
      <c r="B356" s="2" t="s">
        <v>1284</v>
      </c>
      <c r="C356" s="2" t="s">
        <v>1285</v>
      </c>
      <c r="D356" s="2" t="s">
        <v>1286</v>
      </c>
      <c r="E356" s="2" t="s">
        <v>31</v>
      </c>
      <c r="G356" s="2">
        <v>1.0</v>
      </c>
      <c r="H356" s="3">
        <f t="shared" si="1"/>
        <v>1</v>
      </c>
      <c r="I356" s="2" t="s">
        <v>22</v>
      </c>
      <c r="J356" s="4">
        <f>VLOOKUP(B356,Costos_Proveedores!$B$2:$J$1000,9,FALSE())</f>
        <v>1666</v>
      </c>
      <c r="K356" s="5">
        <f t="shared" si="2"/>
        <v>1666</v>
      </c>
      <c r="L356" s="2"/>
      <c r="M356" s="2"/>
      <c r="N356" s="2"/>
      <c r="O356" s="2"/>
      <c r="P356" s="1">
        <f t="shared" si="3"/>
        <v>0</v>
      </c>
      <c r="Q356" s="1">
        <f t="shared" si="4"/>
        <v>0</v>
      </c>
      <c r="R356" s="1">
        <f t="shared" si="5"/>
        <v>0</v>
      </c>
      <c r="S356" s="6" t="s">
        <v>1287</v>
      </c>
    </row>
    <row r="357">
      <c r="A357" s="3" t="str">
        <f t="array" ref="A357">XLOOKUP(B357,Costos_Proveedores!$B$2:$B$2000,Costos_Proveedores!$A$2:$A$2000)</f>
        <v>JOSE</v>
      </c>
      <c r="B357" s="2" t="s">
        <v>1288</v>
      </c>
      <c r="C357" s="2" t="s">
        <v>1289</v>
      </c>
      <c r="D357" s="2" t="s">
        <v>1290</v>
      </c>
      <c r="E357" s="2" t="s">
        <v>31</v>
      </c>
      <c r="G357" s="2">
        <v>0.0</v>
      </c>
      <c r="H357" s="3">
        <f t="shared" si="1"/>
        <v>0</v>
      </c>
      <c r="I357" s="2" t="s">
        <v>22</v>
      </c>
      <c r="J357" s="4">
        <f>VLOOKUP(B357,Costos_Proveedores!$B$2:$J$1000,9,FALSE())</f>
        <v>8687</v>
      </c>
      <c r="K357" s="5">
        <f t="shared" si="2"/>
        <v>0</v>
      </c>
      <c r="L357" s="2">
        <v>1.0</v>
      </c>
      <c r="M357" s="2">
        <v>0.0</v>
      </c>
      <c r="N357" s="2">
        <v>0.0</v>
      </c>
      <c r="O357" s="2">
        <v>1.0</v>
      </c>
      <c r="P357" s="1">
        <f t="shared" si="3"/>
        <v>0</v>
      </c>
      <c r="Q357" s="1">
        <f t="shared" si="4"/>
        <v>1</v>
      </c>
      <c r="R357" s="1">
        <f t="shared" si="5"/>
        <v>1</v>
      </c>
      <c r="S357" s="6" t="s">
        <v>1291</v>
      </c>
    </row>
    <row r="358">
      <c r="A358" s="3" t="str">
        <f t="array" ref="A358">XLOOKUP(B358,Costos_Proveedores!$B$2:$B$2000,Costos_Proveedores!$A$2:$A$2000)</f>
        <v>JOSE</v>
      </c>
      <c r="B358" s="2" t="s">
        <v>1292</v>
      </c>
      <c r="C358" s="2" t="s">
        <v>1293</v>
      </c>
      <c r="D358" s="2" t="s">
        <v>1294</v>
      </c>
      <c r="E358" s="2" t="s">
        <v>31</v>
      </c>
      <c r="G358" s="2">
        <v>0.0</v>
      </c>
      <c r="H358" s="3">
        <f t="shared" si="1"/>
        <v>0</v>
      </c>
      <c r="I358" s="2" t="s">
        <v>22</v>
      </c>
      <c r="J358" s="4">
        <f>VLOOKUP(B358,Costos_Proveedores!$B$2:$J$1000,9,FALSE())</f>
        <v>9520</v>
      </c>
      <c r="K358" s="5">
        <f t="shared" si="2"/>
        <v>0</v>
      </c>
      <c r="L358" s="2"/>
      <c r="M358" s="2"/>
      <c r="N358" s="2"/>
      <c r="O358" s="2"/>
      <c r="P358" s="1">
        <f t="shared" si="3"/>
        <v>0</v>
      </c>
      <c r="Q358" s="1">
        <f t="shared" si="4"/>
        <v>0</v>
      </c>
      <c r="R358" s="1">
        <f t="shared" si="5"/>
        <v>0</v>
      </c>
      <c r="S358" s="6" t="s">
        <v>1295</v>
      </c>
    </row>
    <row r="359">
      <c r="A359" s="3" t="str">
        <f t="array" ref="A359">XLOOKUP(B359,Costos_Proveedores!$B$2:$B$2000,Costos_Proveedores!$A$2:$A$2000)</f>
        <v>CEMAX</v>
      </c>
      <c r="B359" s="2" t="s">
        <v>1296</v>
      </c>
      <c r="C359" s="2">
        <v>1134.0</v>
      </c>
      <c r="D359" s="2" t="s">
        <v>1297</v>
      </c>
      <c r="E359" s="2" t="s">
        <v>31</v>
      </c>
      <c r="F359" s="2">
        <v>0.0</v>
      </c>
      <c r="G359" s="2">
        <v>1.0</v>
      </c>
      <c r="H359" s="3">
        <f t="shared" si="1"/>
        <v>1</v>
      </c>
      <c r="I359" s="2" t="s">
        <v>22</v>
      </c>
      <c r="J359" s="4">
        <f>VLOOKUP(B359,Costos_Proveedores!$B$2:$J$1000,9,FALSE())</f>
        <v>27994</v>
      </c>
      <c r="K359" s="5">
        <f t="shared" si="2"/>
        <v>27994</v>
      </c>
      <c r="L359" s="2">
        <v>4.0</v>
      </c>
      <c r="M359" s="2">
        <v>4.0</v>
      </c>
      <c r="N359" s="2">
        <v>0.0</v>
      </c>
      <c r="O359" s="2">
        <v>0.0</v>
      </c>
      <c r="P359" s="1">
        <f t="shared" si="3"/>
        <v>4</v>
      </c>
      <c r="Q359" s="1">
        <f t="shared" si="4"/>
        <v>0</v>
      </c>
      <c r="R359" s="1">
        <f t="shared" si="5"/>
        <v>4</v>
      </c>
      <c r="S359" s="6" t="s">
        <v>1298</v>
      </c>
    </row>
    <row r="360">
      <c r="A360" s="3" t="str">
        <f t="array" ref="A360">XLOOKUP(B360,Costos_Proveedores!$B$2:$B$2000,Costos_Proveedores!$A$2:$A$2000)</f>
        <v>CEMAX</v>
      </c>
      <c r="B360" s="2" t="s">
        <v>1299</v>
      </c>
      <c r="C360" s="2">
        <v>1267.0</v>
      </c>
      <c r="D360" s="2" t="s">
        <v>1300</v>
      </c>
      <c r="E360" s="2" t="s">
        <v>31</v>
      </c>
      <c r="G360" s="2">
        <v>1.0</v>
      </c>
      <c r="H360" s="3">
        <f t="shared" si="1"/>
        <v>1</v>
      </c>
      <c r="I360" s="2" t="s">
        <v>22</v>
      </c>
      <c r="J360" s="4">
        <f>VLOOKUP(B360,Costos_Proveedores!$B$2:$J$1000,9,FALSE())</f>
        <v>48993</v>
      </c>
      <c r="K360" s="5">
        <f t="shared" si="2"/>
        <v>48993</v>
      </c>
      <c r="L360" s="2"/>
      <c r="M360" s="2"/>
      <c r="N360" s="2"/>
      <c r="O360" s="2"/>
      <c r="P360" s="1">
        <f t="shared" si="3"/>
        <v>0</v>
      </c>
      <c r="Q360" s="1">
        <f t="shared" si="4"/>
        <v>0</v>
      </c>
      <c r="R360" s="1">
        <f t="shared" si="5"/>
        <v>0</v>
      </c>
      <c r="S360" s="6" t="s">
        <v>1301</v>
      </c>
    </row>
    <row r="361">
      <c r="A361" s="3" t="str">
        <f t="array" ref="A361">XLOOKUP(B361,Costos_Proveedores!$B$2:$B$2000,Costos_Proveedores!$A$2:$A$2000)</f>
        <v>CEMAX</v>
      </c>
      <c r="B361" s="2" t="s">
        <v>1302</v>
      </c>
      <c r="C361" s="2">
        <v>1383.0</v>
      </c>
      <c r="D361" s="2" t="s">
        <v>1303</v>
      </c>
      <c r="E361" s="2" t="s">
        <v>31</v>
      </c>
      <c r="F361" s="2">
        <v>0.0</v>
      </c>
      <c r="G361" s="2">
        <v>1.0</v>
      </c>
      <c r="H361" s="3">
        <f t="shared" si="1"/>
        <v>1</v>
      </c>
      <c r="I361" s="2" t="s">
        <v>22</v>
      </c>
      <c r="J361" s="4">
        <f>VLOOKUP(B361,Costos_Proveedores!$B$2:$J$1000,9,FALSE())</f>
        <v>13993</v>
      </c>
      <c r="K361" s="5">
        <f t="shared" si="2"/>
        <v>13993</v>
      </c>
      <c r="L361" s="2">
        <v>6.0</v>
      </c>
      <c r="M361" s="2">
        <v>6.0</v>
      </c>
      <c r="N361" s="2">
        <v>0.0</v>
      </c>
      <c r="O361" s="2">
        <v>0.0</v>
      </c>
      <c r="P361" s="1">
        <f t="shared" si="3"/>
        <v>6</v>
      </c>
      <c r="Q361" s="1">
        <f t="shared" si="4"/>
        <v>0</v>
      </c>
      <c r="R361" s="1">
        <f t="shared" si="5"/>
        <v>6</v>
      </c>
      <c r="S361" s="6" t="s">
        <v>1304</v>
      </c>
    </row>
    <row r="362">
      <c r="A362" s="3" t="str">
        <f t="array" ref="A362">XLOOKUP(B362,Costos_Proveedores!$B$2:$B$2000,Costos_Proveedores!$A$2:$A$2000)</f>
        <v>CEMAX</v>
      </c>
      <c r="B362" s="2" t="s">
        <v>1305</v>
      </c>
      <c r="C362" s="2">
        <v>1221.0</v>
      </c>
      <c r="D362" s="2" t="s">
        <v>1306</v>
      </c>
      <c r="E362" s="2" t="s">
        <v>31</v>
      </c>
      <c r="G362" s="2">
        <v>1.0</v>
      </c>
      <c r="H362" s="3">
        <f t="shared" si="1"/>
        <v>1</v>
      </c>
      <c r="I362" s="2" t="s">
        <v>22</v>
      </c>
      <c r="J362" s="4">
        <f>VLOOKUP(B362,Costos_Proveedores!$B$2:$J$1000,9,FALSE())</f>
        <v>9793</v>
      </c>
      <c r="K362" s="5">
        <f t="shared" si="2"/>
        <v>9793</v>
      </c>
      <c r="L362" s="2"/>
      <c r="M362" s="2"/>
      <c r="N362" s="2"/>
      <c r="O362" s="2"/>
      <c r="P362" s="1">
        <f t="shared" si="3"/>
        <v>0</v>
      </c>
      <c r="Q362" s="1">
        <f t="shared" si="4"/>
        <v>0</v>
      </c>
      <c r="R362" s="1">
        <f t="shared" si="5"/>
        <v>0</v>
      </c>
      <c r="S362" s="6" t="s">
        <v>1307</v>
      </c>
    </row>
    <row r="363">
      <c r="A363" s="3" t="str">
        <f t="array" ref="A363">XLOOKUP(B363,Costos_Proveedores!$B$2:$B$2000,Costos_Proveedores!$A$2:$A$2000)</f>
        <v>CEMAX</v>
      </c>
      <c r="B363" s="2" t="s">
        <v>1308</v>
      </c>
      <c r="C363" s="2">
        <v>1340.0</v>
      </c>
      <c r="D363" s="2" t="s">
        <v>1309</v>
      </c>
      <c r="E363" s="2" t="s">
        <v>31</v>
      </c>
      <c r="G363" s="2">
        <v>1.0</v>
      </c>
      <c r="H363" s="3">
        <f t="shared" si="1"/>
        <v>1</v>
      </c>
      <c r="I363" s="2" t="s">
        <v>22</v>
      </c>
      <c r="J363" s="4">
        <f>VLOOKUP(B363,Costos_Proveedores!$B$2:$J$1000,9,FALSE())</f>
        <v>29393</v>
      </c>
      <c r="K363" s="5">
        <f t="shared" si="2"/>
        <v>29393</v>
      </c>
      <c r="L363" s="2"/>
      <c r="M363" s="2"/>
      <c r="N363" s="2"/>
      <c r="O363" s="2"/>
      <c r="P363" s="1">
        <f t="shared" si="3"/>
        <v>0</v>
      </c>
      <c r="Q363" s="1">
        <f t="shared" si="4"/>
        <v>0</v>
      </c>
      <c r="R363" s="1">
        <f t="shared" si="5"/>
        <v>0</v>
      </c>
      <c r="S363" s="6" t="s">
        <v>1310</v>
      </c>
    </row>
    <row r="364">
      <c r="A364" s="3" t="str">
        <f t="array" ref="A364">XLOOKUP(B364,Costos_Proveedores!$B$2:$B$2000,Costos_Proveedores!$A$2:$A$2000)</f>
        <v>CEMAX</v>
      </c>
      <c r="B364" s="2" t="s">
        <v>1311</v>
      </c>
      <c r="C364" s="2">
        <v>1094.0</v>
      </c>
      <c r="D364" s="2" t="s">
        <v>1312</v>
      </c>
      <c r="E364" s="2" t="s">
        <v>31</v>
      </c>
      <c r="F364" s="2">
        <v>0.0</v>
      </c>
      <c r="G364" s="2">
        <v>1.0</v>
      </c>
      <c r="H364" s="3">
        <f t="shared" si="1"/>
        <v>1</v>
      </c>
      <c r="I364" s="2" t="s">
        <v>22</v>
      </c>
      <c r="J364" s="4">
        <f>VLOOKUP(B364,Costos_Proveedores!$B$2:$J$1000,9,FALSE())</f>
        <v>104993</v>
      </c>
      <c r="K364" s="5">
        <f t="shared" si="2"/>
        <v>104993</v>
      </c>
      <c r="L364" s="2">
        <v>1.0</v>
      </c>
      <c r="M364" s="2">
        <v>1.0</v>
      </c>
      <c r="N364" s="2">
        <v>0.0</v>
      </c>
      <c r="O364" s="2">
        <v>0.0</v>
      </c>
      <c r="P364" s="1">
        <f t="shared" si="3"/>
        <v>1</v>
      </c>
      <c r="Q364" s="1">
        <f t="shared" si="4"/>
        <v>0</v>
      </c>
      <c r="R364" s="1">
        <f t="shared" si="5"/>
        <v>1</v>
      </c>
      <c r="S364" s="6" t="s">
        <v>1313</v>
      </c>
    </row>
    <row r="365">
      <c r="A365" s="3" t="str">
        <f t="array" ref="A365">XLOOKUP(B365,Costos_Proveedores!$B$2:$B$2000,Costos_Proveedores!$A$2:$A$2000)</f>
        <v>MULI</v>
      </c>
      <c r="B365" s="2" t="s">
        <v>1314</v>
      </c>
      <c r="C365" s="2" t="s">
        <v>1315</v>
      </c>
      <c r="D365" s="2" t="s">
        <v>1316</v>
      </c>
      <c r="E365" s="2" t="s">
        <v>31</v>
      </c>
      <c r="G365" s="2">
        <v>0.0</v>
      </c>
      <c r="H365" s="3">
        <f t="shared" si="1"/>
        <v>0</v>
      </c>
      <c r="I365" s="2" t="s">
        <v>22</v>
      </c>
      <c r="J365" s="4">
        <f>VLOOKUP(B365,Costos_Proveedores!$B$2:$J$1000,9,FALSE())</f>
        <v>3499</v>
      </c>
      <c r="K365" s="5">
        <f t="shared" si="2"/>
        <v>0</v>
      </c>
      <c r="L365" s="2"/>
      <c r="M365" s="2"/>
      <c r="N365" s="2"/>
      <c r="O365" s="2"/>
      <c r="P365" s="1">
        <f t="shared" si="3"/>
        <v>0</v>
      </c>
      <c r="Q365" s="1">
        <f t="shared" si="4"/>
        <v>0</v>
      </c>
      <c r="R365" s="1">
        <f t="shared" si="5"/>
        <v>0</v>
      </c>
      <c r="S365" s="6" t="s">
        <v>1317</v>
      </c>
    </row>
    <row r="366">
      <c r="A366" s="3" t="str">
        <f t="array" ref="A366">XLOOKUP(B366,Costos_Proveedores!$B$2:$B$2000,Costos_Proveedores!$A$2:$A$2000)</f>
        <v>MULI</v>
      </c>
      <c r="B366" s="2" t="s">
        <v>1318</v>
      </c>
      <c r="C366" s="2" t="s">
        <v>1319</v>
      </c>
      <c r="D366" s="2" t="s">
        <v>1320</v>
      </c>
      <c r="E366" s="2" t="s">
        <v>31</v>
      </c>
      <c r="F366" s="2">
        <v>0.0</v>
      </c>
      <c r="G366" s="2">
        <v>0.0</v>
      </c>
      <c r="H366" s="3">
        <f t="shared" si="1"/>
        <v>0</v>
      </c>
      <c r="I366" s="2" t="s">
        <v>22</v>
      </c>
      <c r="J366" s="4">
        <f>VLOOKUP(B366,Costos_Proveedores!$B$2:$J$1000,9,FALSE())</f>
        <v>6497</v>
      </c>
      <c r="K366" s="5">
        <f t="shared" si="2"/>
        <v>0</v>
      </c>
      <c r="L366" s="2">
        <v>3.0</v>
      </c>
      <c r="M366" s="2">
        <v>6.0</v>
      </c>
      <c r="N366" s="2">
        <v>0.0</v>
      </c>
      <c r="O366" s="2">
        <v>0.0</v>
      </c>
      <c r="P366" s="1">
        <f t="shared" si="3"/>
        <v>6</v>
      </c>
      <c r="Q366" s="1">
        <f t="shared" si="4"/>
        <v>0</v>
      </c>
      <c r="R366" s="1">
        <f t="shared" si="5"/>
        <v>6</v>
      </c>
      <c r="S366" s="6" t="s">
        <v>1321</v>
      </c>
    </row>
    <row r="367">
      <c r="A367" s="3" t="str">
        <f t="array" ref="A367">XLOOKUP(B367,Costos_Proveedores!$B$2:$B$2000,Costos_Proveedores!$A$2:$A$2000)</f>
        <v>MULI</v>
      </c>
      <c r="B367" s="2" t="s">
        <v>1322</v>
      </c>
      <c r="C367" s="2" t="s">
        <v>1323</v>
      </c>
      <c r="D367" s="2" t="s">
        <v>1324</v>
      </c>
      <c r="E367" s="2" t="s">
        <v>31</v>
      </c>
      <c r="F367" s="2">
        <v>0.0</v>
      </c>
      <c r="G367" s="2">
        <v>0.0</v>
      </c>
      <c r="H367" s="3">
        <f t="shared" si="1"/>
        <v>0</v>
      </c>
      <c r="I367" s="2" t="s">
        <v>22</v>
      </c>
      <c r="J367" s="4">
        <f>VLOOKUP(B367,Costos_Proveedores!$B$2:$J$1000,9,FALSE())</f>
        <v>7997</v>
      </c>
      <c r="K367" s="5">
        <f t="shared" si="2"/>
        <v>0</v>
      </c>
      <c r="L367" s="2">
        <v>1.0</v>
      </c>
      <c r="M367" s="2">
        <v>1.0</v>
      </c>
      <c r="N367" s="2">
        <v>0.0</v>
      </c>
      <c r="O367" s="2">
        <v>0.0</v>
      </c>
      <c r="P367" s="1">
        <f t="shared" si="3"/>
        <v>1</v>
      </c>
      <c r="Q367" s="1">
        <f t="shared" si="4"/>
        <v>0</v>
      </c>
      <c r="R367" s="1">
        <f t="shared" si="5"/>
        <v>1</v>
      </c>
      <c r="S367" s="6" t="s">
        <v>1325</v>
      </c>
    </row>
    <row r="368">
      <c r="A368" s="3" t="str">
        <f t="array" ref="A368">XLOOKUP(B368,Costos_Proveedores!$B$2:$B$2000,Costos_Proveedores!$A$2:$A$2000)</f>
        <v>MULI</v>
      </c>
      <c r="B368" s="2" t="s">
        <v>1326</v>
      </c>
      <c r="C368" s="2" t="s">
        <v>1327</v>
      </c>
      <c r="D368" s="2" t="s">
        <v>1328</v>
      </c>
      <c r="E368" s="2" t="s">
        <v>31</v>
      </c>
      <c r="F368" s="2">
        <v>0.0</v>
      </c>
      <c r="G368" s="2">
        <v>0.0</v>
      </c>
      <c r="H368" s="3">
        <f t="shared" si="1"/>
        <v>0</v>
      </c>
      <c r="I368" s="2" t="s">
        <v>22</v>
      </c>
      <c r="J368" s="4">
        <f>VLOOKUP(B368,Costos_Proveedores!$B$2:$J$1000,9,FALSE())</f>
        <v>5998</v>
      </c>
      <c r="K368" s="5">
        <f t="shared" si="2"/>
        <v>0</v>
      </c>
      <c r="L368" s="2">
        <v>1.0</v>
      </c>
      <c r="M368" s="2">
        <v>1.0</v>
      </c>
      <c r="N368" s="2">
        <v>0.0</v>
      </c>
      <c r="O368" s="2">
        <v>0.0</v>
      </c>
      <c r="P368" s="1">
        <f t="shared" si="3"/>
        <v>1</v>
      </c>
      <c r="Q368" s="1">
        <f t="shared" si="4"/>
        <v>0</v>
      </c>
      <c r="R368" s="1">
        <f t="shared" si="5"/>
        <v>1</v>
      </c>
      <c r="S368" s="6" t="s">
        <v>1329</v>
      </c>
    </row>
    <row r="369">
      <c r="A369" s="3" t="str">
        <f t="array" ref="A369">XLOOKUP(B369,Costos_Proveedores!$B$2:$B$2000,Costos_Proveedores!$A$2:$A$2000)</f>
        <v>CEMAX</v>
      </c>
      <c r="B369" s="2" t="s">
        <v>1330</v>
      </c>
      <c r="C369" s="2">
        <v>1363.0</v>
      </c>
      <c r="D369" s="2" t="s">
        <v>1331</v>
      </c>
      <c r="E369" s="2" t="s">
        <v>31</v>
      </c>
      <c r="F369" s="2">
        <v>0.0</v>
      </c>
      <c r="G369" s="2">
        <v>1.0</v>
      </c>
      <c r="H369" s="3">
        <f t="shared" si="1"/>
        <v>1</v>
      </c>
      <c r="I369" s="2" t="s">
        <v>22</v>
      </c>
      <c r="J369" s="4">
        <f>VLOOKUP(B369,Costos_Proveedores!$B$2:$J$1000,9,FALSE())</f>
        <v>69993</v>
      </c>
      <c r="K369" s="5">
        <f t="shared" si="2"/>
        <v>69993</v>
      </c>
      <c r="L369" s="2">
        <v>2.0</v>
      </c>
      <c r="M369" s="2">
        <v>2.0</v>
      </c>
      <c r="N369" s="2">
        <v>0.0</v>
      </c>
      <c r="O369" s="2">
        <v>0.0</v>
      </c>
      <c r="P369" s="1">
        <f t="shared" si="3"/>
        <v>2</v>
      </c>
      <c r="Q369" s="1">
        <f t="shared" si="4"/>
        <v>0</v>
      </c>
      <c r="R369" s="1">
        <f t="shared" si="5"/>
        <v>2</v>
      </c>
      <c r="S369" s="6" t="s">
        <v>1332</v>
      </c>
    </row>
    <row r="370">
      <c r="A370" s="3" t="str">
        <f t="array" ref="A370">XLOOKUP(B370,Costos_Proveedores!$B$2:$B$2000,Costos_Proveedores!$A$2:$A$2000)</f>
        <v>CEMAX</v>
      </c>
      <c r="B370" s="2" t="s">
        <v>1333</v>
      </c>
      <c r="C370" s="2">
        <v>1387.0</v>
      </c>
      <c r="D370" s="2" t="s">
        <v>1334</v>
      </c>
      <c r="E370" s="2" t="s">
        <v>31</v>
      </c>
      <c r="F370" s="2">
        <v>0.0</v>
      </c>
      <c r="G370" s="2">
        <v>1.0</v>
      </c>
      <c r="H370" s="3">
        <f t="shared" si="1"/>
        <v>1</v>
      </c>
      <c r="I370" s="2" t="s">
        <v>22</v>
      </c>
      <c r="J370" s="4">
        <f>VLOOKUP(B370,Costos_Proveedores!$B$2:$J$1000,9,FALSE())</f>
        <v>27994</v>
      </c>
      <c r="K370" s="5">
        <f t="shared" si="2"/>
        <v>27994</v>
      </c>
      <c r="L370" s="2">
        <v>1.0</v>
      </c>
      <c r="M370" s="2">
        <v>1.0</v>
      </c>
      <c r="N370" s="2">
        <v>0.0</v>
      </c>
      <c r="O370" s="2">
        <v>0.0</v>
      </c>
      <c r="P370" s="1">
        <f t="shared" si="3"/>
        <v>1</v>
      </c>
      <c r="Q370" s="1">
        <f t="shared" si="4"/>
        <v>0</v>
      </c>
      <c r="R370" s="1">
        <f t="shared" si="5"/>
        <v>1</v>
      </c>
      <c r="S370" s="6" t="s">
        <v>1335</v>
      </c>
    </row>
    <row r="371">
      <c r="A371" s="3" t="str">
        <f t="array" ref="A371">XLOOKUP(B371,Costos_Proveedores!$B$2:$B$2000,Costos_Proveedores!$A$2:$A$2000)</f>
        <v>CEMAX</v>
      </c>
      <c r="B371" s="2" t="s">
        <v>1336</v>
      </c>
      <c r="C371" s="2">
        <v>1089.0</v>
      </c>
      <c r="D371" s="2" t="s">
        <v>1337</v>
      </c>
      <c r="E371" s="2" t="s">
        <v>31</v>
      </c>
      <c r="F371" s="2">
        <v>0.0</v>
      </c>
      <c r="G371" s="2">
        <v>1.0</v>
      </c>
      <c r="H371" s="3">
        <f t="shared" si="1"/>
        <v>1</v>
      </c>
      <c r="I371" s="2" t="s">
        <v>22</v>
      </c>
      <c r="J371" s="4">
        <f>VLOOKUP(B371,Costos_Proveedores!$B$2:$J$1000,9,FALSE())</f>
        <v>66492</v>
      </c>
      <c r="K371" s="5">
        <f t="shared" si="2"/>
        <v>66492</v>
      </c>
      <c r="L371" s="2">
        <v>3.0</v>
      </c>
      <c r="M371" s="2">
        <v>3.0</v>
      </c>
      <c r="N371" s="2">
        <v>0.0</v>
      </c>
      <c r="O371" s="2">
        <v>0.0</v>
      </c>
      <c r="P371" s="1">
        <f t="shared" si="3"/>
        <v>3</v>
      </c>
      <c r="Q371" s="1">
        <f t="shared" si="4"/>
        <v>0</v>
      </c>
      <c r="R371" s="1">
        <f t="shared" si="5"/>
        <v>3</v>
      </c>
      <c r="S371" s="6" t="s">
        <v>1338</v>
      </c>
    </row>
    <row r="372">
      <c r="A372" s="3" t="str">
        <f t="array" ref="A372">XLOOKUP(B372,Costos_Proveedores!$B$2:$B$2000,Costos_Proveedores!$A$2:$A$2000)</f>
        <v>CEMAX</v>
      </c>
      <c r="B372" s="2" t="s">
        <v>1339</v>
      </c>
      <c r="C372" s="2">
        <v>1093.0</v>
      </c>
      <c r="D372" s="2" t="s">
        <v>1340</v>
      </c>
      <c r="E372" s="2" t="s">
        <v>31</v>
      </c>
      <c r="F372" s="2">
        <v>0.0</v>
      </c>
      <c r="G372" s="2">
        <v>1.0</v>
      </c>
      <c r="H372" s="3">
        <f t="shared" si="1"/>
        <v>1</v>
      </c>
      <c r="I372" s="2" t="s">
        <v>22</v>
      </c>
      <c r="J372" s="4">
        <f>VLOOKUP(B372,Costos_Proveedores!$B$2:$J$1000,9,FALSE())</f>
        <v>76993</v>
      </c>
      <c r="K372" s="5">
        <f t="shared" si="2"/>
        <v>76993</v>
      </c>
      <c r="L372" s="2">
        <v>1.0</v>
      </c>
      <c r="M372" s="2">
        <v>1.0</v>
      </c>
      <c r="N372" s="2">
        <v>0.0</v>
      </c>
      <c r="O372" s="2">
        <v>0.0</v>
      </c>
      <c r="P372" s="1">
        <f t="shared" si="3"/>
        <v>1</v>
      </c>
      <c r="Q372" s="1">
        <f t="shared" si="4"/>
        <v>0</v>
      </c>
      <c r="R372" s="1">
        <f t="shared" si="5"/>
        <v>1</v>
      </c>
      <c r="S372" s="6" t="s">
        <v>1341</v>
      </c>
    </row>
    <row r="373">
      <c r="A373" s="3" t="str">
        <f t="array" ref="A373">XLOOKUP(B373,Costos_Proveedores!$B$2:$B$2000,Costos_Proveedores!$A$2:$A$2000)</f>
        <v>CEMAX</v>
      </c>
      <c r="B373" s="2" t="s">
        <v>1342</v>
      </c>
      <c r="C373" s="2">
        <v>1266.0</v>
      </c>
      <c r="D373" s="2" t="s">
        <v>1343</v>
      </c>
      <c r="E373" s="2" t="s">
        <v>31</v>
      </c>
      <c r="F373" s="2">
        <v>0.0</v>
      </c>
      <c r="G373" s="2">
        <v>1.0</v>
      </c>
      <c r="H373" s="3">
        <f t="shared" si="1"/>
        <v>1</v>
      </c>
      <c r="I373" s="2" t="s">
        <v>22</v>
      </c>
      <c r="J373" s="4">
        <f>VLOOKUP(B373,Costos_Proveedores!$B$2:$J$1000,9,FALSE())</f>
        <v>48993</v>
      </c>
      <c r="K373" s="5">
        <f t="shared" si="2"/>
        <v>48993</v>
      </c>
      <c r="L373" s="2">
        <v>6.0</v>
      </c>
      <c r="M373" s="2">
        <v>6.0</v>
      </c>
      <c r="N373" s="2">
        <v>0.0</v>
      </c>
      <c r="O373" s="2">
        <v>0.0</v>
      </c>
      <c r="P373" s="1">
        <f t="shared" si="3"/>
        <v>6</v>
      </c>
      <c r="Q373" s="1">
        <f t="shared" si="4"/>
        <v>0</v>
      </c>
      <c r="R373" s="1">
        <f t="shared" si="5"/>
        <v>6</v>
      </c>
      <c r="S373" s="6" t="s">
        <v>1344</v>
      </c>
    </row>
    <row r="374">
      <c r="A374" s="3" t="str">
        <f t="array" ref="A374">XLOOKUP(B374,Costos_Proveedores!$B$2:$B$2000,Costos_Proveedores!$A$2:$A$2000)</f>
        <v>CEMAX</v>
      </c>
      <c r="B374" s="2" t="s">
        <v>1345</v>
      </c>
      <c r="C374" s="2">
        <v>1100.0</v>
      </c>
      <c r="D374" s="2" t="s">
        <v>1346</v>
      </c>
      <c r="E374" s="2" t="s">
        <v>31</v>
      </c>
      <c r="F374" s="2">
        <v>0.0</v>
      </c>
      <c r="G374" s="2">
        <v>1.0</v>
      </c>
      <c r="H374" s="3">
        <f t="shared" si="1"/>
        <v>1</v>
      </c>
      <c r="I374" s="2" t="s">
        <v>22</v>
      </c>
      <c r="J374" s="4">
        <f>VLOOKUP(B374,Costos_Proveedores!$B$2:$J$1000,9,FALSE())</f>
        <v>59993</v>
      </c>
      <c r="K374" s="5">
        <f t="shared" si="2"/>
        <v>59993</v>
      </c>
      <c r="L374" s="2"/>
      <c r="M374" s="2"/>
      <c r="N374" s="2"/>
      <c r="O374" s="2"/>
      <c r="P374" s="1">
        <f t="shared" si="3"/>
        <v>0</v>
      </c>
      <c r="Q374" s="1">
        <f t="shared" si="4"/>
        <v>0</v>
      </c>
      <c r="R374" s="1">
        <f t="shared" si="5"/>
        <v>0</v>
      </c>
      <c r="S374" s="6" t="s">
        <v>1347</v>
      </c>
    </row>
    <row r="375">
      <c r="A375" s="3" t="str">
        <f t="array" ref="A375">XLOOKUP(B375,Costos_Proveedores!$B$2:$B$2000,Costos_Proveedores!$A$2:$A$2000)</f>
        <v>CEMAX</v>
      </c>
      <c r="B375" s="2" t="s">
        <v>1348</v>
      </c>
      <c r="C375" s="2">
        <v>1414.0</v>
      </c>
      <c r="D375" s="2" t="s">
        <v>1349</v>
      </c>
      <c r="E375" s="2" t="s">
        <v>31</v>
      </c>
      <c r="F375" s="2">
        <v>0.0</v>
      </c>
      <c r="G375" s="2">
        <v>1.0</v>
      </c>
      <c r="H375" s="3">
        <f t="shared" si="1"/>
        <v>1</v>
      </c>
      <c r="I375" s="2" t="s">
        <v>22</v>
      </c>
      <c r="J375" s="4">
        <f>VLOOKUP(B375,Costos_Proveedores!$B$2:$J$1000,9,FALSE())</f>
        <v>23093</v>
      </c>
      <c r="K375" s="5">
        <f t="shared" si="2"/>
        <v>23093</v>
      </c>
      <c r="L375" s="2">
        <v>6.0</v>
      </c>
      <c r="M375" s="2">
        <v>6.0</v>
      </c>
      <c r="N375" s="2">
        <v>0.0</v>
      </c>
      <c r="O375" s="2">
        <v>0.0</v>
      </c>
      <c r="P375" s="1">
        <f t="shared" si="3"/>
        <v>6</v>
      </c>
      <c r="Q375" s="1">
        <f t="shared" si="4"/>
        <v>0</v>
      </c>
      <c r="R375" s="1">
        <f t="shared" si="5"/>
        <v>6</v>
      </c>
      <c r="S375" s="6" t="s">
        <v>1350</v>
      </c>
    </row>
    <row r="376">
      <c r="A376" s="3" t="str">
        <f t="array" ref="A376">XLOOKUP(B376,Costos_Proveedores!$B$2:$B$2000,Costos_Proveedores!$A$2:$A$2000)</f>
        <v>CEMAX</v>
      </c>
      <c r="B376" s="2" t="s">
        <v>1351</v>
      </c>
      <c r="C376" s="2">
        <v>1086.0</v>
      </c>
      <c r="D376" s="2" t="s">
        <v>1352</v>
      </c>
      <c r="E376" s="2" t="s">
        <v>31</v>
      </c>
      <c r="F376" s="2">
        <v>0.0</v>
      </c>
      <c r="G376" s="2">
        <v>1.0</v>
      </c>
      <c r="H376" s="3">
        <f t="shared" si="1"/>
        <v>1</v>
      </c>
      <c r="I376" s="2" t="s">
        <v>22</v>
      </c>
      <c r="J376" s="4">
        <f>VLOOKUP(B376,Costos_Proveedores!$B$2:$J$1000,9,FALSE())</f>
        <v>41993</v>
      </c>
      <c r="K376" s="5">
        <f t="shared" si="2"/>
        <v>41993</v>
      </c>
      <c r="L376" s="2">
        <v>1.0</v>
      </c>
      <c r="M376" s="2">
        <v>1.0</v>
      </c>
      <c r="N376" s="2">
        <v>0.0</v>
      </c>
      <c r="O376" s="2">
        <v>0.0</v>
      </c>
      <c r="P376" s="1">
        <f t="shared" si="3"/>
        <v>1</v>
      </c>
      <c r="Q376" s="1">
        <f t="shared" si="4"/>
        <v>0</v>
      </c>
      <c r="R376" s="1">
        <f t="shared" si="5"/>
        <v>1</v>
      </c>
      <c r="S376" s="6" t="s">
        <v>1353</v>
      </c>
    </row>
    <row r="377">
      <c r="A377" s="3" t="str">
        <f t="array" ref="A377">XLOOKUP(B377,Costos_Proveedores!$B$2:$B$2000,Costos_Proveedores!$A$2:$A$2000)</f>
        <v>CEMAX</v>
      </c>
      <c r="B377" s="2" t="s">
        <v>1354</v>
      </c>
      <c r="C377" s="2">
        <v>1366.0</v>
      </c>
      <c r="D377" s="2" t="s">
        <v>1355</v>
      </c>
      <c r="E377" s="2" t="s">
        <v>31</v>
      </c>
      <c r="G377" s="2">
        <v>1.0</v>
      </c>
      <c r="H377" s="3">
        <f t="shared" si="1"/>
        <v>1</v>
      </c>
      <c r="I377" s="2" t="s">
        <v>22</v>
      </c>
      <c r="J377" s="4">
        <f>VLOOKUP(B377,Costos_Proveedores!$B$2:$J$1000,9,FALSE())</f>
        <v>41993</v>
      </c>
      <c r="K377" s="5">
        <f t="shared" si="2"/>
        <v>41993</v>
      </c>
      <c r="L377" s="2"/>
      <c r="M377" s="2"/>
      <c r="N377" s="2"/>
      <c r="O377" s="2"/>
      <c r="P377" s="1">
        <f t="shared" si="3"/>
        <v>0</v>
      </c>
      <c r="Q377" s="1">
        <f t="shared" si="4"/>
        <v>0</v>
      </c>
      <c r="R377" s="1">
        <f t="shared" si="5"/>
        <v>0</v>
      </c>
      <c r="S377" s="6" t="s">
        <v>1356</v>
      </c>
    </row>
    <row r="378">
      <c r="A378" s="3" t="str">
        <f t="array" ref="A378">XLOOKUP(B378,Costos_Proveedores!$B$2:$B$2000,Costos_Proveedores!$A$2:$A$2000)</f>
        <v>CEMAX</v>
      </c>
      <c r="B378" s="2" t="s">
        <v>1357</v>
      </c>
      <c r="C378" s="2">
        <v>1265.0</v>
      </c>
      <c r="D378" s="2" t="s">
        <v>1358</v>
      </c>
      <c r="E378" s="2" t="s">
        <v>31</v>
      </c>
      <c r="F378" s="2">
        <v>0.0</v>
      </c>
      <c r="G378" s="2">
        <v>1.0</v>
      </c>
      <c r="H378" s="3">
        <f t="shared" si="1"/>
        <v>1</v>
      </c>
      <c r="I378" s="2" t="s">
        <v>22</v>
      </c>
      <c r="J378" s="4">
        <f>VLOOKUP(B378,Costos_Proveedores!$B$2:$J$1000,9,FALSE())</f>
        <v>27994</v>
      </c>
      <c r="K378" s="5">
        <f t="shared" si="2"/>
        <v>27994</v>
      </c>
      <c r="L378" s="2">
        <v>6.0</v>
      </c>
      <c r="M378" s="2">
        <v>6.0</v>
      </c>
      <c r="N378" s="2">
        <v>0.0</v>
      </c>
      <c r="O378" s="2">
        <v>0.0</v>
      </c>
      <c r="P378" s="1">
        <f t="shared" si="3"/>
        <v>6</v>
      </c>
      <c r="Q378" s="1">
        <f t="shared" si="4"/>
        <v>0</v>
      </c>
      <c r="R378" s="1">
        <f t="shared" si="5"/>
        <v>6</v>
      </c>
      <c r="S378" s="6" t="s">
        <v>1359</v>
      </c>
    </row>
    <row r="379">
      <c r="A379" s="3" t="str">
        <f t="array" ref="A379">XLOOKUP(B379,Costos_Proveedores!$B$2:$B$2000,Costos_Proveedores!$A$2:$A$2000)</f>
        <v>CEMAX</v>
      </c>
      <c r="B379" s="2" t="s">
        <v>1360</v>
      </c>
      <c r="C379" s="2">
        <v>1117.0</v>
      </c>
      <c r="D379" s="2" t="s">
        <v>1361</v>
      </c>
      <c r="E379" s="2" t="s">
        <v>47</v>
      </c>
      <c r="F379" s="2">
        <v>1.0</v>
      </c>
      <c r="G379" s="2">
        <v>1.0</v>
      </c>
      <c r="H379" s="3">
        <f t="shared" si="1"/>
        <v>2</v>
      </c>
      <c r="I379" s="2" t="s">
        <v>22</v>
      </c>
      <c r="J379" s="4">
        <f>VLOOKUP(B379,Costos_Proveedores!$B$2:$J$1000,9,FALSE())</f>
        <v>139993</v>
      </c>
      <c r="K379" s="5">
        <f t="shared" si="2"/>
        <v>279986</v>
      </c>
      <c r="L379" s="2"/>
      <c r="M379" s="2"/>
      <c r="N379" s="2"/>
      <c r="O379" s="2"/>
      <c r="P379" s="1">
        <f t="shared" si="3"/>
        <v>0</v>
      </c>
      <c r="Q379" s="1">
        <f t="shared" si="4"/>
        <v>0</v>
      </c>
      <c r="R379" s="1">
        <f t="shared" si="5"/>
        <v>0</v>
      </c>
      <c r="S379" s="6" t="s">
        <v>1362</v>
      </c>
    </row>
    <row r="380">
      <c r="A380" s="3" t="str">
        <f t="array" ref="A380">XLOOKUP(B380,Costos_Proveedores!$B$2:$B$2000,Costos_Proveedores!$A$2:$A$2000)</f>
        <v>CEMAX</v>
      </c>
      <c r="B380" s="2" t="s">
        <v>1363</v>
      </c>
      <c r="C380" s="2">
        <v>1141.0</v>
      </c>
      <c r="D380" s="2" t="s">
        <v>1364</v>
      </c>
      <c r="E380" s="2" t="s">
        <v>31</v>
      </c>
      <c r="F380" s="2">
        <v>0.0</v>
      </c>
      <c r="G380" s="2">
        <v>1.0</v>
      </c>
      <c r="H380" s="3">
        <f t="shared" si="1"/>
        <v>1</v>
      </c>
      <c r="I380" s="2" t="s">
        <v>22</v>
      </c>
      <c r="J380" s="4">
        <f>VLOOKUP(B380,Costos_Proveedores!$B$2:$J$1000,9,FALSE())</f>
        <v>24493</v>
      </c>
      <c r="K380" s="5">
        <f t="shared" si="2"/>
        <v>24493</v>
      </c>
      <c r="L380" s="2">
        <v>6.0</v>
      </c>
      <c r="M380" s="2">
        <v>6.0</v>
      </c>
      <c r="N380" s="2">
        <v>0.0</v>
      </c>
      <c r="O380" s="2">
        <v>0.0</v>
      </c>
      <c r="P380" s="1">
        <f t="shared" si="3"/>
        <v>6</v>
      </c>
      <c r="Q380" s="1">
        <f t="shared" si="4"/>
        <v>0</v>
      </c>
      <c r="R380" s="1">
        <f t="shared" si="5"/>
        <v>6</v>
      </c>
      <c r="S380" s="6" t="s">
        <v>1365</v>
      </c>
    </row>
    <row r="381">
      <c r="A381" s="3" t="str">
        <f t="array" ref="A381">XLOOKUP(B381,Costos_Proveedores!$B$2:$B$2000,Costos_Proveedores!$A$2:$A$2000)</f>
        <v>CEMAX</v>
      </c>
      <c r="B381" s="2" t="s">
        <v>1366</v>
      </c>
      <c r="C381" s="2">
        <v>1085.0</v>
      </c>
      <c r="D381" s="2" t="s">
        <v>1367</v>
      </c>
      <c r="E381" s="2" t="s">
        <v>31</v>
      </c>
      <c r="F381" s="2">
        <v>0.0</v>
      </c>
      <c r="G381" s="2">
        <v>1.0</v>
      </c>
      <c r="H381" s="3">
        <f t="shared" si="1"/>
        <v>1</v>
      </c>
      <c r="I381" s="2" t="s">
        <v>22</v>
      </c>
      <c r="J381" s="4">
        <f>VLOOKUP(B381,Costos_Proveedores!$B$2:$J$1000,9,FALSE())</f>
        <v>34993</v>
      </c>
      <c r="K381" s="5">
        <f t="shared" si="2"/>
        <v>34993</v>
      </c>
      <c r="L381" s="2">
        <v>1.0</v>
      </c>
      <c r="M381" s="2">
        <v>1.0</v>
      </c>
      <c r="N381" s="2">
        <v>0.0</v>
      </c>
      <c r="O381" s="2">
        <v>0.0</v>
      </c>
      <c r="P381" s="1">
        <f t="shared" si="3"/>
        <v>1</v>
      </c>
      <c r="Q381" s="1">
        <f t="shared" si="4"/>
        <v>0</v>
      </c>
      <c r="R381" s="1">
        <f t="shared" si="5"/>
        <v>1</v>
      </c>
      <c r="S381" s="6" t="s">
        <v>1368</v>
      </c>
    </row>
    <row r="382">
      <c r="A382" s="3" t="str">
        <f t="array" ref="A382">XLOOKUP(B382,Costos_Proveedores!$B$2:$B$2000,Costos_Proveedores!$A$2:$A$2000)</f>
        <v>CEMAX</v>
      </c>
      <c r="B382" s="2" t="s">
        <v>1369</v>
      </c>
      <c r="C382" s="2">
        <v>1272.0</v>
      </c>
      <c r="D382" s="2" t="s">
        <v>1370</v>
      </c>
      <c r="E382" s="2" t="s">
        <v>31</v>
      </c>
      <c r="F382" s="2">
        <v>0.0</v>
      </c>
      <c r="G382" s="2">
        <v>1.0</v>
      </c>
      <c r="H382" s="3">
        <f t="shared" si="1"/>
        <v>1</v>
      </c>
      <c r="I382" s="2" t="s">
        <v>22</v>
      </c>
      <c r="J382" s="4">
        <f>VLOOKUP(B382,Costos_Proveedores!$B$2:$J$1000,9,FALSE())</f>
        <v>62993</v>
      </c>
      <c r="K382" s="5">
        <f t="shared" si="2"/>
        <v>62993</v>
      </c>
      <c r="L382" s="2">
        <v>13.0</v>
      </c>
      <c r="M382" s="2">
        <v>13.0</v>
      </c>
      <c r="N382" s="2">
        <v>0.0</v>
      </c>
      <c r="O382" s="2">
        <v>0.0</v>
      </c>
      <c r="P382" s="1">
        <f t="shared" si="3"/>
        <v>13</v>
      </c>
      <c r="Q382" s="1">
        <f t="shared" si="4"/>
        <v>0</v>
      </c>
      <c r="R382" s="1">
        <f t="shared" si="5"/>
        <v>13</v>
      </c>
      <c r="S382" s="6" t="s">
        <v>1371</v>
      </c>
    </row>
    <row r="383">
      <c r="A383" s="3" t="str">
        <f t="array" ref="A383">XLOOKUP(B383,Costos_Proveedores!$B$2:$B$2000,Costos_Proveedores!$A$2:$A$2000)</f>
        <v>CEMAX</v>
      </c>
      <c r="B383" s="2" t="s">
        <v>1372</v>
      </c>
      <c r="C383" s="2">
        <v>1238.0</v>
      </c>
      <c r="D383" s="2" t="s">
        <v>1373</v>
      </c>
      <c r="E383" s="2" t="s">
        <v>31</v>
      </c>
      <c r="F383" s="2">
        <v>0.0</v>
      </c>
      <c r="G383" s="2">
        <v>1.0</v>
      </c>
      <c r="H383" s="3">
        <f t="shared" si="1"/>
        <v>1</v>
      </c>
      <c r="I383" s="2" t="s">
        <v>22</v>
      </c>
      <c r="J383" s="4">
        <f>VLOOKUP(B383,Costos_Proveedores!$B$2:$J$1000,9,FALSE())</f>
        <v>18892</v>
      </c>
      <c r="K383" s="5">
        <f t="shared" si="2"/>
        <v>18892</v>
      </c>
      <c r="L383" s="2">
        <v>12.0</v>
      </c>
      <c r="M383" s="2">
        <v>12.0</v>
      </c>
      <c r="N383" s="2">
        <v>0.0</v>
      </c>
      <c r="O383" s="2">
        <v>0.0</v>
      </c>
      <c r="P383" s="1">
        <f t="shared" si="3"/>
        <v>12</v>
      </c>
      <c r="Q383" s="1">
        <f t="shared" si="4"/>
        <v>0</v>
      </c>
      <c r="R383" s="1">
        <f t="shared" si="5"/>
        <v>12</v>
      </c>
      <c r="S383" s="6" t="s">
        <v>1374</v>
      </c>
    </row>
    <row r="384">
      <c r="A384" s="3" t="str">
        <f t="array" ref="A384">XLOOKUP(B384,Costos_Proveedores!$B$2:$B$2000,Costos_Proveedores!$A$2:$A$2000)</f>
        <v>CEMAX</v>
      </c>
      <c r="B384" s="2" t="s">
        <v>1375</v>
      </c>
      <c r="C384" s="2">
        <v>1235.0</v>
      </c>
      <c r="D384" s="2" t="s">
        <v>1376</v>
      </c>
      <c r="E384" s="2" t="s">
        <v>31</v>
      </c>
      <c r="F384" s="2">
        <v>0.0</v>
      </c>
      <c r="G384" s="2">
        <v>1.0</v>
      </c>
      <c r="H384" s="3">
        <f t="shared" si="1"/>
        <v>1</v>
      </c>
      <c r="I384" s="2" t="s">
        <v>22</v>
      </c>
      <c r="J384" s="4">
        <f>VLOOKUP(B384,Costos_Proveedores!$B$2:$J$1000,9,FALSE())</f>
        <v>14693</v>
      </c>
      <c r="K384" s="5">
        <f t="shared" si="2"/>
        <v>14693</v>
      </c>
      <c r="L384" s="2">
        <v>24.0</v>
      </c>
      <c r="M384" s="2">
        <v>24.0</v>
      </c>
      <c r="N384" s="2">
        <v>0.0</v>
      </c>
      <c r="O384" s="2">
        <v>0.0</v>
      </c>
      <c r="P384" s="1">
        <f t="shared" si="3"/>
        <v>24</v>
      </c>
      <c r="Q384" s="1">
        <f t="shared" si="4"/>
        <v>0</v>
      </c>
      <c r="R384" s="1">
        <f t="shared" si="5"/>
        <v>24</v>
      </c>
      <c r="S384" s="6" t="s">
        <v>1377</v>
      </c>
    </row>
    <row r="385">
      <c r="A385" s="3" t="str">
        <f t="array" ref="A385">XLOOKUP(B385,Costos_Proveedores!$B$2:$B$2000,Costos_Proveedores!$A$2:$A$2000)</f>
        <v>CEMAX</v>
      </c>
      <c r="B385" s="2" t="s">
        <v>1378</v>
      </c>
      <c r="C385" s="2">
        <v>1121.0</v>
      </c>
      <c r="D385" s="2" t="s">
        <v>1379</v>
      </c>
      <c r="E385" s="2" t="s">
        <v>31</v>
      </c>
      <c r="F385" s="2">
        <v>0.0</v>
      </c>
      <c r="G385" s="2">
        <v>0.0</v>
      </c>
      <c r="H385" s="3">
        <f t="shared" si="1"/>
        <v>0</v>
      </c>
      <c r="I385" s="2" t="s">
        <v>22</v>
      </c>
      <c r="J385" s="4">
        <f>VLOOKUP(B385,Costos_Proveedores!$B$2:$J$1000,9,FALSE())</f>
        <v>15393</v>
      </c>
      <c r="K385" s="5">
        <f t="shared" si="2"/>
        <v>0</v>
      </c>
      <c r="L385" s="2">
        <v>15.0</v>
      </c>
      <c r="M385" s="2">
        <v>8.0</v>
      </c>
      <c r="N385" s="2">
        <v>7.0</v>
      </c>
      <c r="O385" s="2">
        <v>0.0</v>
      </c>
      <c r="P385" s="1">
        <f t="shared" si="3"/>
        <v>8</v>
      </c>
      <c r="Q385" s="1">
        <f t="shared" si="4"/>
        <v>7</v>
      </c>
      <c r="R385" s="1">
        <f t="shared" si="5"/>
        <v>15</v>
      </c>
      <c r="S385" s="6" t="s">
        <v>1380</v>
      </c>
    </row>
    <row r="386">
      <c r="A386" s="3" t="str">
        <f t="array" ref="A386">XLOOKUP(B386,Costos_Proveedores!$B$2:$B$2000,Costos_Proveedores!$A$2:$A$2000)</f>
        <v>CEMAX</v>
      </c>
      <c r="B386" s="2" t="s">
        <v>1381</v>
      </c>
      <c r="C386" s="2">
        <v>1386.0</v>
      </c>
      <c r="D386" s="2" t="s">
        <v>1382</v>
      </c>
      <c r="E386" s="2" t="s">
        <v>47</v>
      </c>
      <c r="F386" s="2">
        <v>1.0</v>
      </c>
      <c r="G386" s="2">
        <v>1.0</v>
      </c>
      <c r="H386" s="3">
        <f t="shared" si="1"/>
        <v>2</v>
      </c>
      <c r="I386" s="2" t="s">
        <v>22</v>
      </c>
      <c r="J386" s="4">
        <f>VLOOKUP(B386,Costos_Proveedores!$B$2:$J$1000,9,FALSE())</f>
        <v>69993</v>
      </c>
      <c r="K386" s="5">
        <f t="shared" si="2"/>
        <v>139986</v>
      </c>
      <c r="L386" s="2"/>
      <c r="M386" s="2"/>
      <c r="N386" s="2"/>
      <c r="O386" s="2"/>
      <c r="P386" s="1">
        <f t="shared" si="3"/>
        <v>0</v>
      </c>
      <c r="Q386" s="1">
        <f t="shared" si="4"/>
        <v>0</v>
      </c>
      <c r="R386" s="1">
        <f t="shared" si="5"/>
        <v>0</v>
      </c>
      <c r="S386" s="6" t="s">
        <v>1383</v>
      </c>
    </row>
    <row r="387">
      <c r="A387" s="3" t="str">
        <f t="array" ref="A387">XLOOKUP(B387,Costos_Proveedores!$B$2:$B$2000,Costos_Proveedores!$A$2:$A$2000)</f>
        <v>CEMAX</v>
      </c>
      <c r="B387" s="2" t="s">
        <v>1384</v>
      </c>
      <c r="C387" s="2">
        <v>1108.0</v>
      </c>
      <c r="D387" s="2" t="s">
        <v>1385</v>
      </c>
      <c r="E387" s="2" t="s">
        <v>31</v>
      </c>
      <c r="F387" s="2">
        <v>0.0</v>
      </c>
      <c r="G387" s="2">
        <v>1.0</v>
      </c>
      <c r="H387" s="3">
        <f t="shared" si="1"/>
        <v>1</v>
      </c>
      <c r="I387" s="2" t="s">
        <v>22</v>
      </c>
      <c r="J387" s="4">
        <f>VLOOKUP(B387,Costos_Proveedores!$B$2:$J$1000,9,FALSE())</f>
        <v>38493</v>
      </c>
      <c r="K387" s="5">
        <f t="shared" si="2"/>
        <v>38493</v>
      </c>
      <c r="L387" s="2"/>
      <c r="M387" s="2"/>
      <c r="N387" s="2"/>
      <c r="O387" s="2"/>
      <c r="P387" s="1">
        <f t="shared" si="3"/>
        <v>0</v>
      </c>
      <c r="Q387" s="1">
        <f t="shared" si="4"/>
        <v>0</v>
      </c>
      <c r="R387" s="1">
        <f t="shared" si="5"/>
        <v>0</v>
      </c>
      <c r="S387" s="6" t="s">
        <v>1386</v>
      </c>
    </row>
    <row r="388">
      <c r="A388" s="3" t="str">
        <f t="array" ref="A388">XLOOKUP(B388,Costos_Proveedores!$B$2:$B$2000,Costos_Proveedores!$A$2:$A$2000)</f>
        <v>BLENDS N TEA</v>
      </c>
      <c r="B388" s="2" t="s">
        <v>1387</v>
      </c>
      <c r="C388" s="2" t="s">
        <v>1388</v>
      </c>
      <c r="D388" s="2" t="s">
        <v>1389</v>
      </c>
      <c r="E388" s="2" t="s">
        <v>31</v>
      </c>
      <c r="F388" s="2">
        <v>0.0</v>
      </c>
      <c r="G388" s="2">
        <v>1.0</v>
      </c>
      <c r="H388" s="3">
        <f t="shared" si="1"/>
        <v>0</v>
      </c>
      <c r="I388" s="2" t="s">
        <v>232</v>
      </c>
      <c r="J388" s="4">
        <f>VLOOKUP(B388,Costos_Proveedores!$B$2:$J$1000,9,FALSE())</f>
        <v>8033</v>
      </c>
      <c r="K388" s="5">
        <f t="shared" si="2"/>
        <v>0</v>
      </c>
      <c r="L388" s="2">
        <v>5.0</v>
      </c>
      <c r="M388" s="2">
        <v>5.0</v>
      </c>
      <c r="N388" s="2">
        <v>0.0</v>
      </c>
      <c r="O388" s="2">
        <v>0.0</v>
      </c>
      <c r="P388" s="1">
        <f t="shared" si="3"/>
        <v>5</v>
      </c>
      <c r="Q388" s="1">
        <f t="shared" si="4"/>
        <v>0</v>
      </c>
      <c r="R388" s="1">
        <f t="shared" si="5"/>
        <v>5</v>
      </c>
      <c r="S388" s="6" t="s">
        <v>1390</v>
      </c>
    </row>
    <row r="389">
      <c r="A389" s="3" t="str">
        <f t="array" ref="A389">XLOOKUP(B389,Costos_Proveedores!$B$2:$B$2000,Costos_Proveedores!$A$2:$A$2000)</f>
        <v>MULI</v>
      </c>
      <c r="B389" s="2" t="s">
        <v>1391</v>
      </c>
      <c r="C389" s="2">
        <v>105494.0</v>
      </c>
      <c r="D389" s="2" t="s">
        <v>148</v>
      </c>
      <c r="E389" s="2" t="s">
        <v>47</v>
      </c>
      <c r="F389" s="2">
        <v>0.0</v>
      </c>
      <c r="G389" s="2">
        <v>100.0</v>
      </c>
      <c r="H389" s="3">
        <f t="shared" si="1"/>
        <v>100</v>
      </c>
      <c r="I389" s="2" t="s">
        <v>22</v>
      </c>
      <c r="J389" s="4" t="str">
        <f>VLOOKUP(B389,Costos_Proveedores!$B$2:$J$1000,9,FALSE())</f>
        <v>$ 840</v>
      </c>
      <c r="K389" s="5">
        <f t="shared" si="2"/>
        <v>84000</v>
      </c>
      <c r="L389" s="2">
        <v>2.0</v>
      </c>
      <c r="M389" s="2">
        <v>2.0</v>
      </c>
      <c r="N389" s="2">
        <v>0.0</v>
      </c>
      <c r="O389" s="2">
        <v>0.0</v>
      </c>
      <c r="P389" s="1">
        <f t="shared" si="3"/>
        <v>2</v>
      </c>
      <c r="Q389" s="1">
        <f t="shared" si="4"/>
        <v>0</v>
      </c>
      <c r="R389" s="1">
        <f t="shared" si="5"/>
        <v>2</v>
      </c>
      <c r="S389" s="6" t="s">
        <v>1392</v>
      </c>
    </row>
    <row r="390">
      <c r="A390" s="3" t="str">
        <f t="array" ref="A390">XLOOKUP(B390,Costos_Proveedores!$B$2:$B$2000,Costos_Proveedores!$A$2:$A$2000)</f>
        <v>JOSE</v>
      </c>
      <c r="B390" s="2" t="s">
        <v>1393</v>
      </c>
      <c r="C390" s="2" t="s">
        <v>1394</v>
      </c>
      <c r="D390" s="2" t="s">
        <v>1395</v>
      </c>
      <c r="E390" s="2" t="s">
        <v>31</v>
      </c>
      <c r="F390" s="2">
        <v>0.0</v>
      </c>
      <c r="G390" s="2">
        <v>94.0</v>
      </c>
      <c r="H390" s="3">
        <f t="shared" si="1"/>
        <v>94</v>
      </c>
      <c r="I390" s="2" t="s">
        <v>22</v>
      </c>
      <c r="J390" s="4">
        <f>VLOOKUP(B390,Costos_Proveedores!$B$2:$J$1000,9,FALSE())</f>
        <v>7021</v>
      </c>
      <c r="K390" s="5">
        <f t="shared" si="2"/>
        <v>659974</v>
      </c>
      <c r="L390" s="2"/>
      <c r="M390" s="2"/>
      <c r="N390" s="2"/>
      <c r="O390" s="2"/>
      <c r="P390" s="1">
        <f t="shared" si="3"/>
        <v>0</v>
      </c>
      <c r="Q390" s="1">
        <f t="shared" si="4"/>
        <v>0</v>
      </c>
      <c r="R390" s="1">
        <f t="shared" si="5"/>
        <v>0</v>
      </c>
      <c r="S390" s="6" t="s">
        <v>1396</v>
      </c>
    </row>
    <row r="391">
      <c r="A391" s="3" t="str">
        <f t="array" ref="A391">XLOOKUP(B391,Costos_Proveedores!$B$2:$B$2000,Costos_Proveedores!$A$2:$A$2000)</f>
        <v>MULI</v>
      </c>
      <c r="B391" s="2" t="s">
        <v>1397</v>
      </c>
      <c r="C391" s="2" t="s">
        <v>1398</v>
      </c>
      <c r="D391" s="2" t="s">
        <v>1399</v>
      </c>
      <c r="E391" s="2" t="s">
        <v>31</v>
      </c>
      <c r="F391" s="2">
        <v>0.0</v>
      </c>
      <c r="G391" s="2">
        <v>0.0</v>
      </c>
      <c r="H391" s="3">
        <f t="shared" si="1"/>
        <v>0</v>
      </c>
      <c r="I391" s="2" t="s">
        <v>22</v>
      </c>
      <c r="J391" s="4">
        <f>VLOOKUP(B391,Costos_Proveedores!$B$2:$J$1000,9,FALSE())</f>
        <v>3360</v>
      </c>
      <c r="K391" s="5">
        <f t="shared" si="2"/>
        <v>0</v>
      </c>
      <c r="L391" s="2">
        <v>2.0</v>
      </c>
      <c r="M391" s="2">
        <v>3.0</v>
      </c>
      <c r="N391" s="2">
        <v>0.0</v>
      </c>
      <c r="O391" s="2">
        <v>0.0</v>
      </c>
      <c r="P391" s="1">
        <f t="shared" si="3"/>
        <v>3</v>
      </c>
      <c r="Q391" s="1">
        <f t="shared" si="4"/>
        <v>0</v>
      </c>
      <c r="R391" s="1">
        <f t="shared" si="5"/>
        <v>3</v>
      </c>
      <c r="S391" s="6" t="s">
        <v>1400</v>
      </c>
    </row>
    <row r="392">
      <c r="A392" s="3" t="str">
        <f t="array" ref="A392">XLOOKUP(B392,Costos_Proveedores!$B$2:$B$2000,Costos_Proveedores!$A$2:$A$2000)</f>
        <v>MULI</v>
      </c>
      <c r="B392" s="2" t="s">
        <v>1401</v>
      </c>
      <c r="C392" s="2" t="s">
        <v>1402</v>
      </c>
      <c r="D392" s="2" t="s">
        <v>1403</v>
      </c>
      <c r="E392" s="2" t="s">
        <v>31</v>
      </c>
      <c r="F392" s="2">
        <v>0.0</v>
      </c>
      <c r="G392" s="2">
        <v>0.0</v>
      </c>
      <c r="H392" s="3">
        <f t="shared" si="1"/>
        <v>0</v>
      </c>
      <c r="I392" s="2" t="s">
        <v>22</v>
      </c>
      <c r="J392" s="4">
        <f>VLOOKUP(B392,Costos_Proveedores!$B$2:$J$1000,9,FALSE())</f>
        <v>3780</v>
      </c>
      <c r="K392" s="5">
        <f t="shared" si="2"/>
        <v>0</v>
      </c>
      <c r="L392" s="2">
        <v>1.0</v>
      </c>
      <c r="M392" s="2">
        <v>2.0</v>
      </c>
      <c r="N392" s="2">
        <v>0.0</v>
      </c>
      <c r="O392" s="2">
        <v>0.0</v>
      </c>
      <c r="P392" s="1">
        <f t="shared" si="3"/>
        <v>2</v>
      </c>
      <c r="Q392" s="1">
        <f t="shared" si="4"/>
        <v>0</v>
      </c>
      <c r="R392" s="1">
        <f t="shared" si="5"/>
        <v>2</v>
      </c>
      <c r="S392" s="6" t="s">
        <v>1404</v>
      </c>
    </row>
    <row r="393">
      <c r="A393" s="3" t="str">
        <f t="array" ref="A393">XLOOKUP(B393,Costos_Proveedores!$B$2:$B$2000,Costos_Proveedores!$A$2:$A$2000)</f>
        <v>MULI</v>
      </c>
      <c r="B393" s="2" t="s">
        <v>1405</v>
      </c>
      <c r="C393" s="2" t="s">
        <v>1406</v>
      </c>
      <c r="D393" s="2" t="s">
        <v>1407</v>
      </c>
      <c r="E393" s="2" t="s">
        <v>31</v>
      </c>
      <c r="F393" s="2">
        <v>0.0</v>
      </c>
      <c r="G393" s="2">
        <v>0.0</v>
      </c>
      <c r="H393" s="3">
        <f t="shared" si="1"/>
        <v>0</v>
      </c>
      <c r="I393" s="2" t="s">
        <v>22</v>
      </c>
      <c r="J393" s="4">
        <f>VLOOKUP(B393,Costos_Proveedores!$B$2:$J$1000,9,FALSE())</f>
        <v>2520</v>
      </c>
      <c r="K393" s="5">
        <f t="shared" si="2"/>
        <v>0</v>
      </c>
      <c r="L393" s="2">
        <v>8.0</v>
      </c>
      <c r="M393" s="2">
        <v>6.0</v>
      </c>
      <c r="N393" s="2">
        <v>0.0</v>
      </c>
      <c r="O393" s="2">
        <v>0.0</v>
      </c>
      <c r="P393" s="1">
        <f t="shared" si="3"/>
        <v>6</v>
      </c>
      <c r="Q393" s="1">
        <f t="shared" si="4"/>
        <v>0</v>
      </c>
      <c r="R393" s="1">
        <f t="shared" si="5"/>
        <v>6</v>
      </c>
      <c r="S393" s="6" t="s">
        <v>1408</v>
      </c>
    </row>
    <row r="394">
      <c r="A394" s="3" t="str">
        <f t="array" ref="A394">XLOOKUP(B394,Costos_Proveedores!$B$2:$B$2000,Costos_Proveedores!$A$2:$A$2000)</f>
        <v>MULI</v>
      </c>
      <c r="B394" s="2" t="s">
        <v>1409</v>
      </c>
      <c r="C394" s="2" t="s">
        <v>1410</v>
      </c>
      <c r="D394" s="2" t="s">
        <v>1411</v>
      </c>
      <c r="E394" s="2" t="s">
        <v>47</v>
      </c>
      <c r="F394" s="2">
        <v>1.0</v>
      </c>
      <c r="G394" s="2">
        <v>0.0</v>
      </c>
      <c r="H394" s="3">
        <f t="shared" si="1"/>
        <v>1</v>
      </c>
      <c r="I394" s="2" t="s">
        <v>22</v>
      </c>
      <c r="J394" s="4">
        <f>VLOOKUP(B394,Costos_Proveedores!$B$2:$J$1000,9,FALSE())</f>
        <v>4550</v>
      </c>
      <c r="K394" s="5">
        <f t="shared" si="2"/>
        <v>4550</v>
      </c>
      <c r="L394" s="2"/>
      <c r="M394" s="2"/>
      <c r="N394" s="2"/>
      <c r="O394" s="2"/>
      <c r="P394" s="1">
        <f t="shared" si="3"/>
        <v>0</v>
      </c>
      <c r="Q394" s="1">
        <f t="shared" si="4"/>
        <v>0</v>
      </c>
      <c r="R394" s="1">
        <f t="shared" si="5"/>
        <v>0</v>
      </c>
      <c r="S394" s="6" t="s">
        <v>1412</v>
      </c>
    </row>
    <row r="395">
      <c r="A395" s="3" t="str">
        <f t="array" ref="A395">XLOOKUP(B395,Costos_Proveedores!$B$2:$B$2000,Costos_Proveedores!$A$2:$A$2000)</f>
        <v>MULI</v>
      </c>
      <c r="B395" s="2" t="s">
        <v>1413</v>
      </c>
      <c r="C395" s="2" t="s">
        <v>1414</v>
      </c>
      <c r="D395" s="2" t="s">
        <v>1415</v>
      </c>
      <c r="E395" s="2" t="s">
        <v>31</v>
      </c>
      <c r="F395" s="2">
        <v>0.0</v>
      </c>
      <c r="G395" s="2">
        <v>0.0</v>
      </c>
      <c r="H395" s="3">
        <f t="shared" si="1"/>
        <v>0</v>
      </c>
      <c r="I395" s="2" t="s">
        <v>22</v>
      </c>
      <c r="J395" s="4">
        <f>VLOOKUP(B395,Costos_Proveedores!$B$2:$J$1000,9,FALSE())</f>
        <v>5040</v>
      </c>
      <c r="K395" s="5">
        <f t="shared" si="2"/>
        <v>0</v>
      </c>
      <c r="L395" s="2">
        <v>1.0</v>
      </c>
      <c r="M395" s="2"/>
      <c r="N395" s="2"/>
      <c r="O395" s="2"/>
      <c r="P395" s="1">
        <f t="shared" si="3"/>
        <v>0</v>
      </c>
      <c r="Q395" s="1">
        <f t="shared" si="4"/>
        <v>0</v>
      </c>
      <c r="R395" s="1">
        <f t="shared" si="5"/>
        <v>0</v>
      </c>
      <c r="S395" s="6" t="s">
        <v>1416</v>
      </c>
    </row>
    <row r="396">
      <c r="A396" s="3" t="str">
        <f t="array" ref="A396">XLOOKUP(B396,Costos_Proveedores!$B$2:$B$2000,Costos_Proveedores!$A$2:$A$2000)</f>
        <v>MULI</v>
      </c>
      <c r="B396" s="2" t="s">
        <v>1417</v>
      </c>
      <c r="C396" s="2" t="s">
        <v>1418</v>
      </c>
      <c r="D396" s="2" t="s">
        <v>1419</v>
      </c>
      <c r="E396" s="2" t="s">
        <v>31</v>
      </c>
      <c r="F396" s="2">
        <v>0.0</v>
      </c>
      <c r="G396" s="2">
        <v>0.0</v>
      </c>
      <c r="H396" s="3">
        <f t="shared" si="1"/>
        <v>0</v>
      </c>
      <c r="I396" s="2" t="s">
        <v>22</v>
      </c>
      <c r="J396" s="4">
        <f>VLOOKUP(B396,Costos_Proveedores!$B$2:$J$1000,9,FALSE())</f>
        <v>5460</v>
      </c>
      <c r="K396" s="5">
        <f t="shared" si="2"/>
        <v>0</v>
      </c>
      <c r="L396" s="2">
        <v>1.0</v>
      </c>
      <c r="M396" s="2"/>
      <c r="N396" s="2"/>
      <c r="O396" s="2"/>
      <c r="P396" s="1">
        <f t="shared" si="3"/>
        <v>0</v>
      </c>
      <c r="Q396" s="1">
        <f t="shared" si="4"/>
        <v>0</v>
      </c>
      <c r="R396" s="1">
        <f t="shared" si="5"/>
        <v>0</v>
      </c>
      <c r="S396" s="6" t="s">
        <v>1420</v>
      </c>
    </row>
    <row r="397">
      <c r="A397" s="3" t="str">
        <f t="array" ref="A397">XLOOKUP(B397,Costos_Proveedores!$B$2:$B$2000,Costos_Proveedores!$A$2:$A$2000)</f>
        <v>MULI</v>
      </c>
      <c r="B397" s="2" t="s">
        <v>1421</v>
      </c>
      <c r="C397" s="2" t="s">
        <v>1422</v>
      </c>
      <c r="D397" s="2" t="s">
        <v>1423</v>
      </c>
      <c r="E397" s="2" t="s">
        <v>47</v>
      </c>
      <c r="F397" s="2">
        <v>0.0</v>
      </c>
      <c r="G397" s="2">
        <v>11.0</v>
      </c>
      <c r="H397" s="3">
        <f t="shared" si="1"/>
        <v>11</v>
      </c>
      <c r="I397" s="2" t="s">
        <v>22</v>
      </c>
      <c r="J397" s="4">
        <f>VLOOKUP(B397,Costos_Proveedores!$B$2:$J$1000,9,FALSE())</f>
        <v>1260</v>
      </c>
      <c r="K397" s="5">
        <f t="shared" si="2"/>
        <v>13860</v>
      </c>
      <c r="L397" s="2">
        <v>1.0</v>
      </c>
      <c r="M397" s="2">
        <v>1.0</v>
      </c>
      <c r="N397" s="2">
        <v>0.0</v>
      </c>
      <c r="O397" s="2">
        <v>0.0</v>
      </c>
      <c r="P397" s="1">
        <f t="shared" si="3"/>
        <v>1</v>
      </c>
      <c r="Q397" s="1">
        <f t="shared" si="4"/>
        <v>0</v>
      </c>
      <c r="R397" s="1">
        <f t="shared" si="5"/>
        <v>1</v>
      </c>
      <c r="S397" s="6" t="s">
        <v>1424</v>
      </c>
    </row>
    <row r="398">
      <c r="A398" s="3" t="str">
        <f t="array" ref="A398">XLOOKUP(B398,Costos_Proveedores!$B$2:$B$2000,Costos_Proveedores!$A$2:$A$2000)</f>
        <v>MULI</v>
      </c>
      <c r="B398" s="2" t="s">
        <v>1425</v>
      </c>
      <c r="C398" s="2" t="s">
        <v>1426</v>
      </c>
      <c r="D398" s="2" t="s">
        <v>1427</v>
      </c>
      <c r="E398" s="2" t="s">
        <v>47</v>
      </c>
      <c r="F398" s="2">
        <v>1.0</v>
      </c>
      <c r="G398" s="2">
        <v>0.0</v>
      </c>
      <c r="H398" s="3">
        <f t="shared" si="1"/>
        <v>1</v>
      </c>
      <c r="I398" s="2" t="s">
        <v>22</v>
      </c>
      <c r="J398" s="4">
        <f>VLOOKUP(B398,Costos_Proveedores!$B$2:$J$1000,9,FALSE())</f>
        <v>2940</v>
      </c>
      <c r="K398" s="5">
        <f t="shared" si="2"/>
        <v>2940</v>
      </c>
      <c r="L398" s="2"/>
      <c r="M398" s="2"/>
      <c r="N398" s="2"/>
      <c r="O398" s="2"/>
      <c r="P398" s="1">
        <f t="shared" si="3"/>
        <v>0</v>
      </c>
      <c r="Q398" s="1">
        <f t="shared" si="4"/>
        <v>0</v>
      </c>
      <c r="R398" s="1">
        <f t="shared" si="5"/>
        <v>0</v>
      </c>
      <c r="S398" s="6" t="s">
        <v>1428</v>
      </c>
    </row>
    <row r="399">
      <c r="A399" s="3" t="str">
        <f t="array" ref="A399">XLOOKUP(B399,Costos_Proveedores!$B$2:$B$2000,Costos_Proveedores!$A$2:$A$2000)</f>
        <v>MULI</v>
      </c>
      <c r="B399" s="2" t="s">
        <v>1429</v>
      </c>
      <c r="C399" s="2" t="s">
        <v>1430</v>
      </c>
      <c r="D399" s="2" t="s">
        <v>1431</v>
      </c>
      <c r="E399" s="2" t="s">
        <v>31</v>
      </c>
      <c r="F399" s="2">
        <v>0.0</v>
      </c>
      <c r="G399" s="2">
        <v>0.0</v>
      </c>
      <c r="H399" s="3">
        <f t="shared" si="1"/>
        <v>0</v>
      </c>
      <c r="I399" s="2" t="s">
        <v>22</v>
      </c>
      <c r="J399" s="4">
        <f>VLOOKUP(B399,Costos_Proveedores!$B$2:$J$1000,9,FALSE())</f>
        <v>3780</v>
      </c>
      <c r="K399" s="5">
        <f t="shared" si="2"/>
        <v>0</v>
      </c>
      <c r="L399" s="2">
        <v>1.0</v>
      </c>
      <c r="M399" s="2">
        <v>2.0</v>
      </c>
      <c r="N399" s="2">
        <v>0.0</v>
      </c>
      <c r="O399" s="2">
        <v>0.0</v>
      </c>
      <c r="P399" s="1">
        <f t="shared" si="3"/>
        <v>2</v>
      </c>
      <c r="Q399" s="1">
        <f t="shared" si="4"/>
        <v>0</v>
      </c>
      <c r="R399" s="1">
        <f t="shared" si="5"/>
        <v>2</v>
      </c>
      <c r="S399" s="6" t="s">
        <v>1432</v>
      </c>
    </row>
    <row r="400">
      <c r="A400" s="3" t="str">
        <f t="array" ref="A400">XLOOKUP(B400,Costos_Proveedores!$B$2:$B$2000,Costos_Proveedores!$A$2:$A$2000)</f>
        <v>MULI</v>
      </c>
      <c r="B400" s="2" t="s">
        <v>1433</v>
      </c>
      <c r="C400" s="2" t="s">
        <v>1434</v>
      </c>
      <c r="D400" s="2" t="s">
        <v>1435</v>
      </c>
      <c r="E400" s="2" t="s">
        <v>31</v>
      </c>
      <c r="F400" s="2">
        <v>0.0</v>
      </c>
      <c r="G400" s="2">
        <v>0.0</v>
      </c>
      <c r="H400" s="3">
        <f t="shared" si="1"/>
        <v>0</v>
      </c>
      <c r="I400" s="2" t="s">
        <v>22</v>
      </c>
      <c r="J400" s="4">
        <f>VLOOKUP(B400,Costos_Proveedores!$B$2:$J$1000,9,FALSE())</f>
        <v>4550</v>
      </c>
      <c r="K400" s="5">
        <f t="shared" si="2"/>
        <v>0</v>
      </c>
      <c r="L400" s="2">
        <v>1.0</v>
      </c>
      <c r="M400" s="2">
        <v>1.0</v>
      </c>
      <c r="N400" s="2">
        <v>0.0</v>
      </c>
      <c r="O400" s="2">
        <v>0.0</v>
      </c>
      <c r="P400" s="1">
        <f t="shared" si="3"/>
        <v>1</v>
      </c>
      <c r="Q400" s="1">
        <f t="shared" si="4"/>
        <v>0</v>
      </c>
      <c r="R400" s="1">
        <f t="shared" si="5"/>
        <v>1</v>
      </c>
      <c r="S400" s="6" t="s">
        <v>1436</v>
      </c>
    </row>
    <row r="401">
      <c r="A401" s="3" t="str">
        <f t="array" ref="A401">XLOOKUP(B401,Costos_Proveedores!$B$2:$B$2000,Costos_Proveedores!$A$2:$A$2000)</f>
        <v>MULI</v>
      </c>
      <c r="B401" s="2" t="s">
        <v>1437</v>
      </c>
      <c r="C401" s="2" t="s">
        <v>1438</v>
      </c>
      <c r="D401" s="2" t="s">
        <v>1439</v>
      </c>
      <c r="E401" s="2" t="s">
        <v>47</v>
      </c>
      <c r="F401" s="2">
        <v>1.0</v>
      </c>
      <c r="G401" s="2">
        <v>0.0</v>
      </c>
      <c r="H401" s="3">
        <f t="shared" si="1"/>
        <v>1</v>
      </c>
      <c r="I401" s="2" t="s">
        <v>22</v>
      </c>
      <c r="J401" s="4">
        <f>VLOOKUP(B401,Costos_Proveedores!$B$2:$J$1000,9,FALSE())</f>
        <v>3360</v>
      </c>
      <c r="K401" s="5">
        <f t="shared" si="2"/>
        <v>3360</v>
      </c>
      <c r="L401" s="2"/>
      <c r="M401" s="2"/>
      <c r="N401" s="2"/>
      <c r="O401" s="2"/>
      <c r="P401" s="1">
        <f t="shared" si="3"/>
        <v>0</v>
      </c>
      <c r="Q401" s="1">
        <f t="shared" si="4"/>
        <v>0</v>
      </c>
      <c r="R401" s="1">
        <f t="shared" si="5"/>
        <v>0</v>
      </c>
      <c r="S401" s="6" t="s">
        <v>1440</v>
      </c>
    </row>
    <row r="402">
      <c r="A402" s="3" t="str">
        <f t="array" ref="A402">XLOOKUP(B402,Costos_Proveedores!$B$2:$B$2000,Costos_Proveedores!$A$2:$A$2000)</f>
        <v>JOSE</v>
      </c>
      <c r="B402" s="2" t="s">
        <v>1441</v>
      </c>
      <c r="C402" s="2" t="s">
        <v>1442</v>
      </c>
      <c r="D402" s="2" t="s">
        <v>1443</v>
      </c>
      <c r="E402" s="2" t="s">
        <v>31</v>
      </c>
      <c r="G402" s="2">
        <v>0.0</v>
      </c>
      <c r="H402" s="3">
        <f t="shared" si="1"/>
        <v>0</v>
      </c>
      <c r="I402" s="2" t="s">
        <v>22</v>
      </c>
      <c r="J402" s="4">
        <f>VLOOKUP(B402,Costos_Proveedores!$B$2:$J$1000,9,FALSE())</f>
        <v>4760</v>
      </c>
      <c r="K402" s="5">
        <f t="shared" si="2"/>
        <v>0</v>
      </c>
      <c r="L402" s="2"/>
      <c r="M402" s="2"/>
      <c r="N402" s="2"/>
      <c r="O402" s="2"/>
      <c r="P402" s="1">
        <f t="shared" si="3"/>
        <v>0</v>
      </c>
      <c r="Q402" s="1">
        <f t="shared" si="4"/>
        <v>0</v>
      </c>
      <c r="R402" s="1">
        <f t="shared" si="5"/>
        <v>0</v>
      </c>
      <c r="S402" s="6" t="s">
        <v>1444</v>
      </c>
    </row>
    <row r="403">
      <c r="A403" s="3" t="str">
        <f t="array" ref="A403">XLOOKUP(B403,Costos_Proveedores!$B$2:$B$2000,Costos_Proveedores!$A$2:$A$2000)</f>
        <v>GSM</v>
      </c>
      <c r="B403" s="2" t="s">
        <v>1445</v>
      </c>
      <c r="C403" s="2">
        <v>6.942007612203E12</v>
      </c>
      <c r="D403" s="2" t="s">
        <v>1446</v>
      </c>
      <c r="E403" s="2" t="s">
        <v>31</v>
      </c>
      <c r="F403" s="2">
        <v>0.0</v>
      </c>
      <c r="G403" s="2">
        <v>0.0</v>
      </c>
      <c r="H403" s="3">
        <f t="shared" si="1"/>
        <v>0</v>
      </c>
      <c r="I403" s="2" t="s">
        <v>22</v>
      </c>
      <c r="J403" s="4">
        <f>VLOOKUP(B403,Costos_Proveedores!$B$2:$J$1000,9,FALSE())</f>
        <v>11700</v>
      </c>
      <c r="K403" s="5">
        <f t="shared" si="2"/>
        <v>0</v>
      </c>
      <c r="L403" s="2">
        <v>8.0</v>
      </c>
      <c r="M403" s="2">
        <v>8.0</v>
      </c>
      <c r="N403" s="2">
        <v>0.0</v>
      </c>
      <c r="O403" s="2">
        <v>0.0</v>
      </c>
      <c r="P403" s="1">
        <f t="shared" si="3"/>
        <v>8</v>
      </c>
      <c r="Q403" s="1">
        <f t="shared" si="4"/>
        <v>0</v>
      </c>
      <c r="R403" s="1">
        <f t="shared" si="5"/>
        <v>8</v>
      </c>
      <c r="S403" s="6" t="s">
        <v>1447</v>
      </c>
    </row>
    <row r="404">
      <c r="A404" s="3" t="str">
        <f t="array" ref="A404">XLOOKUP(B404,Costos_Proveedores!$B$2:$B$2000,Costos_Proveedores!$A$2:$A$2000)</f>
        <v>CEMAX</v>
      </c>
      <c r="B404" s="2" t="s">
        <v>1448</v>
      </c>
      <c r="C404" s="2">
        <v>1234.0</v>
      </c>
      <c r="D404" s="2" t="s">
        <v>1449</v>
      </c>
      <c r="E404" s="2" t="s">
        <v>47</v>
      </c>
      <c r="F404" s="2">
        <v>9.0</v>
      </c>
      <c r="G404" s="2">
        <v>0.0</v>
      </c>
      <c r="H404" s="3">
        <f t="shared" si="1"/>
        <v>9</v>
      </c>
      <c r="I404" s="2" t="s">
        <v>22</v>
      </c>
      <c r="J404" s="4">
        <f>VLOOKUP(B404,Costos_Proveedores!$B$2:$J$1000,9,FALSE())</f>
        <v>11893</v>
      </c>
      <c r="K404" s="5">
        <f t="shared" si="2"/>
        <v>107037</v>
      </c>
      <c r="L404" s="2">
        <v>13.0</v>
      </c>
      <c r="M404" s="2">
        <v>14.0</v>
      </c>
      <c r="N404" s="2">
        <v>0.0</v>
      </c>
      <c r="O404" s="2">
        <v>0.0</v>
      </c>
      <c r="P404" s="1">
        <f t="shared" si="3"/>
        <v>5</v>
      </c>
      <c r="Q404" s="1">
        <f t="shared" si="4"/>
        <v>0</v>
      </c>
      <c r="R404" s="1">
        <f t="shared" si="5"/>
        <v>5</v>
      </c>
      <c r="S404" s="6" t="s">
        <v>1450</v>
      </c>
    </row>
    <row r="405">
      <c r="A405" s="3" t="str">
        <f t="array" ref="A405">XLOOKUP(B405,Costos_Proveedores!$B$2:$B$2000,Costos_Proveedores!$A$2:$A$2000)</f>
        <v>MULI</v>
      </c>
      <c r="B405" s="2" t="s">
        <v>1451</v>
      </c>
      <c r="C405" s="2" t="s">
        <v>1452</v>
      </c>
      <c r="D405" s="2" t="s">
        <v>1453</v>
      </c>
      <c r="E405" s="2" t="s">
        <v>31</v>
      </c>
      <c r="F405" s="2">
        <v>0.0</v>
      </c>
      <c r="G405" s="2">
        <v>0.0</v>
      </c>
      <c r="H405" s="3">
        <f t="shared" si="1"/>
        <v>0</v>
      </c>
      <c r="I405" s="2" t="s">
        <v>22</v>
      </c>
      <c r="J405" s="4">
        <f>VLOOKUP(B405,Costos_Proveedores!$B$2:$J$1000,9,FALSE())</f>
        <v>5850</v>
      </c>
      <c r="K405" s="5">
        <f t="shared" si="2"/>
        <v>0</v>
      </c>
      <c r="L405" s="2">
        <v>1.0</v>
      </c>
      <c r="M405" s="2">
        <v>2.0</v>
      </c>
      <c r="N405" s="2">
        <v>0.0</v>
      </c>
      <c r="O405" s="2">
        <v>0.0</v>
      </c>
      <c r="P405" s="1">
        <f t="shared" si="3"/>
        <v>2</v>
      </c>
      <c r="Q405" s="1">
        <f t="shared" si="4"/>
        <v>0</v>
      </c>
      <c r="R405" s="1">
        <f t="shared" si="5"/>
        <v>2</v>
      </c>
      <c r="S405" s="6" t="s">
        <v>1454</v>
      </c>
    </row>
    <row r="406">
      <c r="A406" s="3" t="str">
        <f t="array" ref="A406">XLOOKUP(B406,Costos_Proveedores!$B$2:$B$2000,Costos_Proveedores!$A$2:$A$2000)</f>
        <v>MULI</v>
      </c>
      <c r="B406" s="2" t="s">
        <v>1455</v>
      </c>
      <c r="C406" s="2" t="s">
        <v>1456</v>
      </c>
      <c r="D406" s="2" t="s">
        <v>1457</v>
      </c>
      <c r="E406" s="2" t="s">
        <v>31</v>
      </c>
      <c r="F406" s="2">
        <v>0.0</v>
      </c>
      <c r="G406" s="2">
        <v>0.0</v>
      </c>
      <c r="H406" s="3">
        <f t="shared" si="1"/>
        <v>0</v>
      </c>
      <c r="I406" s="2" t="s">
        <v>22</v>
      </c>
      <c r="J406" s="4">
        <f>VLOOKUP(B406,Costos_Proveedores!$B$2:$J$1000,9,FALSE())</f>
        <v>3600</v>
      </c>
      <c r="K406" s="5">
        <f t="shared" si="2"/>
        <v>0</v>
      </c>
      <c r="L406" s="2">
        <v>1.0</v>
      </c>
      <c r="M406" s="2"/>
      <c r="N406" s="2"/>
      <c r="O406" s="2"/>
      <c r="P406" s="1">
        <f t="shared" si="3"/>
        <v>0</v>
      </c>
      <c r="Q406" s="1">
        <f t="shared" si="4"/>
        <v>0</v>
      </c>
      <c r="R406" s="1">
        <f t="shared" si="5"/>
        <v>0</v>
      </c>
      <c r="S406" s="6" t="s">
        <v>1458</v>
      </c>
    </row>
    <row r="407">
      <c r="A407" s="3" t="str">
        <f t="array" ref="A407">XLOOKUP(B407,Costos_Proveedores!$B$2:$B$2000,Costos_Proveedores!$A$2:$A$2000)</f>
        <v>GSM</v>
      </c>
      <c r="B407" s="2" t="s">
        <v>1459</v>
      </c>
      <c r="C407" s="2">
        <v>6.931474758514E12</v>
      </c>
      <c r="D407" s="2" t="s">
        <v>1460</v>
      </c>
      <c r="E407" s="2" t="s">
        <v>31</v>
      </c>
      <c r="F407" s="2">
        <v>0.0</v>
      </c>
      <c r="G407" s="2">
        <v>0.0</v>
      </c>
      <c r="H407" s="3">
        <f t="shared" si="1"/>
        <v>0</v>
      </c>
      <c r="I407" s="2" t="s">
        <v>22</v>
      </c>
      <c r="J407" s="4">
        <f>VLOOKUP(B407,Costos_Proveedores!$B$2:$J$1000,9,FALSE())</f>
        <v>2800</v>
      </c>
      <c r="K407" s="5">
        <f t="shared" si="2"/>
        <v>0</v>
      </c>
      <c r="L407" s="2">
        <v>14.0</v>
      </c>
      <c r="M407" s="2">
        <v>14.0</v>
      </c>
      <c r="N407" s="2">
        <v>0.0</v>
      </c>
      <c r="O407" s="2">
        <v>0.0</v>
      </c>
      <c r="P407" s="1">
        <f t="shared" si="3"/>
        <v>14</v>
      </c>
      <c r="Q407" s="1">
        <f t="shared" si="4"/>
        <v>0</v>
      </c>
      <c r="R407" s="1">
        <f t="shared" si="5"/>
        <v>14</v>
      </c>
      <c r="S407" s="6" t="s">
        <v>1461</v>
      </c>
    </row>
    <row r="408">
      <c r="A408" s="3" t="str">
        <f t="array" ref="A408">XLOOKUP(B408,Costos_Proveedores!$B$2:$B$2000,Costos_Proveedores!$A$2:$A$2000)</f>
        <v>GSM</v>
      </c>
      <c r="B408" s="2" t="s">
        <v>1462</v>
      </c>
      <c r="C408" s="2">
        <v>6.931474783561E12</v>
      </c>
      <c r="D408" s="2" t="s">
        <v>1463</v>
      </c>
      <c r="E408" s="2" t="s">
        <v>47</v>
      </c>
      <c r="F408" s="2">
        <v>8.0</v>
      </c>
      <c r="G408" s="2">
        <v>0.0</v>
      </c>
      <c r="H408" s="3">
        <f t="shared" si="1"/>
        <v>8</v>
      </c>
      <c r="I408" s="2" t="s">
        <v>22</v>
      </c>
      <c r="J408" s="4">
        <f>VLOOKUP(B408,Costos_Proveedores!$B$2:$J$1000,9,FALSE())</f>
        <v>6400</v>
      </c>
      <c r="K408" s="5">
        <f t="shared" si="2"/>
        <v>51200</v>
      </c>
      <c r="L408" s="2">
        <v>1.0</v>
      </c>
      <c r="M408" s="2">
        <v>1.0</v>
      </c>
      <c r="N408" s="2">
        <v>0.0</v>
      </c>
      <c r="O408" s="2">
        <v>0.0</v>
      </c>
      <c r="P408" s="1">
        <f t="shared" si="3"/>
        <v>0</v>
      </c>
      <c r="Q408" s="1">
        <f t="shared" si="4"/>
        <v>0</v>
      </c>
      <c r="R408" s="1">
        <f t="shared" si="5"/>
        <v>0</v>
      </c>
      <c r="S408" s="6" t="s">
        <v>1464</v>
      </c>
    </row>
    <row r="409">
      <c r="A409" s="3" t="str">
        <f t="array" ref="A409">XLOOKUP(B409,Costos_Proveedores!$B$2:$B$2000,Costos_Proveedores!$A$2:$A$2000)</f>
        <v>MULI</v>
      </c>
      <c r="B409" s="2" t="s">
        <v>1465</v>
      </c>
      <c r="C409" s="2" t="s">
        <v>1466</v>
      </c>
      <c r="D409" s="2" t="s">
        <v>1467</v>
      </c>
      <c r="E409" s="2" t="s">
        <v>47</v>
      </c>
      <c r="G409" s="2">
        <v>1.0</v>
      </c>
      <c r="H409" s="3">
        <f t="shared" si="1"/>
        <v>1</v>
      </c>
      <c r="I409" s="2" t="s">
        <v>22</v>
      </c>
      <c r="J409" s="4">
        <f>VLOOKUP(B409,Costos_Proveedores!$B$2:$J$1000,9,FALSE())</f>
        <v>1512</v>
      </c>
      <c r="K409" s="5">
        <f t="shared" si="2"/>
        <v>1512</v>
      </c>
      <c r="L409" s="2"/>
      <c r="M409" s="2"/>
      <c r="N409" s="2"/>
      <c r="O409" s="2"/>
      <c r="P409" s="1">
        <f t="shared" si="3"/>
        <v>0</v>
      </c>
      <c r="Q409" s="1">
        <f t="shared" si="4"/>
        <v>0</v>
      </c>
      <c r="R409" s="1">
        <f t="shared" si="5"/>
        <v>0</v>
      </c>
      <c r="S409" s="6" t="s">
        <v>1468</v>
      </c>
    </row>
    <row r="410">
      <c r="A410" s="3" t="str">
        <f t="array" ref="A410">XLOOKUP(B410,Costos_Proveedores!$B$2:$B$2000,Costos_Proveedores!$A$2:$A$2000)</f>
        <v>GSM</v>
      </c>
      <c r="B410" s="2" t="s">
        <v>1469</v>
      </c>
      <c r="C410" s="2">
        <v>6.942007639965E12</v>
      </c>
      <c r="D410" s="2" t="s">
        <v>1470</v>
      </c>
      <c r="E410" s="2" t="s">
        <v>31</v>
      </c>
      <c r="F410" s="2">
        <v>0.0</v>
      </c>
      <c r="G410" s="2">
        <v>0.0</v>
      </c>
      <c r="H410" s="3">
        <f t="shared" si="1"/>
        <v>0</v>
      </c>
      <c r="I410" s="2" t="s">
        <v>22</v>
      </c>
      <c r="J410" s="4">
        <f>VLOOKUP(B410,Costos_Proveedores!$B$2:$J$1000,9,FALSE())</f>
        <v>36000</v>
      </c>
      <c r="K410" s="5">
        <f t="shared" si="2"/>
        <v>0</v>
      </c>
      <c r="L410" s="2">
        <v>3.0</v>
      </c>
      <c r="M410" s="2">
        <v>3.0</v>
      </c>
      <c r="N410" s="2">
        <v>0.0</v>
      </c>
      <c r="O410" s="2">
        <v>0.0</v>
      </c>
      <c r="P410" s="1">
        <f t="shared" si="3"/>
        <v>3</v>
      </c>
      <c r="Q410" s="1">
        <f t="shared" si="4"/>
        <v>0</v>
      </c>
      <c r="R410" s="1">
        <f t="shared" si="5"/>
        <v>3</v>
      </c>
      <c r="S410" s="6" t="s">
        <v>1471</v>
      </c>
    </row>
    <row r="411">
      <c r="A411" s="3" t="str">
        <f t="array" ref="A411">XLOOKUP(B411,Costos_Proveedores!$B$2:$B$2000,Costos_Proveedores!$A$2:$A$2000)</f>
        <v>GSM</v>
      </c>
      <c r="B411" s="2" t="s">
        <v>1472</v>
      </c>
      <c r="C411" s="2">
        <v>6.931474780041E12</v>
      </c>
      <c r="D411" s="2" t="s">
        <v>1473</v>
      </c>
      <c r="E411" s="2" t="s">
        <v>31</v>
      </c>
      <c r="F411" s="2">
        <v>0.0</v>
      </c>
      <c r="G411" s="2">
        <v>0.0</v>
      </c>
      <c r="H411" s="3">
        <f t="shared" si="1"/>
        <v>0</v>
      </c>
      <c r="I411" s="2" t="s">
        <v>22</v>
      </c>
      <c r="J411" s="4">
        <f>VLOOKUP(B411,Costos_Proveedores!$B$2:$J$1000,9,FALSE())</f>
        <v>8000</v>
      </c>
      <c r="K411" s="5">
        <f t="shared" si="2"/>
        <v>0</v>
      </c>
      <c r="L411" s="2">
        <v>3.0</v>
      </c>
      <c r="M411" s="2">
        <v>3.0</v>
      </c>
      <c r="N411" s="2">
        <v>0.0</v>
      </c>
      <c r="O411" s="2">
        <v>0.0</v>
      </c>
      <c r="P411" s="1">
        <f t="shared" si="3"/>
        <v>3</v>
      </c>
      <c r="Q411" s="1">
        <f t="shared" si="4"/>
        <v>0</v>
      </c>
      <c r="R411" s="1">
        <f t="shared" si="5"/>
        <v>3</v>
      </c>
      <c r="S411" s="6" t="s">
        <v>1474</v>
      </c>
    </row>
    <row r="412">
      <c r="A412" s="3" t="str">
        <f t="array" ref="A412">XLOOKUP(B412,Costos_Proveedores!$B$2:$B$2000,Costos_Proveedores!$A$2:$A$2000)</f>
        <v>GSM</v>
      </c>
      <c r="B412" s="2" t="s">
        <v>1475</v>
      </c>
      <c r="C412" s="2">
        <v>6.931474789235E12</v>
      </c>
      <c r="D412" s="2" t="s">
        <v>1476</v>
      </c>
      <c r="E412" s="2" t="s">
        <v>47</v>
      </c>
      <c r="F412" s="2">
        <v>27.0</v>
      </c>
      <c r="G412" s="2">
        <v>0.0</v>
      </c>
      <c r="H412" s="3">
        <f t="shared" si="1"/>
        <v>27</v>
      </c>
      <c r="I412" s="2" t="s">
        <v>22</v>
      </c>
      <c r="J412" s="4">
        <f>VLOOKUP(B412,Costos_Proveedores!$B$2:$J$1000,9,FALSE())</f>
        <v>7200</v>
      </c>
      <c r="K412" s="5">
        <f t="shared" si="2"/>
        <v>194400</v>
      </c>
      <c r="L412" s="2">
        <v>12.0</v>
      </c>
      <c r="M412" s="2">
        <v>12.0</v>
      </c>
      <c r="N412" s="2">
        <v>0.0</v>
      </c>
      <c r="O412" s="2">
        <v>0.0</v>
      </c>
      <c r="P412" s="1">
        <f t="shared" si="3"/>
        <v>0</v>
      </c>
      <c r="Q412" s="1">
        <f t="shared" si="4"/>
        <v>0</v>
      </c>
      <c r="R412" s="1">
        <f t="shared" si="5"/>
        <v>0</v>
      </c>
      <c r="S412" s="6" t="s">
        <v>1477</v>
      </c>
    </row>
    <row r="413">
      <c r="A413" s="3" t="str">
        <f t="array" ref="A413">XLOOKUP(B413,Costos_Proveedores!$B$2:$B$2000,Costos_Proveedores!$A$2:$A$2000)</f>
        <v>GSM</v>
      </c>
      <c r="B413" s="2" t="s">
        <v>1478</v>
      </c>
      <c r="C413" s="2">
        <v>6.942007602419E12</v>
      </c>
      <c r="D413" s="2" t="s">
        <v>1479</v>
      </c>
      <c r="E413" s="2" t="s">
        <v>31</v>
      </c>
      <c r="F413" s="2">
        <v>0.0</v>
      </c>
      <c r="G413" s="2">
        <v>0.0</v>
      </c>
      <c r="H413" s="3">
        <f t="shared" si="1"/>
        <v>0</v>
      </c>
      <c r="I413" s="2" t="s">
        <v>22</v>
      </c>
      <c r="J413" s="4">
        <f>VLOOKUP(B413,Costos_Proveedores!$B$2:$J$1000,9,FALSE())</f>
        <v>12000</v>
      </c>
      <c r="K413" s="5">
        <f t="shared" si="2"/>
        <v>0</v>
      </c>
      <c r="L413" s="2">
        <v>10.0</v>
      </c>
      <c r="M413" s="2">
        <v>10.0</v>
      </c>
      <c r="N413" s="2">
        <v>0.0</v>
      </c>
      <c r="O413" s="2">
        <v>0.0</v>
      </c>
      <c r="P413" s="1">
        <f t="shared" si="3"/>
        <v>10</v>
      </c>
      <c r="Q413" s="1">
        <f t="shared" si="4"/>
        <v>0</v>
      </c>
      <c r="R413" s="1">
        <f t="shared" si="5"/>
        <v>10</v>
      </c>
      <c r="S413" s="6" t="s">
        <v>1480</v>
      </c>
    </row>
    <row r="414">
      <c r="A414" s="3" t="str">
        <f t="array" ref="A414">XLOOKUP(B414,Costos_Proveedores!$B$2:$B$2000,Costos_Proveedores!$A$2:$A$2000)</f>
        <v>GSM</v>
      </c>
      <c r="B414" s="2" t="s">
        <v>1481</v>
      </c>
      <c r="C414" s="2">
        <v>6.942007631792E12</v>
      </c>
      <c r="D414" s="2" t="s">
        <v>1482</v>
      </c>
      <c r="E414" s="2" t="s">
        <v>47</v>
      </c>
      <c r="F414" s="2">
        <v>10.0</v>
      </c>
      <c r="G414" s="2">
        <v>0.0</v>
      </c>
      <c r="H414" s="3">
        <f t="shared" si="1"/>
        <v>10</v>
      </c>
      <c r="I414" s="2" t="s">
        <v>22</v>
      </c>
      <c r="J414" s="4">
        <f>VLOOKUP(B414,Costos_Proveedores!$B$2:$J$1000,9,FALSE())</f>
        <v>6400</v>
      </c>
      <c r="K414" s="5">
        <f t="shared" si="2"/>
        <v>64000</v>
      </c>
      <c r="L414" s="2"/>
      <c r="M414" s="2"/>
      <c r="N414" s="2"/>
      <c r="O414" s="2"/>
      <c r="P414" s="1">
        <f t="shared" si="3"/>
        <v>0</v>
      </c>
      <c r="Q414" s="1">
        <f t="shared" si="4"/>
        <v>0</v>
      </c>
      <c r="R414" s="1">
        <f t="shared" si="5"/>
        <v>0</v>
      </c>
      <c r="S414" s="6" t="s">
        <v>1483</v>
      </c>
    </row>
    <row r="415">
      <c r="A415" s="3" t="str">
        <f t="array" ref="A415">XLOOKUP(B415,Costos_Proveedores!$B$2:$B$2000,Costos_Proveedores!$A$2:$A$2000)</f>
        <v>GSM</v>
      </c>
      <c r="B415" s="2" t="s">
        <v>1484</v>
      </c>
      <c r="C415" s="2">
        <v>6.931474766229E12</v>
      </c>
      <c r="D415" s="2" t="s">
        <v>1485</v>
      </c>
      <c r="E415" s="2" t="s">
        <v>21</v>
      </c>
      <c r="F415" s="2">
        <v>27.0</v>
      </c>
      <c r="G415" s="2">
        <v>0.0</v>
      </c>
      <c r="H415" s="3">
        <f t="shared" si="1"/>
        <v>27</v>
      </c>
      <c r="I415" s="2" t="s">
        <v>22</v>
      </c>
      <c r="J415" s="4">
        <f>VLOOKUP(B415,Costos_Proveedores!$B$2:$J$1000,9,FALSE())</f>
        <v>2400</v>
      </c>
      <c r="K415" s="5">
        <f t="shared" si="2"/>
        <v>64800</v>
      </c>
      <c r="L415" s="2">
        <v>12.0</v>
      </c>
      <c r="M415" s="2">
        <v>12.0</v>
      </c>
      <c r="N415" s="2">
        <v>0.0</v>
      </c>
      <c r="O415" s="2">
        <v>0.0</v>
      </c>
      <c r="P415" s="1">
        <f t="shared" si="3"/>
        <v>0</v>
      </c>
      <c r="Q415" s="1">
        <f t="shared" si="4"/>
        <v>0</v>
      </c>
      <c r="R415" s="1">
        <f t="shared" si="5"/>
        <v>0</v>
      </c>
      <c r="S415" s="6" t="s">
        <v>1486</v>
      </c>
    </row>
    <row r="416">
      <c r="A416" s="3" t="str">
        <f t="array" ref="A416">XLOOKUP(B416,Costos_Proveedores!$B$2:$B$2000,Costos_Proveedores!$A$2:$A$2000)</f>
        <v>GSM</v>
      </c>
      <c r="B416" s="2" t="s">
        <v>1487</v>
      </c>
      <c r="C416" s="2">
        <v>6.94200761445E12</v>
      </c>
      <c r="D416" s="2" t="s">
        <v>1488</v>
      </c>
      <c r="E416" s="2" t="s">
        <v>31</v>
      </c>
      <c r="F416" s="2">
        <v>0.0</v>
      </c>
      <c r="G416" s="2">
        <v>0.0</v>
      </c>
      <c r="H416" s="3">
        <f t="shared" si="1"/>
        <v>0</v>
      </c>
      <c r="I416" s="2" t="s">
        <v>22</v>
      </c>
      <c r="J416" s="4">
        <f>VLOOKUP(B416,Costos_Proveedores!$B$2:$J$1000,9,FALSE())</f>
        <v>4400</v>
      </c>
      <c r="K416" s="5">
        <f t="shared" si="2"/>
        <v>0</v>
      </c>
      <c r="L416" s="2">
        <v>13.0</v>
      </c>
      <c r="M416" s="2">
        <v>13.0</v>
      </c>
      <c r="N416" s="2">
        <v>0.0</v>
      </c>
      <c r="O416" s="2">
        <v>0.0</v>
      </c>
      <c r="P416" s="1">
        <f t="shared" si="3"/>
        <v>13</v>
      </c>
      <c r="Q416" s="1">
        <f t="shared" si="4"/>
        <v>0</v>
      </c>
      <c r="R416" s="1">
        <f t="shared" si="5"/>
        <v>13</v>
      </c>
      <c r="S416" s="6" t="s">
        <v>1489</v>
      </c>
    </row>
    <row r="417">
      <c r="A417" s="3" t="str">
        <f t="array" ref="A417">XLOOKUP(B417,Costos_Proveedores!$B$2:$B$2000,Costos_Proveedores!$A$2:$A$2000)</f>
        <v>GSM</v>
      </c>
      <c r="B417" s="2" t="s">
        <v>1490</v>
      </c>
      <c r="C417" s="2">
        <v>6.942007619127E12</v>
      </c>
      <c r="D417" s="2" t="s">
        <v>1491</v>
      </c>
      <c r="E417" s="2" t="s">
        <v>47</v>
      </c>
      <c r="F417" s="2">
        <v>9.0</v>
      </c>
      <c r="G417" s="2">
        <v>0.0</v>
      </c>
      <c r="H417" s="3">
        <f t="shared" si="1"/>
        <v>9</v>
      </c>
      <c r="I417" s="2" t="s">
        <v>22</v>
      </c>
      <c r="J417" s="4">
        <f>VLOOKUP(B417,Costos_Proveedores!$B$2:$J$1000,9,FALSE())</f>
        <v>10400</v>
      </c>
      <c r="K417" s="5">
        <f t="shared" si="2"/>
        <v>93600</v>
      </c>
      <c r="L417" s="2">
        <v>1.0</v>
      </c>
      <c r="M417" s="2">
        <v>1.0</v>
      </c>
      <c r="N417" s="2">
        <v>0.0</v>
      </c>
      <c r="O417" s="2">
        <v>0.0</v>
      </c>
      <c r="P417" s="1">
        <f t="shared" si="3"/>
        <v>0</v>
      </c>
      <c r="Q417" s="1">
        <f t="shared" si="4"/>
        <v>0</v>
      </c>
      <c r="R417" s="1">
        <f t="shared" si="5"/>
        <v>0</v>
      </c>
      <c r="S417" s="6" t="s">
        <v>1492</v>
      </c>
    </row>
    <row r="418">
      <c r="A418" s="3" t="str">
        <f t="array" ref="A418">XLOOKUP(B418,Costos_Proveedores!$B$2:$B$2000,Costos_Proveedores!$A$2:$A$2000)</f>
        <v>GSM</v>
      </c>
      <c r="B418" s="2" t="s">
        <v>1493</v>
      </c>
      <c r="C418" s="2">
        <v>6.942007619134E12</v>
      </c>
      <c r="D418" s="2" t="s">
        <v>1494</v>
      </c>
      <c r="E418" s="2" t="s">
        <v>47</v>
      </c>
      <c r="F418" s="2">
        <v>4.0</v>
      </c>
      <c r="G418" s="2">
        <v>0.0</v>
      </c>
      <c r="H418" s="3">
        <f t="shared" si="1"/>
        <v>4</v>
      </c>
      <c r="I418" s="2" t="s">
        <v>22</v>
      </c>
      <c r="J418" s="4">
        <f>VLOOKUP(B418,Costos_Proveedores!$B$2:$J$1000,9,FALSE())</f>
        <v>10400</v>
      </c>
      <c r="K418" s="5">
        <f t="shared" si="2"/>
        <v>41600</v>
      </c>
      <c r="L418" s="2">
        <v>3.0</v>
      </c>
      <c r="M418" s="2">
        <v>3.0</v>
      </c>
      <c r="N418" s="2">
        <v>0.0</v>
      </c>
      <c r="O418" s="2">
        <v>0.0</v>
      </c>
      <c r="P418" s="1">
        <f t="shared" si="3"/>
        <v>0</v>
      </c>
      <c r="Q418" s="1">
        <f t="shared" si="4"/>
        <v>0</v>
      </c>
      <c r="R418" s="1">
        <f t="shared" si="5"/>
        <v>0</v>
      </c>
      <c r="S418" s="6" t="s">
        <v>1495</v>
      </c>
    </row>
    <row r="419">
      <c r="A419" s="3" t="str">
        <f t="array" ref="A419">XLOOKUP(B419,Costos_Proveedores!$B$2:$B$2000,Costos_Proveedores!$A$2:$A$2000)</f>
        <v>GSM</v>
      </c>
      <c r="B419" s="2" t="s">
        <v>1496</v>
      </c>
      <c r="C419" s="2">
        <v>6.931474788887E12</v>
      </c>
      <c r="D419" s="2" t="s">
        <v>1497</v>
      </c>
      <c r="E419" s="2" t="s">
        <v>47</v>
      </c>
      <c r="F419" s="2">
        <v>11.0</v>
      </c>
      <c r="G419" s="2">
        <v>0.0</v>
      </c>
      <c r="H419" s="3">
        <f t="shared" si="1"/>
        <v>11</v>
      </c>
      <c r="I419" s="2" t="s">
        <v>22</v>
      </c>
      <c r="J419" s="4">
        <f>VLOOKUP(B419,Costos_Proveedores!$B$2:$J$1000,9,FALSE())</f>
        <v>8000</v>
      </c>
      <c r="K419" s="5">
        <f t="shared" si="2"/>
        <v>88000</v>
      </c>
      <c r="L419" s="2">
        <v>9.0</v>
      </c>
      <c r="M419" s="2">
        <v>10.0</v>
      </c>
      <c r="N419" s="2">
        <v>0.0</v>
      </c>
      <c r="O419" s="2">
        <v>0.0</v>
      </c>
      <c r="P419" s="1">
        <f t="shared" si="3"/>
        <v>0</v>
      </c>
      <c r="Q419" s="1">
        <f t="shared" si="4"/>
        <v>0</v>
      </c>
      <c r="R419" s="1">
        <f t="shared" si="5"/>
        <v>0</v>
      </c>
      <c r="S419" s="6" t="s">
        <v>1498</v>
      </c>
    </row>
    <row r="420">
      <c r="A420" s="3" t="str">
        <f t="array" ref="A420">XLOOKUP(B420,Costos_Proveedores!$B$2:$B$2000,Costos_Proveedores!$A$2:$A$2000)</f>
        <v>GSM</v>
      </c>
      <c r="B420" s="2" t="s">
        <v>1499</v>
      </c>
      <c r="C420" s="2">
        <v>6.931474788863E12</v>
      </c>
      <c r="D420" s="2" t="s">
        <v>1500</v>
      </c>
      <c r="E420" s="2" t="s">
        <v>31</v>
      </c>
      <c r="F420" s="2">
        <v>0.0</v>
      </c>
      <c r="G420" s="2">
        <v>0.0</v>
      </c>
      <c r="H420" s="3">
        <f t="shared" si="1"/>
        <v>0</v>
      </c>
      <c r="I420" s="2" t="s">
        <v>22</v>
      </c>
      <c r="J420" s="4">
        <f>VLOOKUP(B420,Costos_Proveedores!$B$2:$J$1000,9,FALSE())</f>
        <v>8000</v>
      </c>
      <c r="K420" s="5">
        <f t="shared" si="2"/>
        <v>0</v>
      </c>
      <c r="L420" s="2"/>
      <c r="M420" s="2"/>
      <c r="N420" s="2"/>
      <c r="O420" s="2"/>
      <c r="P420" s="1">
        <f t="shared" si="3"/>
        <v>0</v>
      </c>
      <c r="Q420" s="1">
        <f t="shared" si="4"/>
        <v>0</v>
      </c>
      <c r="R420" s="1">
        <f t="shared" si="5"/>
        <v>0</v>
      </c>
      <c r="S420" s="6" t="s">
        <v>1501</v>
      </c>
    </row>
    <row r="421">
      <c r="A421" s="3" t="str">
        <f t="array" ref="A421">XLOOKUP(B421,Costos_Proveedores!$B$2:$B$2000,Costos_Proveedores!$A$2:$A$2000)</f>
        <v>MULI</v>
      </c>
      <c r="B421" s="2" t="s">
        <v>1502</v>
      </c>
      <c r="C421" s="2" t="s">
        <v>1503</v>
      </c>
      <c r="D421" s="2" t="s">
        <v>1504</v>
      </c>
      <c r="E421" s="2" t="s">
        <v>31</v>
      </c>
      <c r="F421" s="2">
        <v>0.0</v>
      </c>
      <c r="G421" s="2">
        <v>0.0</v>
      </c>
      <c r="H421" s="3">
        <f t="shared" si="1"/>
        <v>0</v>
      </c>
      <c r="I421" s="2" t="s">
        <v>22</v>
      </c>
      <c r="J421" s="4">
        <f>VLOOKUP(B421,Costos_Proveedores!$B$2:$J$1000,9,FALSE())</f>
        <v>5400</v>
      </c>
      <c r="K421" s="5">
        <f t="shared" si="2"/>
        <v>0</v>
      </c>
      <c r="L421" s="2">
        <v>1.0</v>
      </c>
      <c r="M421" s="2"/>
      <c r="N421" s="2"/>
      <c r="O421" s="2"/>
      <c r="P421" s="1">
        <f t="shared" si="3"/>
        <v>0</v>
      </c>
      <c r="Q421" s="1">
        <f t="shared" si="4"/>
        <v>0</v>
      </c>
      <c r="R421" s="1">
        <f t="shared" si="5"/>
        <v>0</v>
      </c>
      <c r="S421" s="6" t="s">
        <v>1505</v>
      </c>
    </row>
    <row r="422">
      <c r="A422" s="3" t="str">
        <f t="array" ref="A422">XLOOKUP(B422,Costos_Proveedores!$B$2:$B$2000,Costos_Proveedores!$A$2:$A$2000)</f>
        <v>MULI</v>
      </c>
      <c r="B422" s="2" t="s">
        <v>1506</v>
      </c>
      <c r="C422" s="2" t="s">
        <v>1507</v>
      </c>
      <c r="D422" s="2" t="s">
        <v>1508</v>
      </c>
      <c r="E422" s="2" t="s">
        <v>47</v>
      </c>
      <c r="F422" s="2">
        <v>1.0</v>
      </c>
      <c r="G422" s="2">
        <v>0.0</v>
      </c>
      <c r="H422" s="3">
        <f t="shared" si="1"/>
        <v>1</v>
      </c>
      <c r="I422" s="2" t="s">
        <v>22</v>
      </c>
      <c r="J422" s="4">
        <f>VLOOKUP(B422,Costos_Proveedores!$B$2:$J$1000,9,FALSE())</f>
        <v>2700</v>
      </c>
      <c r="K422" s="5">
        <f t="shared" si="2"/>
        <v>2700</v>
      </c>
      <c r="L422" s="2"/>
      <c r="M422" s="2"/>
      <c r="N422" s="2"/>
      <c r="O422" s="2"/>
      <c r="P422" s="1">
        <f t="shared" si="3"/>
        <v>0</v>
      </c>
      <c r="Q422" s="1">
        <f t="shared" si="4"/>
        <v>0</v>
      </c>
      <c r="R422" s="1">
        <f t="shared" si="5"/>
        <v>0</v>
      </c>
      <c r="S422" s="6" t="s">
        <v>1509</v>
      </c>
    </row>
    <row r="423">
      <c r="A423" s="3" t="str">
        <f t="array" ref="A423">XLOOKUP(B423,Costos_Proveedores!$B$2:$B$2000,Costos_Proveedores!$A$2:$A$2000)</f>
        <v>GSM</v>
      </c>
      <c r="B423" s="2" t="s">
        <v>1510</v>
      </c>
      <c r="C423" s="2">
        <v>6.9420076521E12</v>
      </c>
      <c r="D423" s="2" t="s">
        <v>1511</v>
      </c>
      <c r="E423" s="2" t="s">
        <v>31</v>
      </c>
      <c r="F423" s="2">
        <v>0.0</v>
      </c>
      <c r="G423" s="2">
        <v>0.0</v>
      </c>
      <c r="H423" s="3">
        <f t="shared" si="1"/>
        <v>0</v>
      </c>
      <c r="I423" s="2" t="s">
        <v>22</v>
      </c>
      <c r="J423" s="4">
        <f>VLOOKUP(B423,Costos_Proveedores!$B$2:$J$1000,9,FALSE())</f>
        <v>48000</v>
      </c>
      <c r="K423" s="5">
        <f t="shared" si="2"/>
        <v>0</v>
      </c>
      <c r="L423" s="2">
        <v>1.0</v>
      </c>
      <c r="M423" s="2">
        <v>1.0</v>
      </c>
      <c r="N423" s="2">
        <v>0.0</v>
      </c>
      <c r="O423" s="2">
        <v>0.0</v>
      </c>
      <c r="P423" s="1">
        <f t="shared" si="3"/>
        <v>1</v>
      </c>
      <c r="Q423" s="1">
        <f t="shared" si="4"/>
        <v>0</v>
      </c>
      <c r="R423" s="1">
        <f t="shared" si="5"/>
        <v>1</v>
      </c>
      <c r="S423" s="6" t="s">
        <v>1512</v>
      </c>
    </row>
    <row r="424">
      <c r="A424" s="3" t="str">
        <f t="array" ref="A424">XLOOKUP(B424,Costos_Proveedores!$B$2:$B$2000,Costos_Proveedores!$A$2:$A$2000)</f>
        <v>GSM</v>
      </c>
      <c r="B424" s="2" t="s">
        <v>1513</v>
      </c>
      <c r="C424" s="2">
        <v>6.942007602358E12</v>
      </c>
      <c r="D424" s="2" t="s">
        <v>1514</v>
      </c>
      <c r="E424" s="2" t="s">
        <v>47</v>
      </c>
      <c r="F424" s="2">
        <v>8.0</v>
      </c>
      <c r="G424" s="2">
        <v>0.0</v>
      </c>
      <c r="H424" s="3">
        <f t="shared" si="1"/>
        <v>8</v>
      </c>
      <c r="I424" s="2" t="s">
        <v>22</v>
      </c>
      <c r="J424" s="4">
        <f>VLOOKUP(B424,Costos_Proveedores!$B$2:$J$1000,9,FALSE())</f>
        <v>4800</v>
      </c>
      <c r="K424" s="5">
        <f t="shared" si="2"/>
        <v>38400</v>
      </c>
      <c r="L424" s="2">
        <v>12.0</v>
      </c>
      <c r="M424" s="2">
        <v>12.0</v>
      </c>
      <c r="N424" s="2">
        <v>0.0</v>
      </c>
      <c r="O424" s="2">
        <v>0.0</v>
      </c>
      <c r="P424" s="1">
        <f t="shared" si="3"/>
        <v>4</v>
      </c>
      <c r="Q424" s="1">
        <f t="shared" si="4"/>
        <v>0</v>
      </c>
      <c r="R424" s="1">
        <f t="shared" si="5"/>
        <v>4</v>
      </c>
      <c r="S424" s="6" t="s">
        <v>1515</v>
      </c>
    </row>
    <row r="425">
      <c r="A425" s="3" t="str">
        <f t="array" ref="A425">XLOOKUP(B425,Costos_Proveedores!$B$2:$B$2000,Costos_Proveedores!$A$2:$A$2000)</f>
        <v>GSM</v>
      </c>
      <c r="B425" s="2" t="s">
        <v>1516</v>
      </c>
      <c r="C425" s="2">
        <v>6.931474784469E12</v>
      </c>
      <c r="D425" s="2" t="s">
        <v>1517</v>
      </c>
      <c r="E425" s="2" t="s">
        <v>47</v>
      </c>
      <c r="F425" s="2">
        <v>3.0</v>
      </c>
      <c r="G425" s="2">
        <v>0.0</v>
      </c>
      <c r="H425" s="3">
        <f t="shared" si="1"/>
        <v>3</v>
      </c>
      <c r="I425" s="2" t="s">
        <v>22</v>
      </c>
      <c r="J425" s="4">
        <f>VLOOKUP(B425,Costos_Proveedores!$B$2:$J$1000,9,FALSE())</f>
        <v>5600</v>
      </c>
      <c r="K425" s="5">
        <f t="shared" si="2"/>
        <v>16800</v>
      </c>
      <c r="L425" s="2">
        <v>7.0</v>
      </c>
      <c r="M425" s="2">
        <v>7.0</v>
      </c>
      <c r="N425" s="2">
        <v>0.0</v>
      </c>
      <c r="O425" s="2">
        <v>0.0</v>
      </c>
      <c r="P425" s="1">
        <f t="shared" si="3"/>
        <v>4</v>
      </c>
      <c r="Q425" s="1">
        <f t="shared" si="4"/>
        <v>0</v>
      </c>
      <c r="R425" s="1">
        <f t="shared" si="5"/>
        <v>4</v>
      </c>
      <c r="S425" s="6" t="s">
        <v>1518</v>
      </c>
    </row>
    <row r="426">
      <c r="A426" s="3" t="str">
        <f t="array" ref="A426">XLOOKUP(B426,Costos_Proveedores!$B$2:$B$2000,Costos_Proveedores!$A$2:$A$2000)</f>
        <v>GSM</v>
      </c>
      <c r="B426" s="2" t="s">
        <v>1519</v>
      </c>
      <c r="C426" s="2">
        <v>6.931474742568E12</v>
      </c>
      <c r="D426" s="2" t="s">
        <v>1520</v>
      </c>
      <c r="E426" s="2" t="s">
        <v>47</v>
      </c>
      <c r="F426" s="2">
        <v>6.0</v>
      </c>
      <c r="G426" s="2">
        <v>0.0</v>
      </c>
      <c r="H426" s="3">
        <f t="shared" si="1"/>
        <v>6</v>
      </c>
      <c r="I426" s="2" t="s">
        <v>22</v>
      </c>
      <c r="J426" s="4">
        <f>VLOOKUP(B426,Costos_Proveedores!$B$2:$J$1000,9,FALSE())</f>
        <v>2240</v>
      </c>
      <c r="K426" s="5">
        <f t="shared" si="2"/>
        <v>13440</v>
      </c>
      <c r="L426" s="2">
        <v>14.0</v>
      </c>
      <c r="M426" s="2">
        <v>15.0</v>
      </c>
      <c r="N426" s="2">
        <v>0.0</v>
      </c>
      <c r="O426" s="2">
        <v>0.0</v>
      </c>
      <c r="P426" s="1">
        <f t="shared" si="3"/>
        <v>9</v>
      </c>
      <c r="Q426" s="1">
        <f t="shared" si="4"/>
        <v>0</v>
      </c>
      <c r="R426" s="1">
        <f t="shared" si="5"/>
        <v>9</v>
      </c>
      <c r="S426" s="6" t="s">
        <v>1521</v>
      </c>
    </row>
    <row r="427">
      <c r="A427" s="3" t="str">
        <f t="array" ref="A427">XLOOKUP(B427,Costos_Proveedores!$B$2:$B$2000,Costos_Proveedores!$A$2:$A$2000)</f>
        <v>MULI</v>
      </c>
      <c r="B427" s="2" t="s">
        <v>1522</v>
      </c>
      <c r="C427" s="2" t="s">
        <v>1523</v>
      </c>
      <c r="D427" s="2" t="s">
        <v>1524</v>
      </c>
      <c r="E427" s="2" t="s">
        <v>31</v>
      </c>
      <c r="F427" s="2">
        <v>0.0</v>
      </c>
      <c r="G427" s="2">
        <v>0.0</v>
      </c>
      <c r="H427" s="3">
        <f t="shared" si="1"/>
        <v>0</v>
      </c>
      <c r="I427" s="2" t="s">
        <v>22</v>
      </c>
      <c r="J427" s="4">
        <f>VLOOKUP(B427,Costos_Proveedores!$B$2:$J$1000,9,FALSE())</f>
        <v>7200</v>
      </c>
      <c r="K427" s="5">
        <f t="shared" si="2"/>
        <v>0</v>
      </c>
      <c r="L427" s="2">
        <v>1.0</v>
      </c>
      <c r="M427" s="2">
        <v>1.0</v>
      </c>
      <c r="N427" s="2">
        <v>0.0</v>
      </c>
      <c r="O427" s="2">
        <v>0.0</v>
      </c>
      <c r="P427" s="1">
        <f t="shared" si="3"/>
        <v>1</v>
      </c>
      <c r="Q427" s="1">
        <f t="shared" si="4"/>
        <v>0</v>
      </c>
      <c r="R427" s="1">
        <f t="shared" si="5"/>
        <v>1</v>
      </c>
      <c r="S427" s="6" t="s">
        <v>1525</v>
      </c>
    </row>
    <row r="428">
      <c r="A428" s="3" t="str">
        <f t="array" ref="A428">XLOOKUP(B428,Costos_Proveedores!$B$2:$B$2000,Costos_Proveedores!$A$2:$A$2000)</f>
        <v>MULI</v>
      </c>
      <c r="B428" s="2" t="s">
        <v>1526</v>
      </c>
      <c r="C428" s="2" t="s">
        <v>1527</v>
      </c>
      <c r="D428" s="2" t="s">
        <v>1528</v>
      </c>
      <c r="E428" s="2" t="s">
        <v>31</v>
      </c>
      <c r="F428" s="2">
        <v>0.0</v>
      </c>
      <c r="G428" s="2">
        <v>0.0</v>
      </c>
      <c r="H428" s="3">
        <f t="shared" si="1"/>
        <v>0</v>
      </c>
      <c r="I428" s="2" t="s">
        <v>22</v>
      </c>
      <c r="J428" s="4">
        <f>VLOOKUP(B428,Costos_Proveedores!$B$2:$J$1000,9,FALSE())</f>
        <v>1980</v>
      </c>
      <c r="K428" s="5">
        <f t="shared" si="2"/>
        <v>0</v>
      </c>
      <c r="L428" s="2"/>
      <c r="M428" s="2"/>
      <c r="N428" s="2"/>
      <c r="O428" s="2"/>
      <c r="P428" s="1">
        <f t="shared" si="3"/>
        <v>0</v>
      </c>
      <c r="Q428" s="1">
        <f t="shared" si="4"/>
        <v>0</v>
      </c>
      <c r="R428" s="1">
        <f t="shared" si="5"/>
        <v>0</v>
      </c>
      <c r="S428" s="6" t="s">
        <v>1529</v>
      </c>
    </row>
    <row r="429">
      <c r="A429" s="3" t="str">
        <f t="array" ref="A429">XLOOKUP(B429,Costos_Proveedores!$B$2:$B$2000,Costos_Proveedores!$A$2:$A$2000)</f>
        <v>GSM</v>
      </c>
      <c r="B429" s="2" t="s">
        <v>1530</v>
      </c>
      <c r="C429" s="2">
        <v>6.942007618915E12</v>
      </c>
      <c r="D429" s="2" t="s">
        <v>1531</v>
      </c>
      <c r="E429" s="2" t="s">
        <v>31</v>
      </c>
      <c r="F429" s="2">
        <v>0.0</v>
      </c>
      <c r="G429" s="2">
        <v>0.0</v>
      </c>
      <c r="H429" s="3">
        <f t="shared" si="1"/>
        <v>0</v>
      </c>
      <c r="I429" s="2" t="s">
        <v>22</v>
      </c>
      <c r="J429" s="4">
        <f>VLOOKUP(B429,Costos_Proveedores!$B$2:$J$1000,9,FALSE())</f>
        <v>6000</v>
      </c>
      <c r="K429" s="5">
        <f t="shared" si="2"/>
        <v>0</v>
      </c>
      <c r="L429" s="2">
        <v>20.0</v>
      </c>
      <c r="M429" s="2">
        <v>20.0</v>
      </c>
      <c r="N429" s="2">
        <v>0.0</v>
      </c>
      <c r="O429" s="2">
        <v>0.0</v>
      </c>
      <c r="P429" s="1">
        <f t="shared" si="3"/>
        <v>20</v>
      </c>
      <c r="Q429" s="1">
        <f t="shared" si="4"/>
        <v>0</v>
      </c>
      <c r="R429" s="1">
        <f t="shared" si="5"/>
        <v>20</v>
      </c>
      <c r="S429" s="6" t="s">
        <v>1532</v>
      </c>
    </row>
    <row r="430">
      <c r="A430" s="3" t="str">
        <f t="array" ref="A430">XLOOKUP(B430,Costos_Proveedores!$B$2:$B$2000,Costos_Proveedores!$A$2:$A$2000)</f>
        <v>MULI</v>
      </c>
      <c r="B430" s="2" t="s">
        <v>1533</v>
      </c>
      <c r="C430" s="2" t="s">
        <v>1534</v>
      </c>
      <c r="D430" s="2" t="s">
        <v>1535</v>
      </c>
      <c r="E430" s="2" t="s">
        <v>31</v>
      </c>
      <c r="F430" s="2">
        <v>0.0</v>
      </c>
      <c r="G430" s="2">
        <v>0.0</v>
      </c>
      <c r="H430" s="3">
        <f t="shared" si="1"/>
        <v>0</v>
      </c>
      <c r="I430" s="2" t="s">
        <v>22</v>
      </c>
      <c r="J430" s="4">
        <f>VLOOKUP(B430,Costos_Proveedores!$B$2:$J$1000,9,FALSE())</f>
        <v>2925</v>
      </c>
      <c r="K430" s="5">
        <f t="shared" si="2"/>
        <v>0</v>
      </c>
      <c r="L430" s="2">
        <v>1.0</v>
      </c>
      <c r="M430" s="2">
        <v>1.0</v>
      </c>
      <c r="N430" s="2">
        <v>0.0</v>
      </c>
      <c r="O430" s="2">
        <v>0.0</v>
      </c>
      <c r="P430" s="1">
        <f t="shared" si="3"/>
        <v>1</v>
      </c>
      <c r="Q430" s="1">
        <f t="shared" si="4"/>
        <v>0</v>
      </c>
      <c r="R430" s="1">
        <f t="shared" si="5"/>
        <v>1</v>
      </c>
      <c r="S430" s="6" t="s">
        <v>1536</v>
      </c>
    </row>
    <row r="431">
      <c r="A431" s="3" t="str">
        <f t="array" ref="A431">XLOOKUP(B431,Costos_Proveedores!$B$2:$B$2000,Costos_Proveedores!$A$2:$A$2000)</f>
        <v>MULI</v>
      </c>
      <c r="B431" s="2" t="s">
        <v>1537</v>
      </c>
      <c r="C431" s="2" t="s">
        <v>1538</v>
      </c>
      <c r="D431" s="2" t="s">
        <v>1539</v>
      </c>
      <c r="E431" s="2" t="s">
        <v>47</v>
      </c>
      <c r="F431" s="2">
        <v>1.0</v>
      </c>
      <c r="G431" s="2">
        <v>0.0</v>
      </c>
      <c r="H431" s="3">
        <f t="shared" si="1"/>
        <v>1</v>
      </c>
      <c r="I431" s="2" t="s">
        <v>22</v>
      </c>
      <c r="J431" s="4">
        <f>VLOOKUP(B431,Costos_Proveedores!$B$2:$J$1000,9,FALSE())</f>
        <v>3360</v>
      </c>
      <c r="K431" s="5">
        <f t="shared" si="2"/>
        <v>3360</v>
      </c>
      <c r="L431" s="2"/>
      <c r="M431" s="2"/>
      <c r="N431" s="2"/>
      <c r="O431" s="2"/>
      <c r="P431" s="1">
        <f t="shared" si="3"/>
        <v>0</v>
      </c>
      <c r="Q431" s="1">
        <f t="shared" si="4"/>
        <v>0</v>
      </c>
      <c r="R431" s="1">
        <f t="shared" si="5"/>
        <v>0</v>
      </c>
      <c r="S431" s="6" t="s">
        <v>1540</v>
      </c>
    </row>
    <row r="432">
      <c r="A432" s="3" t="str">
        <f t="array" ref="A432">XLOOKUP(B432,Costos_Proveedores!$B$2:$B$2000,Costos_Proveedores!$A$2:$A$2000)</f>
        <v>MULI</v>
      </c>
      <c r="B432" s="2" t="s">
        <v>1541</v>
      </c>
      <c r="C432" s="2" t="s">
        <v>1542</v>
      </c>
      <c r="D432" s="2" t="s">
        <v>1543</v>
      </c>
      <c r="E432" s="2" t="s">
        <v>31</v>
      </c>
      <c r="F432" s="2">
        <v>0.0</v>
      </c>
      <c r="G432" s="2">
        <v>0.0</v>
      </c>
      <c r="H432" s="3">
        <f t="shared" si="1"/>
        <v>0</v>
      </c>
      <c r="I432" s="2" t="s">
        <v>22</v>
      </c>
      <c r="J432" s="4">
        <f>VLOOKUP(B432,Costos_Proveedores!$B$2:$J$1000,9,FALSE())</f>
        <v>7200</v>
      </c>
      <c r="K432" s="5">
        <f t="shared" si="2"/>
        <v>0</v>
      </c>
      <c r="L432" s="2">
        <v>2.0</v>
      </c>
      <c r="M432" s="2">
        <v>2.0</v>
      </c>
      <c r="N432" s="2">
        <v>0.0</v>
      </c>
      <c r="O432" s="2">
        <v>0.0</v>
      </c>
      <c r="P432" s="1">
        <f t="shared" si="3"/>
        <v>2</v>
      </c>
      <c r="Q432" s="1">
        <f t="shared" si="4"/>
        <v>0</v>
      </c>
      <c r="R432" s="1">
        <f t="shared" si="5"/>
        <v>2</v>
      </c>
      <c r="S432" s="6" t="s">
        <v>1544</v>
      </c>
    </row>
    <row r="433">
      <c r="A433" s="3" t="str">
        <f t="array" ref="A433">XLOOKUP(B433,Costos_Proveedores!$B$2:$B$2000,Costos_Proveedores!$A$2:$A$2000)</f>
        <v>MULI</v>
      </c>
      <c r="B433" s="2" t="s">
        <v>1545</v>
      </c>
      <c r="C433" s="2" t="s">
        <v>1546</v>
      </c>
      <c r="D433" s="2" t="s">
        <v>1547</v>
      </c>
      <c r="E433" s="2" t="s">
        <v>31</v>
      </c>
      <c r="F433" s="2">
        <v>0.0</v>
      </c>
      <c r="G433" s="2">
        <v>0.0</v>
      </c>
      <c r="H433" s="3">
        <f t="shared" si="1"/>
        <v>0</v>
      </c>
      <c r="I433" s="2" t="s">
        <v>22</v>
      </c>
      <c r="J433" s="4">
        <f>VLOOKUP(B433,Costos_Proveedores!$B$2:$J$1000,9,FALSE())</f>
        <v>2925</v>
      </c>
      <c r="K433" s="5">
        <f t="shared" si="2"/>
        <v>0</v>
      </c>
      <c r="L433" s="2">
        <v>1.0</v>
      </c>
      <c r="M433" s="2">
        <v>1.0</v>
      </c>
      <c r="N433" s="2">
        <v>0.0</v>
      </c>
      <c r="O433" s="2">
        <v>0.0</v>
      </c>
      <c r="P433" s="1">
        <f t="shared" si="3"/>
        <v>1</v>
      </c>
      <c r="Q433" s="1">
        <f t="shared" si="4"/>
        <v>0</v>
      </c>
      <c r="R433" s="1">
        <f t="shared" si="5"/>
        <v>1</v>
      </c>
      <c r="S433" s="6" t="s">
        <v>1548</v>
      </c>
    </row>
    <row r="434">
      <c r="A434" s="3" t="str">
        <f t="array" ref="A434">XLOOKUP(B434,Costos_Proveedores!$B$2:$B$2000,Costos_Proveedores!$A$2:$A$2000)</f>
        <v>MULI</v>
      </c>
      <c r="B434" s="2" t="s">
        <v>1549</v>
      </c>
      <c r="C434" s="2" t="s">
        <v>1550</v>
      </c>
      <c r="D434" s="2" t="s">
        <v>1551</v>
      </c>
      <c r="E434" s="2" t="s">
        <v>31</v>
      </c>
      <c r="F434" s="2">
        <v>0.0</v>
      </c>
      <c r="G434" s="2">
        <v>0.0</v>
      </c>
      <c r="H434" s="3">
        <f t="shared" si="1"/>
        <v>0</v>
      </c>
      <c r="I434" s="2" t="s">
        <v>22</v>
      </c>
      <c r="J434" s="4">
        <f>VLOOKUP(B434,Costos_Proveedores!$B$2:$J$1000,9,FALSE())</f>
        <v>3780</v>
      </c>
      <c r="K434" s="5">
        <f t="shared" si="2"/>
        <v>0</v>
      </c>
      <c r="L434" s="2">
        <v>1.0</v>
      </c>
      <c r="M434" s="2">
        <v>1.0</v>
      </c>
      <c r="N434" s="2">
        <v>0.0</v>
      </c>
      <c r="O434" s="2">
        <v>0.0</v>
      </c>
      <c r="P434" s="1">
        <f t="shared" si="3"/>
        <v>1</v>
      </c>
      <c r="Q434" s="1">
        <f t="shared" si="4"/>
        <v>0</v>
      </c>
      <c r="R434" s="1">
        <f t="shared" si="5"/>
        <v>1</v>
      </c>
      <c r="S434" s="6" t="s">
        <v>1552</v>
      </c>
    </row>
    <row r="435">
      <c r="A435" s="3" t="str">
        <f t="array" ref="A435">XLOOKUP(B435,Costos_Proveedores!$B$2:$B$2000,Costos_Proveedores!$A$2:$A$2000)</f>
        <v>MULI</v>
      </c>
      <c r="B435" s="2" t="s">
        <v>1553</v>
      </c>
      <c r="C435" s="2" t="s">
        <v>1554</v>
      </c>
      <c r="D435" s="2" t="s">
        <v>1555</v>
      </c>
      <c r="E435" s="2" t="s">
        <v>31</v>
      </c>
      <c r="F435" s="2">
        <v>0.0</v>
      </c>
      <c r="G435" s="2">
        <v>0.0</v>
      </c>
      <c r="H435" s="3">
        <f t="shared" si="1"/>
        <v>0</v>
      </c>
      <c r="I435" s="2" t="s">
        <v>22</v>
      </c>
      <c r="J435" s="4">
        <f>VLOOKUP(B435,Costos_Proveedores!$B$2:$J$1000,9,FALSE())</f>
        <v>7200</v>
      </c>
      <c r="K435" s="5">
        <f t="shared" si="2"/>
        <v>0</v>
      </c>
      <c r="L435" s="2">
        <v>1.0</v>
      </c>
      <c r="M435" s="2">
        <v>2.0</v>
      </c>
      <c r="N435" s="2">
        <v>0.0</v>
      </c>
      <c r="O435" s="2">
        <v>0.0</v>
      </c>
      <c r="P435" s="1">
        <f t="shared" si="3"/>
        <v>2</v>
      </c>
      <c r="Q435" s="1">
        <f t="shared" si="4"/>
        <v>0</v>
      </c>
      <c r="R435" s="1">
        <f t="shared" si="5"/>
        <v>2</v>
      </c>
      <c r="S435" s="6" t="s">
        <v>1556</v>
      </c>
    </row>
    <row r="436">
      <c r="A436" s="3" t="str">
        <f t="array" ref="A436">XLOOKUP(B436,Costos_Proveedores!$B$2:$B$2000,Costos_Proveedores!$A$2:$A$2000)</f>
        <v>MULI</v>
      </c>
      <c r="B436" s="2" t="s">
        <v>1557</v>
      </c>
      <c r="C436" s="2" t="s">
        <v>1558</v>
      </c>
      <c r="D436" s="2" t="s">
        <v>1559</v>
      </c>
      <c r="E436" s="2" t="s">
        <v>31</v>
      </c>
      <c r="F436" s="2">
        <v>0.0</v>
      </c>
      <c r="G436" s="2">
        <v>0.0</v>
      </c>
      <c r="H436" s="3">
        <f t="shared" si="1"/>
        <v>0</v>
      </c>
      <c r="I436" s="2" t="s">
        <v>22</v>
      </c>
      <c r="J436" s="4">
        <f>VLOOKUP(B436,Costos_Proveedores!$B$2:$J$1000,9,FALSE())</f>
        <v>8400</v>
      </c>
      <c r="K436" s="5">
        <f t="shared" si="2"/>
        <v>0</v>
      </c>
      <c r="L436" s="2">
        <v>3.0</v>
      </c>
      <c r="M436" s="2">
        <v>3.0</v>
      </c>
      <c r="N436" s="2">
        <v>0.0</v>
      </c>
      <c r="O436" s="2">
        <v>0.0</v>
      </c>
      <c r="P436" s="1">
        <f t="shared" si="3"/>
        <v>3</v>
      </c>
      <c r="Q436" s="1">
        <f t="shared" si="4"/>
        <v>0</v>
      </c>
      <c r="R436" s="1">
        <f t="shared" si="5"/>
        <v>3</v>
      </c>
      <c r="S436" s="6" t="s">
        <v>1560</v>
      </c>
    </row>
    <row r="437">
      <c r="A437" s="3" t="str">
        <f t="array" ref="A437">XLOOKUP(B437,Costos_Proveedores!$B$2:$B$2000,Costos_Proveedores!$A$2:$A$2000)</f>
        <v>MULI</v>
      </c>
      <c r="B437" s="2" t="s">
        <v>1561</v>
      </c>
      <c r="C437" s="2" t="s">
        <v>1562</v>
      </c>
      <c r="D437" s="2" t="s">
        <v>1563</v>
      </c>
      <c r="E437" s="2" t="s">
        <v>31</v>
      </c>
      <c r="F437" s="2">
        <v>0.0</v>
      </c>
      <c r="G437" s="2">
        <v>0.0</v>
      </c>
      <c r="H437" s="3">
        <f t="shared" si="1"/>
        <v>0</v>
      </c>
      <c r="I437" s="2" t="s">
        <v>22</v>
      </c>
      <c r="J437" s="4">
        <f>VLOOKUP(B437,Costos_Proveedores!$B$2:$J$1000,9,FALSE())</f>
        <v>4200</v>
      </c>
      <c r="K437" s="5">
        <f t="shared" si="2"/>
        <v>0</v>
      </c>
      <c r="L437" s="2">
        <v>1.0</v>
      </c>
      <c r="M437" s="2"/>
      <c r="N437" s="2"/>
      <c r="O437" s="2"/>
      <c r="P437" s="1">
        <f t="shared" si="3"/>
        <v>0</v>
      </c>
      <c r="Q437" s="1">
        <f t="shared" si="4"/>
        <v>0</v>
      </c>
      <c r="R437" s="1">
        <f t="shared" si="5"/>
        <v>0</v>
      </c>
      <c r="S437" s="6" t="s">
        <v>1564</v>
      </c>
    </row>
    <row r="438">
      <c r="A438" s="3" t="str">
        <f t="array" ref="A438">XLOOKUP(B438,Costos_Proveedores!$B$2:$B$2000,Costos_Proveedores!$A$2:$A$2000)</f>
        <v>GAMA</v>
      </c>
      <c r="B438" s="2" t="s">
        <v>1565</v>
      </c>
      <c r="C438" s="2" t="s">
        <v>1566</v>
      </c>
      <c r="D438" s="2" t="s">
        <v>1567</v>
      </c>
      <c r="E438" s="2" t="s">
        <v>31</v>
      </c>
      <c r="G438" s="2">
        <v>1.0</v>
      </c>
      <c r="H438" s="3">
        <f t="shared" si="1"/>
        <v>1</v>
      </c>
      <c r="I438" s="2" t="s">
        <v>22</v>
      </c>
      <c r="J438" s="4" t="str">
        <f>VLOOKUP(B438,Costos_Proveedores!$B$2:$J$1000,9,FALSE())</f>
        <v>#N/D</v>
      </c>
      <c r="K438" s="5">
        <f t="shared" si="2"/>
        <v>0</v>
      </c>
      <c r="L438" s="2"/>
      <c r="M438" s="2"/>
      <c r="N438" s="2"/>
      <c r="O438" s="2"/>
      <c r="P438" s="1">
        <f t="shared" si="3"/>
        <v>0</v>
      </c>
      <c r="Q438" s="1">
        <f t="shared" si="4"/>
        <v>0</v>
      </c>
      <c r="R438" s="1">
        <f t="shared" si="5"/>
        <v>0</v>
      </c>
      <c r="S438" s="6" t="s">
        <v>1568</v>
      </c>
    </row>
    <row r="439">
      <c r="A439" s="3" t="str">
        <f t="array" ref="A439">XLOOKUP(B439,Costos_Proveedores!$B$2:$B$2000,Costos_Proveedores!$A$2:$A$2000)</f>
        <v>GAMA</v>
      </c>
      <c r="B439" s="2" t="s">
        <v>1569</v>
      </c>
      <c r="C439" s="2" t="s">
        <v>1570</v>
      </c>
      <c r="D439" s="2" t="s">
        <v>1571</v>
      </c>
      <c r="E439" s="2" t="s">
        <v>47</v>
      </c>
      <c r="F439" s="2">
        <v>1.0</v>
      </c>
      <c r="G439" s="2">
        <v>1.0</v>
      </c>
      <c r="H439" s="3">
        <f t="shared" si="1"/>
        <v>2</v>
      </c>
      <c r="I439" s="2" t="s">
        <v>22</v>
      </c>
      <c r="J439" s="4">
        <f>VLOOKUP(B439,Costos_Proveedores!$B$2:$J$1000,9,FALSE())</f>
        <v>18145</v>
      </c>
      <c r="K439" s="5">
        <f t="shared" si="2"/>
        <v>36290</v>
      </c>
      <c r="L439" s="2">
        <v>1.0</v>
      </c>
      <c r="M439" s="2">
        <v>1.0</v>
      </c>
      <c r="N439" s="2">
        <v>0.0</v>
      </c>
      <c r="O439" s="2">
        <v>0.0</v>
      </c>
      <c r="P439" s="1">
        <f t="shared" si="3"/>
        <v>0</v>
      </c>
      <c r="Q439" s="1">
        <f t="shared" si="4"/>
        <v>0</v>
      </c>
      <c r="R439" s="1">
        <f t="shared" si="5"/>
        <v>0</v>
      </c>
      <c r="S439" s="6" t="s">
        <v>1572</v>
      </c>
    </row>
    <row r="440">
      <c r="A440" s="3" t="str">
        <f t="array" ref="A440">XLOOKUP(B440,Costos_Proveedores!$B$2:$B$2000,Costos_Proveedores!$A$2:$A$2000)</f>
        <v>GAMA</v>
      </c>
      <c r="B440" s="2" t="s">
        <v>1573</v>
      </c>
      <c r="C440" s="2" t="s">
        <v>1574</v>
      </c>
      <c r="D440" s="2" t="s">
        <v>1575</v>
      </c>
      <c r="E440" s="2" t="s">
        <v>31</v>
      </c>
      <c r="F440" s="2">
        <v>0.0</v>
      </c>
      <c r="G440" s="2">
        <v>0.0</v>
      </c>
      <c r="H440" s="3">
        <f t="shared" si="1"/>
        <v>0</v>
      </c>
      <c r="I440" s="2" t="s">
        <v>22</v>
      </c>
      <c r="J440" s="4">
        <f>VLOOKUP(B440,Costos_Proveedores!$B$2:$J$1000,9,FALSE())</f>
        <v>6045</v>
      </c>
      <c r="K440" s="5">
        <f t="shared" si="2"/>
        <v>0</v>
      </c>
      <c r="L440" s="2">
        <v>2.0</v>
      </c>
      <c r="M440" s="2">
        <v>2.0</v>
      </c>
      <c r="N440" s="2">
        <v>0.0</v>
      </c>
      <c r="O440" s="2">
        <v>0.0</v>
      </c>
      <c r="P440" s="1">
        <f t="shared" si="3"/>
        <v>2</v>
      </c>
      <c r="Q440" s="1">
        <f t="shared" si="4"/>
        <v>0</v>
      </c>
      <c r="R440" s="1">
        <f t="shared" si="5"/>
        <v>2</v>
      </c>
      <c r="S440" s="6" t="s">
        <v>1576</v>
      </c>
    </row>
    <row r="441">
      <c r="A441" s="3" t="str">
        <f t="array" ref="A441">XLOOKUP(B441,Costos_Proveedores!$B$2:$B$2000,Costos_Proveedores!$A$2:$A$2000)</f>
        <v>GAMA</v>
      </c>
      <c r="B441" s="2" t="s">
        <v>1577</v>
      </c>
      <c r="C441" s="2" t="s">
        <v>1578</v>
      </c>
      <c r="D441" s="2" t="s">
        <v>1579</v>
      </c>
      <c r="E441" s="2" t="s">
        <v>31</v>
      </c>
      <c r="G441" s="2">
        <v>1.0</v>
      </c>
      <c r="H441" s="3">
        <f t="shared" si="1"/>
        <v>1</v>
      </c>
      <c r="I441" s="2" t="s">
        <v>22</v>
      </c>
      <c r="J441" s="4" t="str">
        <f>VLOOKUP(B441,Costos_Proveedores!$B$2:$J$1000,9,FALSE())</f>
        <v>#N/D</v>
      </c>
      <c r="K441" s="5">
        <f t="shared" si="2"/>
        <v>0</v>
      </c>
      <c r="L441" s="2"/>
      <c r="M441" s="2"/>
      <c r="N441" s="2"/>
      <c r="O441" s="2"/>
      <c r="P441" s="1">
        <f t="shared" si="3"/>
        <v>0</v>
      </c>
      <c r="Q441" s="1">
        <f t="shared" si="4"/>
        <v>0</v>
      </c>
      <c r="R441" s="1">
        <f t="shared" si="5"/>
        <v>0</v>
      </c>
      <c r="S441" s="6" t="s">
        <v>1580</v>
      </c>
    </row>
    <row r="442">
      <c r="A442" s="3" t="str">
        <f t="array" ref="A442">XLOOKUP(B442,Costos_Proveedores!$B$2:$B$2000,Costos_Proveedores!$A$2:$A$2000)</f>
        <v>GAMA</v>
      </c>
      <c r="B442" s="2" t="s">
        <v>1581</v>
      </c>
      <c r="C442" s="2" t="s">
        <v>1582</v>
      </c>
      <c r="D442" s="2" t="s">
        <v>1583</v>
      </c>
      <c r="E442" s="2" t="s">
        <v>31</v>
      </c>
      <c r="G442" s="2">
        <v>1.0</v>
      </c>
      <c r="H442" s="3">
        <f t="shared" si="1"/>
        <v>1</v>
      </c>
      <c r="I442" s="2" t="s">
        <v>22</v>
      </c>
      <c r="J442" s="4" t="str">
        <f>VLOOKUP(B442,Costos_Proveedores!$B$2:$J$1000,9,FALSE())</f>
        <v>#N/D</v>
      </c>
      <c r="K442" s="5">
        <f t="shared" si="2"/>
        <v>0</v>
      </c>
      <c r="L442" s="2"/>
      <c r="M442" s="2"/>
      <c r="N442" s="2"/>
      <c r="O442" s="2"/>
      <c r="P442" s="1">
        <f t="shared" si="3"/>
        <v>0</v>
      </c>
      <c r="Q442" s="1">
        <f t="shared" si="4"/>
        <v>0</v>
      </c>
      <c r="R442" s="1">
        <f t="shared" si="5"/>
        <v>0</v>
      </c>
      <c r="S442" s="6" t="s">
        <v>1584</v>
      </c>
    </row>
    <row r="443">
      <c r="A443" s="3" t="str">
        <f t="array" ref="A443">XLOOKUP(B443,Costos_Proveedores!$B$2:$B$2000,Costos_Proveedores!$A$2:$A$2000)</f>
        <v>GAMA</v>
      </c>
      <c r="B443" s="2" t="s">
        <v>1585</v>
      </c>
      <c r="C443" s="2" t="s">
        <v>1586</v>
      </c>
      <c r="D443" s="2" t="s">
        <v>1587</v>
      </c>
      <c r="E443" s="2" t="s">
        <v>31</v>
      </c>
      <c r="F443" s="2">
        <v>0.0</v>
      </c>
      <c r="G443" s="2">
        <v>1.0</v>
      </c>
      <c r="H443" s="3">
        <f t="shared" si="1"/>
        <v>1</v>
      </c>
      <c r="I443" s="2" t="s">
        <v>22</v>
      </c>
      <c r="J443" s="4">
        <f>VLOOKUP(B443,Costos_Proveedores!$B$2:$J$1000,9,FALSE())</f>
        <v>38495</v>
      </c>
      <c r="K443" s="5">
        <f t="shared" si="2"/>
        <v>38495</v>
      </c>
      <c r="L443" s="2">
        <v>2.0</v>
      </c>
      <c r="M443" s="2">
        <v>2.0</v>
      </c>
      <c r="N443" s="2">
        <v>0.0</v>
      </c>
      <c r="O443" s="2">
        <v>0.0</v>
      </c>
      <c r="P443" s="1">
        <f t="shared" si="3"/>
        <v>2</v>
      </c>
      <c r="Q443" s="1">
        <f t="shared" si="4"/>
        <v>0</v>
      </c>
      <c r="R443" s="1">
        <f t="shared" si="5"/>
        <v>2</v>
      </c>
      <c r="S443" s="6" t="s">
        <v>1588</v>
      </c>
    </row>
    <row r="444">
      <c r="A444" s="3" t="str">
        <f t="array" ref="A444">XLOOKUP(B444,Costos_Proveedores!$B$2:$B$2000,Costos_Proveedores!$A$2:$A$2000)</f>
        <v>GAMA</v>
      </c>
      <c r="B444" s="2" t="s">
        <v>1589</v>
      </c>
      <c r="C444" s="2" t="s">
        <v>1590</v>
      </c>
      <c r="D444" s="2" t="s">
        <v>1591</v>
      </c>
      <c r="E444" s="2" t="s">
        <v>31</v>
      </c>
      <c r="G444" s="2">
        <v>1.0</v>
      </c>
      <c r="H444" s="3">
        <f t="shared" si="1"/>
        <v>1</v>
      </c>
      <c r="I444" s="2" t="s">
        <v>22</v>
      </c>
      <c r="J444" s="4" t="str">
        <f>VLOOKUP(B444,Costos_Proveedores!$B$2:$J$1000,9,FALSE())</f>
        <v>#N/D</v>
      </c>
      <c r="K444" s="5">
        <f t="shared" si="2"/>
        <v>0</v>
      </c>
      <c r="L444" s="2"/>
      <c r="M444" s="2"/>
      <c r="N444" s="2"/>
      <c r="O444" s="2"/>
      <c r="P444" s="1">
        <f t="shared" si="3"/>
        <v>0</v>
      </c>
      <c r="Q444" s="1">
        <f t="shared" si="4"/>
        <v>0</v>
      </c>
      <c r="R444" s="1">
        <f t="shared" si="5"/>
        <v>0</v>
      </c>
      <c r="S444" s="6" t="s">
        <v>1592</v>
      </c>
    </row>
    <row r="445">
      <c r="A445" s="3" t="str">
        <f t="array" ref="A445">XLOOKUP(B445,Costos_Proveedores!$B$2:$B$2000,Costos_Proveedores!$A$2:$A$2000)</f>
        <v>GAMA</v>
      </c>
      <c r="B445" s="2" t="s">
        <v>1593</v>
      </c>
      <c r="C445" s="2" t="s">
        <v>1594</v>
      </c>
      <c r="D445" s="2" t="s">
        <v>1595</v>
      </c>
      <c r="E445" s="2" t="s">
        <v>31</v>
      </c>
      <c r="F445" s="2">
        <v>0.0</v>
      </c>
      <c r="G445" s="2">
        <v>0.0</v>
      </c>
      <c r="H445" s="3">
        <f t="shared" si="1"/>
        <v>0</v>
      </c>
      <c r="I445" s="2" t="s">
        <v>22</v>
      </c>
      <c r="J445" s="4">
        <f>VLOOKUP(B445,Costos_Proveedores!$B$2:$J$1000,9,FALSE())</f>
        <v>10995</v>
      </c>
      <c r="K445" s="5">
        <f t="shared" si="2"/>
        <v>0</v>
      </c>
      <c r="L445" s="2">
        <v>2.0</v>
      </c>
      <c r="M445" s="2">
        <v>2.0</v>
      </c>
      <c r="N445" s="2">
        <v>0.0</v>
      </c>
      <c r="O445" s="2">
        <v>0.0</v>
      </c>
      <c r="P445" s="1">
        <f t="shared" si="3"/>
        <v>2</v>
      </c>
      <c r="Q445" s="1">
        <f t="shared" si="4"/>
        <v>0</v>
      </c>
      <c r="R445" s="1">
        <f t="shared" si="5"/>
        <v>2</v>
      </c>
      <c r="S445" s="6" t="s">
        <v>1596</v>
      </c>
    </row>
    <row r="446">
      <c r="A446" s="3" t="str">
        <f t="array" ref="A446">XLOOKUP(B446,Costos_Proveedores!$B$2:$B$2000,Costos_Proveedores!$A$2:$A$2000)</f>
        <v>GAMA</v>
      </c>
      <c r="B446" s="2" t="s">
        <v>1597</v>
      </c>
      <c r="C446" s="2" t="s">
        <v>1598</v>
      </c>
      <c r="D446" s="2" t="s">
        <v>1599</v>
      </c>
      <c r="E446" s="2" t="s">
        <v>31</v>
      </c>
      <c r="F446" s="2">
        <v>0.0</v>
      </c>
      <c r="G446" s="2">
        <v>0.0</v>
      </c>
      <c r="H446" s="3">
        <f t="shared" si="1"/>
        <v>0</v>
      </c>
      <c r="I446" s="2" t="s">
        <v>22</v>
      </c>
      <c r="J446" s="4">
        <f>VLOOKUP(B446,Costos_Proveedores!$B$2:$J$1000,9,FALSE())</f>
        <v>21995</v>
      </c>
      <c r="K446" s="5">
        <f t="shared" si="2"/>
        <v>0</v>
      </c>
      <c r="L446" s="2">
        <v>2.0</v>
      </c>
      <c r="M446" s="2">
        <v>2.0</v>
      </c>
      <c r="N446" s="2">
        <v>0.0</v>
      </c>
      <c r="O446" s="2">
        <v>0.0</v>
      </c>
      <c r="P446" s="1">
        <f t="shared" si="3"/>
        <v>2</v>
      </c>
      <c r="Q446" s="1">
        <f t="shared" si="4"/>
        <v>0</v>
      </c>
      <c r="R446" s="1">
        <f t="shared" si="5"/>
        <v>2</v>
      </c>
      <c r="S446" s="6" t="s">
        <v>1600</v>
      </c>
    </row>
    <row r="447">
      <c r="A447" s="3" t="str">
        <f t="array" ref="A447">XLOOKUP(B447,Costos_Proveedores!$B$2:$B$2000,Costos_Proveedores!$A$2:$A$2000)</f>
        <v>GAMA</v>
      </c>
      <c r="B447" s="2" t="s">
        <v>1601</v>
      </c>
      <c r="C447" s="2" t="s">
        <v>1602</v>
      </c>
      <c r="D447" s="2" t="s">
        <v>1603</v>
      </c>
      <c r="E447" s="2" t="s">
        <v>31</v>
      </c>
      <c r="G447" s="2">
        <v>1.0</v>
      </c>
      <c r="H447" s="3">
        <f t="shared" si="1"/>
        <v>1</v>
      </c>
      <c r="I447" s="2" t="s">
        <v>22</v>
      </c>
      <c r="J447" s="4" t="str">
        <f>VLOOKUP(B447,Costos_Proveedores!$B$2:$J$1000,9,FALSE())</f>
        <v>#N/D</v>
      </c>
      <c r="K447" s="5">
        <f t="shared" si="2"/>
        <v>0</v>
      </c>
      <c r="L447" s="2"/>
      <c r="M447" s="2"/>
      <c r="N447" s="2"/>
      <c r="O447" s="2"/>
      <c r="P447" s="1">
        <f t="shared" si="3"/>
        <v>0</v>
      </c>
      <c r="Q447" s="1">
        <f t="shared" si="4"/>
        <v>0</v>
      </c>
      <c r="R447" s="1">
        <f t="shared" si="5"/>
        <v>0</v>
      </c>
      <c r="S447" s="6" t="s">
        <v>1604</v>
      </c>
    </row>
    <row r="448">
      <c r="A448" s="3" t="str">
        <f t="array" ref="A448">XLOOKUP(B448,Costos_Proveedores!$B$2:$B$2000,Costos_Proveedores!$A$2:$A$2000)</f>
        <v>GAMA</v>
      </c>
      <c r="B448" s="2" t="s">
        <v>1605</v>
      </c>
      <c r="C448" s="2" t="s">
        <v>1606</v>
      </c>
      <c r="D448" s="2" t="s">
        <v>1607</v>
      </c>
      <c r="E448" s="2" t="s">
        <v>31</v>
      </c>
      <c r="G448" s="2">
        <v>1.0</v>
      </c>
      <c r="H448" s="3">
        <f t="shared" si="1"/>
        <v>1</v>
      </c>
      <c r="I448" s="2" t="s">
        <v>22</v>
      </c>
      <c r="J448" s="4" t="str">
        <f>VLOOKUP(B448,Costos_Proveedores!$B$2:$J$1000,9,FALSE())</f>
        <v>#N/D</v>
      </c>
      <c r="K448" s="5">
        <f t="shared" si="2"/>
        <v>0</v>
      </c>
      <c r="L448" s="2"/>
      <c r="M448" s="2"/>
      <c r="N448" s="2"/>
      <c r="O448" s="2"/>
      <c r="P448" s="1">
        <f t="shared" si="3"/>
        <v>0</v>
      </c>
      <c r="Q448" s="1">
        <f t="shared" si="4"/>
        <v>0</v>
      </c>
      <c r="R448" s="1">
        <f t="shared" si="5"/>
        <v>0</v>
      </c>
      <c r="S448" s="6" t="s">
        <v>1608</v>
      </c>
    </row>
    <row r="449">
      <c r="A449" s="3" t="str">
        <f t="array" ref="A449">XLOOKUP(B449,Costos_Proveedores!$B$2:$B$2000,Costos_Proveedores!$A$2:$A$2000)</f>
        <v>KUNA</v>
      </c>
      <c r="B449" s="2" t="s">
        <v>1609</v>
      </c>
      <c r="C449" s="2" t="s">
        <v>1610</v>
      </c>
      <c r="D449" s="2" t="s">
        <v>1611</v>
      </c>
      <c r="E449" s="2" t="s">
        <v>31</v>
      </c>
      <c r="F449" s="2">
        <v>0.0</v>
      </c>
      <c r="G449" s="2">
        <v>1.0</v>
      </c>
      <c r="H449" s="3">
        <f t="shared" si="1"/>
        <v>0</v>
      </c>
      <c r="I449" s="2" t="s">
        <v>232</v>
      </c>
      <c r="J449" s="4">
        <f>VLOOKUP(B449,Costos_Proveedores!$B$2:$J$1000,9,FALSE())</f>
        <v>2303</v>
      </c>
      <c r="K449" s="5">
        <f t="shared" si="2"/>
        <v>0</v>
      </c>
      <c r="L449" s="2">
        <v>13.0</v>
      </c>
      <c r="M449" s="2">
        <v>20.0</v>
      </c>
      <c r="N449" s="2">
        <v>0.0</v>
      </c>
      <c r="O449" s="2">
        <v>0.0</v>
      </c>
      <c r="P449" s="1">
        <f t="shared" si="3"/>
        <v>20</v>
      </c>
      <c r="Q449" s="1">
        <f t="shared" si="4"/>
        <v>0</v>
      </c>
      <c r="R449" s="1">
        <f t="shared" si="5"/>
        <v>20</v>
      </c>
      <c r="S449" s="6" t="s">
        <v>1612</v>
      </c>
    </row>
    <row r="450">
      <c r="A450" s="3" t="str">
        <f t="array" ref="A450">XLOOKUP(B450,Costos_Proveedores!$B$2:$B$2000,Costos_Proveedores!$A$2:$A$2000)</f>
        <v>GAMA</v>
      </c>
      <c r="B450" s="2" t="s">
        <v>1613</v>
      </c>
      <c r="C450" s="2" t="s">
        <v>1614</v>
      </c>
      <c r="D450" s="2" t="s">
        <v>1615</v>
      </c>
      <c r="E450" s="2" t="s">
        <v>31</v>
      </c>
      <c r="G450" s="2">
        <v>1.0</v>
      </c>
      <c r="H450" s="3">
        <f t="shared" si="1"/>
        <v>1</v>
      </c>
      <c r="I450" s="2" t="s">
        <v>22</v>
      </c>
      <c r="J450" s="4" t="str">
        <f>VLOOKUP(B450,Costos_Proveedores!$B$2:$J$1000,9,FALSE())</f>
        <v>#N/D</v>
      </c>
      <c r="K450" s="5">
        <f t="shared" si="2"/>
        <v>0</v>
      </c>
      <c r="L450" s="2"/>
      <c r="M450" s="2"/>
      <c r="N450" s="2"/>
      <c r="O450" s="2"/>
      <c r="P450" s="1">
        <f t="shared" si="3"/>
        <v>0</v>
      </c>
      <c r="Q450" s="1">
        <f t="shared" si="4"/>
        <v>0</v>
      </c>
      <c r="R450" s="1">
        <f t="shared" si="5"/>
        <v>0</v>
      </c>
      <c r="S450" s="6" t="s">
        <v>1616</v>
      </c>
    </row>
    <row r="451">
      <c r="A451" s="3" t="str">
        <f t="array" ref="A451">XLOOKUP(B451,Costos_Proveedores!$B$2:$B$2000,Costos_Proveedores!$A$2:$A$2000)</f>
        <v>GAMA</v>
      </c>
      <c r="B451" s="2" t="s">
        <v>1617</v>
      </c>
      <c r="C451" s="2" t="s">
        <v>1618</v>
      </c>
      <c r="D451" s="2" t="s">
        <v>1619</v>
      </c>
      <c r="E451" s="2" t="s">
        <v>47</v>
      </c>
      <c r="F451" s="2">
        <v>1.0</v>
      </c>
      <c r="G451" s="2">
        <v>0.0</v>
      </c>
      <c r="H451" s="3">
        <f t="shared" si="1"/>
        <v>1</v>
      </c>
      <c r="I451" s="2" t="s">
        <v>22</v>
      </c>
      <c r="J451" s="4">
        <f>VLOOKUP(B451,Costos_Proveedores!$B$2:$J$1000,9,FALSE())</f>
        <v>8245</v>
      </c>
      <c r="K451" s="5">
        <f t="shared" si="2"/>
        <v>8245</v>
      </c>
      <c r="L451" s="2">
        <v>1.0</v>
      </c>
      <c r="M451" s="2">
        <v>1.0</v>
      </c>
      <c r="N451" s="2">
        <v>0.0</v>
      </c>
      <c r="O451" s="2">
        <v>0.0</v>
      </c>
      <c r="P451" s="1">
        <f t="shared" si="3"/>
        <v>0</v>
      </c>
      <c r="Q451" s="1">
        <f t="shared" si="4"/>
        <v>0</v>
      </c>
      <c r="R451" s="1">
        <f t="shared" si="5"/>
        <v>0</v>
      </c>
      <c r="S451" s="6" t="s">
        <v>1620</v>
      </c>
    </row>
    <row r="452">
      <c r="A452" s="3" t="str">
        <f t="array" ref="A452">XLOOKUP(B452,Costos_Proveedores!$B$2:$B$2000,Costos_Proveedores!$A$2:$A$2000)</f>
        <v>GAMA</v>
      </c>
      <c r="B452" s="2" t="s">
        <v>1621</v>
      </c>
      <c r="C452" s="2" t="s">
        <v>1622</v>
      </c>
      <c r="D452" s="2" t="s">
        <v>1623</v>
      </c>
      <c r="E452" s="2" t="s">
        <v>31</v>
      </c>
      <c r="G452" s="2">
        <v>1.0</v>
      </c>
      <c r="H452" s="3">
        <f t="shared" si="1"/>
        <v>1</v>
      </c>
      <c r="I452" s="2" t="s">
        <v>22</v>
      </c>
      <c r="J452" s="4" t="str">
        <f>VLOOKUP(B452,Costos_Proveedores!$B$2:$J$1000,9,FALSE())</f>
        <v>#N/D</v>
      </c>
      <c r="K452" s="5">
        <f t="shared" si="2"/>
        <v>0</v>
      </c>
      <c r="L452" s="2"/>
      <c r="M452" s="2"/>
      <c r="N452" s="2"/>
      <c r="O452" s="2"/>
      <c r="P452" s="1">
        <f t="shared" si="3"/>
        <v>0</v>
      </c>
      <c r="Q452" s="1">
        <f t="shared" si="4"/>
        <v>0</v>
      </c>
      <c r="R452" s="1">
        <f t="shared" si="5"/>
        <v>0</v>
      </c>
      <c r="S452" s="6" t="s">
        <v>1624</v>
      </c>
    </row>
    <row r="453">
      <c r="A453" s="3" t="str">
        <f t="array" ref="A453">XLOOKUP(B453,Costos_Proveedores!$B$2:$B$2000,Costos_Proveedores!$A$2:$A$2000)</f>
        <v>KUNA</v>
      </c>
      <c r="B453" s="2" t="s">
        <v>1625</v>
      </c>
      <c r="C453" s="2" t="s">
        <v>1626</v>
      </c>
      <c r="D453" s="2" t="s">
        <v>1627</v>
      </c>
      <c r="E453" s="2" t="s">
        <v>31</v>
      </c>
      <c r="F453" s="2">
        <v>0.0</v>
      </c>
      <c r="G453" s="2">
        <v>1.0</v>
      </c>
      <c r="H453" s="3">
        <f t="shared" si="1"/>
        <v>0</v>
      </c>
      <c r="I453" s="2" t="s">
        <v>232</v>
      </c>
      <c r="J453" s="4" t="str">
        <f>VLOOKUP(B453,Costos_Proveedores!$B$2:$J$1000,9,FALSE())</f>
        <v>$ 524</v>
      </c>
      <c r="K453" s="5">
        <f t="shared" si="2"/>
        <v>0</v>
      </c>
      <c r="L453" s="2">
        <v>3.0</v>
      </c>
      <c r="M453" s="2">
        <v>3.0</v>
      </c>
      <c r="N453" s="2">
        <v>0.0</v>
      </c>
      <c r="O453" s="2">
        <v>0.0</v>
      </c>
      <c r="P453" s="1">
        <f t="shared" si="3"/>
        <v>3</v>
      </c>
      <c r="Q453" s="1">
        <f t="shared" si="4"/>
        <v>0</v>
      </c>
      <c r="R453" s="1">
        <f t="shared" si="5"/>
        <v>3</v>
      </c>
      <c r="S453" s="6" t="s">
        <v>1628</v>
      </c>
    </row>
    <row r="454">
      <c r="A454" s="3" t="str">
        <f t="array" ref="A454">XLOOKUP(B454,Costos_Proveedores!$B$2:$B$2000,Costos_Proveedores!$A$2:$A$2000)</f>
        <v>KUNA</v>
      </c>
      <c r="B454" s="2" t="s">
        <v>1629</v>
      </c>
      <c r="C454" s="2" t="s">
        <v>1630</v>
      </c>
      <c r="D454" s="2" t="s">
        <v>1631</v>
      </c>
      <c r="E454" s="2" t="s">
        <v>47</v>
      </c>
      <c r="F454" s="2">
        <v>3.0</v>
      </c>
      <c r="G454" s="2">
        <v>1.0</v>
      </c>
      <c r="H454" s="3">
        <f t="shared" si="1"/>
        <v>3</v>
      </c>
      <c r="I454" s="2" t="s">
        <v>232</v>
      </c>
      <c r="J454" s="4">
        <f>VLOOKUP(B454,Costos_Proveedores!$B$2:$J$1000,9,FALSE())</f>
        <v>2850</v>
      </c>
      <c r="K454" s="5">
        <f t="shared" si="2"/>
        <v>8550</v>
      </c>
      <c r="L454" s="2">
        <v>1.0</v>
      </c>
      <c r="M454" s="2">
        <v>1.0</v>
      </c>
      <c r="N454" s="2">
        <v>0.0</v>
      </c>
      <c r="O454" s="2">
        <v>0.0</v>
      </c>
      <c r="P454" s="1">
        <f t="shared" si="3"/>
        <v>0</v>
      </c>
      <c r="Q454" s="1">
        <f t="shared" si="4"/>
        <v>0</v>
      </c>
      <c r="R454" s="1">
        <f t="shared" si="5"/>
        <v>0</v>
      </c>
      <c r="S454" s="6" t="s">
        <v>1632</v>
      </c>
    </row>
    <row r="455">
      <c r="A455" s="3" t="str">
        <f t="array" ref="A455">XLOOKUP(B455,Costos_Proveedores!$B$2:$B$2000,Costos_Proveedores!$A$2:$A$2000)</f>
        <v>KUNA</v>
      </c>
      <c r="B455" s="2" t="s">
        <v>1633</v>
      </c>
      <c r="C455" s="2" t="s">
        <v>1634</v>
      </c>
      <c r="D455" s="2" t="s">
        <v>1635</v>
      </c>
      <c r="E455" s="2" t="s">
        <v>47</v>
      </c>
      <c r="F455" s="2">
        <v>1.0</v>
      </c>
      <c r="G455" s="2">
        <v>1.0</v>
      </c>
      <c r="H455" s="3">
        <f t="shared" si="1"/>
        <v>1</v>
      </c>
      <c r="I455" s="2" t="s">
        <v>232</v>
      </c>
      <c r="J455" s="4" t="str">
        <f>VLOOKUP(B455,Costos_Proveedores!$B$2:$J$1000,9,FALSE())</f>
        <v>$ 524</v>
      </c>
      <c r="K455" s="5">
        <f t="shared" si="2"/>
        <v>524</v>
      </c>
      <c r="L455" s="2">
        <v>4.0</v>
      </c>
      <c r="M455" s="2">
        <v>4.0</v>
      </c>
      <c r="N455" s="2">
        <v>0.0</v>
      </c>
      <c r="O455" s="2">
        <v>0.0</v>
      </c>
      <c r="P455" s="1">
        <f t="shared" si="3"/>
        <v>3</v>
      </c>
      <c r="Q455" s="1">
        <f t="shared" si="4"/>
        <v>0</v>
      </c>
      <c r="R455" s="1">
        <f t="shared" si="5"/>
        <v>3</v>
      </c>
      <c r="S455" s="6" t="s">
        <v>1636</v>
      </c>
    </row>
    <row r="456">
      <c r="A456" s="3" t="str">
        <f t="array" ref="A456">XLOOKUP(B456,Costos_Proveedores!$B$2:$B$2000,Costos_Proveedores!$A$2:$A$2000)</f>
        <v>KUNA</v>
      </c>
      <c r="B456" s="2" t="s">
        <v>1637</v>
      </c>
      <c r="C456" s="2" t="s">
        <v>1638</v>
      </c>
      <c r="D456" s="2" t="s">
        <v>1639</v>
      </c>
      <c r="E456" s="2" t="s">
        <v>31</v>
      </c>
      <c r="F456" s="2">
        <v>0.0</v>
      </c>
      <c r="G456" s="2">
        <v>1.0</v>
      </c>
      <c r="H456" s="3">
        <f t="shared" si="1"/>
        <v>0</v>
      </c>
      <c r="I456" s="2" t="s">
        <v>232</v>
      </c>
      <c r="J456" s="4" t="str">
        <f>VLOOKUP(B456,Costos_Proveedores!$B$2:$J$1000,9,FALSE())</f>
        <v>$ 524</v>
      </c>
      <c r="K456" s="5">
        <f t="shared" si="2"/>
        <v>0</v>
      </c>
      <c r="L456" s="2">
        <v>5.0</v>
      </c>
      <c r="M456" s="2">
        <v>5.0</v>
      </c>
      <c r="N456" s="2">
        <v>0.0</v>
      </c>
      <c r="O456" s="2">
        <v>0.0</v>
      </c>
      <c r="P456" s="1">
        <f t="shared" si="3"/>
        <v>5</v>
      </c>
      <c r="Q456" s="1">
        <f t="shared" si="4"/>
        <v>0</v>
      </c>
      <c r="R456" s="1">
        <f t="shared" si="5"/>
        <v>5</v>
      </c>
      <c r="S456" s="6" t="s">
        <v>1640</v>
      </c>
    </row>
    <row r="457">
      <c r="A457" s="3" t="str">
        <f t="array" ref="A457">XLOOKUP(B457,Costos_Proveedores!$B$2:$B$2000,Costos_Proveedores!$A$2:$A$2000)</f>
        <v>KUNA</v>
      </c>
      <c r="B457" s="2" t="s">
        <v>1641</v>
      </c>
      <c r="C457" s="2" t="s">
        <v>1642</v>
      </c>
      <c r="D457" s="2" t="s">
        <v>1643</v>
      </c>
      <c r="E457" s="2" t="s">
        <v>31</v>
      </c>
      <c r="F457" s="2">
        <v>0.0</v>
      </c>
      <c r="G457" s="2">
        <v>1.0</v>
      </c>
      <c r="H457" s="3">
        <f t="shared" si="1"/>
        <v>0</v>
      </c>
      <c r="I457" s="2" t="s">
        <v>232</v>
      </c>
      <c r="J457" s="4">
        <f>VLOOKUP(B457,Costos_Proveedores!$B$2:$J$1000,9,FALSE())</f>
        <v>2850</v>
      </c>
      <c r="K457" s="5">
        <f t="shared" si="2"/>
        <v>0</v>
      </c>
      <c r="L457" s="2">
        <v>3.0</v>
      </c>
      <c r="M457" s="2">
        <v>3.0</v>
      </c>
      <c r="N457" s="2">
        <v>0.0</v>
      </c>
      <c r="O457" s="2">
        <v>0.0</v>
      </c>
      <c r="P457" s="1">
        <f t="shared" si="3"/>
        <v>3</v>
      </c>
      <c r="Q457" s="1">
        <f t="shared" si="4"/>
        <v>0</v>
      </c>
      <c r="R457" s="1">
        <f t="shared" si="5"/>
        <v>3</v>
      </c>
      <c r="S457" s="6" t="s">
        <v>1644</v>
      </c>
    </row>
    <row r="458">
      <c r="A458" s="3" t="str">
        <f t="array" ref="A458">XLOOKUP(B458,Costos_Proveedores!$B$2:$B$2000,Costos_Proveedores!$A$2:$A$2000)</f>
        <v>KUNA</v>
      </c>
      <c r="B458" s="2" t="s">
        <v>1645</v>
      </c>
      <c r="C458" s="2" t="s">
        <v>1646</v>
      </c>
      <c r="D458" s="2" t="s">
        <v>1647</v>
      </c>
      <c r="E458" s="2" t="s">
        <v>31</v>
      </c>
      <c r="F458" s="2">
        <v>0.0</v>
      </c>
      <c r="G458" s="2">
        <v>1.0</v>
      </c>
      <c r="H458" s="3">
        <f t="shared" si="1"/>
        <v>0</v>
      </c>
      <c r="I458" s="2" t="s">
        <v>232</v>
      </c>
      <c r="J458" s="4" t="str">
        <f>VLOOKUP(B458,Costos_Proveedores!$B$2:$J$1000,9,FALSE())</f>
        <v>$ 524</v>
      </c>
      <c r="K458" s="5">
        <f t="shared" si="2"/>
        <v>0</v>
      </c>
      <c r="L458" s="2">
        <v>5.0</v>
      </c>
      <c r="M458" s="2">
        <v>5.0</v>
      </c>
      <c r="N458" s="2">
        <v>0.0</v>
      </c>
      <c r="O458" s="2">
        <v>0.0</v>
      </c>
      <c r="P458" s="1">
        <f t="shared" si="3"/>
        <v>5</v>
      </c>
      <c r="Q458" s="1">
        <f t="shared" si="4"/>
        <v>0</v>
      </c>
      <c r="R458" s="1">
        <f t="shared" si="5"/>
        <v>5</v>
      </c>
      <c r="S458" s="6" t="s">
        <v>1648</v>
      </c>
    </row>
    <row r="459">
      <c r="A459" s="3" t="str">
        <f t="array" ref="A459">XLOOKUP(B459,Costos_Proveedores!$B$2:$B$2000,Costos_Proveedores!$A$2:$A$2000)</f>
        <v>KUNA</v>
      </c>
      <c r="B459" s="2" t="s">
        <v>1649</v>
      </c>
      <c r="C459" s="2" t="s">
        <v>1650</v>
      </c>
      <c r="D459" s="2" t="s">
        <v>1651</v>
      </c>
      <c r="E459" s="2" t="s">
        <v>31</v>
      </c>
      <c r="F459" s="2">
        <v>0.0</v>
      </c>
      <c r="G459" s="2">
        <v>1.0</v>
      </c>
      <c r="H459" s="3">
        <f t="shared" si="1"/>
        <v>0</v>
      </c>
      <c r="I459" s="2" t="s">
        <v>232</v>
      </c>
      <c r="J459" s="4">
        <f>VLOOKUP(B459,Costos_Proveedores!$B$2:$J$1000,9,FALSE())</f>
        <v>1777</v>
      </c>
      <c r="K459" s="5">
        <f t="shared" si="2"/>
        <v>0</v>
      </c>
      <c r="L459" s="2">
        <v>8.0</v>
      </c>
      <c r="M459" s="2">
        <v>7.0</v>
      </c>
      <c r="N459" s="2">
        <v>0.0</v>
      </c>
      <c r="O459" s="2">
        <v>0.0</v>
      </c>
      <c r="P459" s="1">
        <f t="shared" si="3"/>
        <v>7</v>
      </c>
      <c r="Q459" s="1">
        <f t="shared" si="4"/>
        <v>0</v>
      </c>
      <c r="R459" s="1">
        <f t="shared" si="5"/>
        <v>7</v>
      </c>
      <c r="S459" s="6" t="s">
        <v>1652</v>
      </c>
    </row>
    <row r="460">
      <c r="A460" s="3" t="str">
        <f t="array" ref="A460">XLOOKUP(B460,Costos_Proveedores!$B$2:$B$2000,Costos_Proveedores!$A$2:$A$2000)</f>
        <v>KUNA</v>
      </c>
      <c r="B460" s="2" t="s">
        <v>1653</v>
      </c>
      <c r="C460" s="2" t="s">
        <v>1654</v>
      </c>
      <c r="D460" s="2" t="s">
        <v>1655</v>
      </c>
      <c r="E460" s="2" t="s">
        <v>31</v>
      </c>
      <c r="F460" s="2">
        <v>0.0</v>
      </c>
      <c r="G460" s="2">
        <v>1.0</v>
      </c>
      <c r="H460" s="3">
        <f t="shared" si="1"/>
        <v>0</v>
      </c>
      <c r="I460" s="2" t="s">
        <v>232</v>
      </c>
      <c r="J460" s="4" t="str">
        <f>VLOOKUP(B460,Costos_Proveedores!$B$2:$J$1000,9,FALSE())</f>
        <v>$ 524</v>
      </c>
      <c r="K460" s="5">
        <f t="shared" si="2"/>
        <v>0</v>
      </c>
      <c r="L460" s="2">
        <v>5.0</v>
      </c>
      <c r="M460" s="2">
        <v>5.0</v>
      </c>
      <c r="N460" s="2">
        <v>0.0</v>
      </c>
      <c r="O460" s="2">
        <v>0.0</v>
      </c>
      <c r="P460" s="1">
        <f t="shared" si="3"/>
        <v>5</v>
      </c>
      <c r="Q460" s="1">
        <f t="shared" si="4"/>
        <v>0</v>
      </c>
      <c r="R460" s="1">
        <f t="shared" si="5"/>
        <v>5</v>
      </c>
      <c r="S460" s="6" t="s">
        <v>1656</v>
      </c>
    </row>
    <row r="461">
      <c r="A461" s="3" t="str">
        <f t="array" ref="A461">XLOOKUP(B461,Costos_Proveedores!$B$2:$B$2000,Costos_Proveedores!$A$2:$A$2000)</f>
        <v>KUNA</v>
      </c>
      <c r="B461" s="2" t="s">
        <v>1657</v>
      </c>
      <c r="C461" s="2" t="s">
        <v>1658</v>
      </c>
      <c r="D461" s="2" t="s">
        <v>1659</v>
      </c>
      <c r="E461" s="2" t="s">
        <v>31</v>
      </c>
      <c r="F461" s="2">
        <v>0.0</v>
      </c>
      <c r="G461" s="2">
        <v>1.0</v>
      </c>
      <c r="H461" s="3">
        <f t="shared" si="1"/>
        <v>0</v>
      </c>
      <c r="I461" s="2" t="s">
        <v>232</v>
      </c>
      <c r="J461" s="4">
        <f>VLOOKUP(B461,Costos_Proveedores!$B$2:$J$1000,9,FALSE())</f>
        <v>1777</v>
      </c>
      <c r="K461" s="5">
        <f t="shared" si="2"/>
        <v>0</v>
      </c>
      <c r="L461" s="2">
        <v>10.0</v>
      </c>
      <c r="M461" s="2">
        <v>10.0</v>
      </c>
      <c r="N461" s="2">
        <v>0.0</v>
      </c>
      <c r="O461" s="2">
        <v>0.0</v>
      </c>
      <c r="P461" s="1">
        <f t="shared" si="3"/>
        <v>10</v>
      </c>
      <c r="Q461" s="1">
        <f t="shared" si="4"/>
        <v>0</v>
      </c>
      <c r="R461" s="1">
        <f t="shared" si="5"/>
        <v>10</v>
      </c>
      <c r="S461" s="6" t="s">
        <v>1660</v>
      </c>
    </row>
    <row r="462">
      <c r="A462" s="3" t="str">
        <f t="array" ref="A462">XLOOKUP(B462,Costos_Proveedores!$B$2:$B$2000,Costos_Proveedores!$A$2:$A$2000)</f>
        <v>KUNA</v>
      </c>
      <c r="B462" s="2" t="s">
        <v>1661</v>
      </c>
      <c r="C462" s="2" t="s">
        <v>1662</v>
      </c>
      <c r="D462" s="2" t="s">
        <v>1663</v>
      </c>
      <c r="E462" s="2" t="s">
        <v>47</v>
      </c>
      <c r="F462" s="2">
        <v>2.0</v>
      </c>
      <c r="G462" s="2">
        <v>1.0</v>
      </c>
      <c r="H462" s="3">
        <f t="shared" si="1"/>
        <v>2</v>
      </c>
      <c r="I462" s="2" t="s">
        <v>232</v>
      </c>
      <c r="J462" s="4">
        <f>VLOOKUP(B462,Costos_Proveedores!$B$2:$J$1000,9,FALSE())</f>
        <v>2850</v>
      </c>
      <c r="K462" s="5">
        <f t="shared" si="2"/>
        <v>5700</v>
      </c>
      <c r="L462" s="2">
        <v>1.0</v>
      </c>
      <c r="M462" s="2">
        <v>1.0</v>
      </c>
      <c r="N462" s="2">
        <v>0.0</v>
      </c>
      <c r="O462" s="2">
        <v>0.0</v>
      </c>
      <c r="P462" s="1">
        <f t="shared" si="3"/>
        <v>0</v>
      </c>
      <c r="Q462" s="1">
        <f t="shared" si="4"/>
        <v>0</v>
      </c>
      <c r="R462" s="1">
        <f t="shared" si="5"/>
        <v>0</v>
      </c>
      <c r="S462" s="6" t="s">
        <v>1664</v>
      </c>
    </row>
    <row r="463">
      <c r="A463" s="3" t="str">
        <f t="array" ref="A463">XLOOKUP(B463,Costos_Proveedores!$B$2:$B$2000,Costos_Proveedores!$A$2:$A$2000)</f>
        <v>BLENDS N TEA</v>
      </c>
      <c r="B463" s="2" t="s">
        <v>1665</v>
      </c>
      <c r="C463" s="2" t="s">
        <v>1666</v>
      </c>
      <c r="D463" s="2" t="s">
        <v>1667</v>
      </c>
      <c r="E463" s="2" t="s">
        <v>31</v>
      </c>
      <c r="F463" s="2">
        <v>0.0</v>
      </c>
      <c r="G463" s="2">
        <v>1.0</v>
      </c>
      <c r="H463" s="3">
        <f t="shared" si="1"/>
        <v>0</v>
      </c>
      <c r="I463" s="2" t="s">
        <v>232</v>
      </c>
      <c r="J463" s="4">
        <f>VLOOKUP(B463,Costos_Proveedores!$B$2:$J$1000,9,FALSE())</f>
        <v>6694</v>
      </c>
      <c r="K463" s="5">
        <f t="shared" si="2"/>
        <v>0</v>
      </c>
      <c r="L463" s="2">
        <v>10.0</v>
      </c>
      <c r="M463" s="2">
        <v>12.0</v>
      </c>
      <c r="N463" s="2">
        <v>0.0</v>
      </c>
      <c r="O463" s="2">
        <v>0.0</v>
      </c>
      <c r="P463" s="1">
        <f t="shared" si="3"/>
        <v>12</v>
      </c>
      <c r="Q463" s="1">
        <f t="shared" si="4"/>
        <v>0</v>
      </c>
      <c r="R463" s="1">
        <f t="shared" si="5"/>
        <v>12</v>
      </c>
      <c r="S463" s="6" t="s">
        <v>1668</v>
      </c>
    </row>
    <row r="464">
      <c r="A464" s="3" t="str">
        <f t="array" ref="A464">XLOOKUP(B464,Costos_Proveedores!$B$2:$B$2000,Costos_Proveedores!$A$2:$A$2000)</f>
        <v>MULI</v>
      </c>
      <c r="B464" s="2" t="s">
        <v>1669</v>
      </c>
      <c r="C464" s="2">
        <v>106498.0</v>
      </c>
      <c r="D464" s="2" t="s">
        <v>1670</v>
      </c>
      <c r="E464" s="2" t="s">
        <v>31</v>
      </c>
      <c r="G464" s="2">
        <v>0.0</v>
      </c>
      <c r="H464" s="3">
        <f t="shared" si="1"/>
        <v>0</v>
      </c>
      <c r="I464" s="2" t="s">
        <v>22</v>
      </c>
      <c r="J464" s="4">
        <f>VLOOKUP(B464,Costos_Proveedores!$B$2:$J$1000,9,FALSE())</f>
        <v>8064</v>
      </c>
      <c r="K464" s="5">
        <f t="shared" si="2"/>
        <v>0</v>
      </c>
      <c r="L464" s="2">
        <v>19.0</v>
      </c>
      <c r="M464" s="2">
        <v>0.0</v>
      </c>
      <c r="N464" s="2">
        <v>5.0</v>
      </c>
      <c r="O464" s="2">
        <v>14.0</v>
      </c>
      <c r="P464" s="1">
        <f t="shared" si="3"/>
        <v>0</v>
      </c>
      <c r="Q464" s="1">
        <f t="shared" si="4"/>
        <v>19</v>
      </c>
      <c r="R464" s="1">
        <f t="shared" si="5"/>
        <v>19</v>
      </c>
      <c r="S464" s="6" t="s">
        <v>1671</v>
      </c>
    </row>
    <row r="465">
      <c r="A465" s="3" t="str">
        <f t="array" ref="A465">XLOOKUP(B465,Costos_Proveedores!$B$2:$B$2000,Costos_Proveedores!$A$2:$A$2000)</f>
        <v>STRIVE</v>
      </c>
      <c r="B465" s="2" t="s">
        <v>1672</v>
      </c>
      <c r="C465" s="2">
        <v>7.99192588853E11</v>
      </c>
      <c r="D465" s="2" t="s">
        <v>1673</v>
      </c>
      <c r="E465" s="2" t="s">
        <v>47</v>
      </c>
      <c r="F465" s="2">
        <v>49.0</v>
      </c>
      <c r="G465" s="2">
        <v>260.0</v>
      </c>
      <c r="H465" s="3">
        <f t="shared" si="1"/>
        <v>49</v>
      </c>
      <c r="I465" s="2" t="s">
        <v>232</v>
      </c>
      <c r="J465" s="4">
        <f>VLOOKUP(B465,Costos_Proveedores!$B$2:$J$1000,9,FALSE())</f>
        <v>18195</v>
      </c>
      <c r="K465" s="5">
        <f t="shared" si="2"/>
        <v>891555</v>
      </c>
      <c r="L465" s="2">
        <v>3.0</v>
      </c>
      <c r="M465" s="2">
        <v>3.0</v>
      </c>
      <c r="N465" s="2">
        <v>0.0</v>
      </c>
      <c r="O465" s="2">
        <v>0.0</v>
      </c>
      <c r="P465" s="1">
        <f t="shared" si="3"/>
        <v>0</v>
      </c>
      <c r="Q465" s="1">
        <f t="shared" si="4"/>
        <v>0</v>
      </c>
      <c r="R465" s="1">
        <f t="shared" si="5"/>
        <v>0</v>
      </c>
      <c r="S465" s="6" t="s">
        <v>1674</v>
      </c>
    </row>
    <row r="466">
      <c r="A466" s="3" t="str">
        <f t="array" ref="A466">XLOOKUP(B466,Costos_Proveedores!$B$2:$B$2000,Costos_Proveedores!$A$2:$A$2000)</f>
        <v>MULI</v>
      </c>
      <c r="B466" s="2" t="s">
        <v>1675</v>
      </c>
      <c r="C466" s="2">
        <v>106499.0</v>
      </c>
      <c r="D466" s="2" t="s">
        <v>1676</v>
      </c>
      <c r="E466" s="2" t="s">
        <v>47</v>
      </c>
      <c r="G466" s="2">
        <v>98.0</v>
      </c>
      <c r="H466" s="3">
        <f t="shared" si="1"/>
        <v>98</v>
      </c>
      <c r="I466" s="2" t="s">
        <v>22</v>
      </c>
      <c r="J466" s="4">
        <f>VLOOKUP(B466,Costos_Proveedores!$B$2:$J$1000,9,FALSE())</f>
        <v>8820</v>
      </c>
      <c r="K466" s="5">
        <f t="shared" si="2"/>
        <v>864360</v>
      </c>
      <c r="L466" s="2">
        <v>2.0</v>
      </c>
      <c r="M466" s="2">
        <v>0.0</v>
      </c>
      <c r="N466" s="2">
        <v>0.0</v>
      </c>
      <c r="O466" s="2">
        <v>2.0</v>
      </c>
      <c r="P466" s="1">
        <f t="shared" si="3"/>
        <v>0</v>
      </c>
      <c r="Q466" s="1">
        <f t="shared" si="4"/>
        <v>0</v>
      </c>
      <c r="R466" s="1">
        <f t="shared" si="5"/>
        <v>0</v>
      </c>
      <c r="S466" s="6" t="s">
        <v>1677</v>
      </c>
    </row>
    <row r="467">
      <c r="A467" s="3" t="str">
        <f t="array" ref="A467">XLOOKUP(B467,Costos_Proveedores!$B$2:$B$2000,Costos_Proveedores!$A$2:$A$2000)</f>
        <v>STRIVE</v>
      </c>
      <c r="B467" s="2" t="s">
        <v>1678</v>
      </c>
      <c r="C467" s="2">
        <v>7.99192588914E11</v>
      </c>
      <c r="D467" s="2" t="s">
        <v>1679</v>
      </c>
      <c r="E467" s="2" t="s">
        <v>47</v>
      </c>
      <c r="F467" s="2">
        <v>48.0</v>
      </c>
      <c r="G467" s="2">
        <v>260.0</v>
      </c>
      <c r="H467" s="3">
        <f t="shared" si="1"/>
        <v>48</v>
      </c>
      <c r="I467" s="2" t="s">
        <v>232</v>
      </c>
      <c r="J467" s="4">
        <f>VLOOKUP(B467,Costos_Proveedores!$B$2:$J$1000,9,FALSE())</f>
        <v>16794</v>
      </c>
      <c r="K467" s="5">
        <f t="shared" si="2"/>
        <v>806112</v>
      </c>
      <c r="L467" s="2">
        <v>4.0</v>
      </c>
      <c r="M467" s="2">
        <v>4.0</v>
      </c>
      <c r="N467" s="2">
        <v>0.0</v>
      </c>
      <c r="O467" s="2">
        <v>0.0</v>
      </c>
      <c r="P467" s="1">
        <f t="shared" si="3"/>
        <v>0</v>
      </c>
      <c r="Q467" s="1">
        <f t="shared" si="4"/>
        <v>0</v>
      </c>
      <c r="R467" s="1">
        <f t="shared" si="5"/>
        <v>0</v>
      </c>
      <c r="S467" s="6" t="s">
        <v>1680</v>
      </c>
    </row>
    <row r="468">
      <c r="A468" s="3" t="str">
        <f t="array" ref="A468">XLOOKUP(B468,Costos_Proveedores!$B$2:$B$2000,Costos_Proveedores!$A$2:$A$2000)</f>
        <v>STRIVE</v>
      </c>
      <c r="B468" s="2" t="s">
        <v>1681</v>
      </c>
      <c r="C468" s="2">
        <v>7.99192588938E11</v>
      </c>
      <c r="D468" s="2" t="s">
        <v>1682</v>
      </c>
      <c r="E468" s="2" t="s">
        <v>47</v>
      </c>
      <c r="F468" s="2">
        <v>49.0</v>
      </c>
      <c r="G468" s="2">
        <v>260.0</v>
      </c>
      <c r="H468" s="3">
        <f t="shared" si="1"/>
        <v>49</v>
      </c>
      <c r="I468" s="2" t="s">
        <v>232</v>
      </c>
      <c r="J468" s="4">
        <f>VLOOKUP(B468,Costos_Proveedores!$B$2:$J$1000,9,FALSE())</f>
        <v>18195</v>
      </c>
      <c r="K468" s="5">
        <f t="shared" si="2"/>
        <v>891555</v>
      </c>
      <c r="L468" s="2">
        <v>3.0</v>
      </c>
      <c r="M468" s="2">
        <v>4.0</v>
      </c>
      <c r="N468" s="2">
        <v>0.0</v>
      </c>
      <c r="O468" s="2">
        <v>0.0</v>
      </c>
      <c r="P468" s="1">
        <f t="shared" si="3"/>
        <v>0</v>
      </c>
      <c r="Q468" s="1">
        <f t="shared" si="4"/>
        <v>0</v>
      </c>
      <c r="R468" s="1">
        <f t="shared" si="5"/>
        <v>0</v>
      </c>
      <c r="S468" s="6" t="s">
        <v>1683</v>
      </c>
    </row>
    <row r="469">
      <c r="A469" s="3" t="str">
        <f t="array" ref="A469">XLOOKUP(B469,Costos_Proveedores!$B$2:$B$2000,Costos_Proveedores!$A$2:$A$2000)</f>
        <v>STRIVE</v>
      </c>
      <c r="B469" s="2" t="s">
        <v>1684</v>
      </c>
      <c r="C469" s="2">
        <v>7.99192588945E11</v>
      </c>
      <c r="D469" s="2" t="s">
        <v>1685</v>
      </c>
      <c r="E469" s="2" t="s">
        <v>47</v>
      </c>
      <c r="F469" s="2">
        <v>23.0</v>
      </c>
      <c r="G469" s="2">
        <v>90.0</v>
      </c>
      <c r="H469" s="3">
        <f t="shared" si="1"/>
        <v>23</v>
      </c>
      <c r="I469" s="2" t="s">
        <v>232</v>
      </c>
      <c r="J469" s="4">
        <f>VLOOKUP(B469,Costos_Proveedores!$B$2:$J$1000,9,FALSE())</f>
        <v>26455</v>
      </c>
      <c r="K469" s="5">
        <f t="shared" si="2"/>
        <v>608465</v>
      </c>
      <c r="L469" s="2">
        <v>7.0</v>
      </c>
      <c r="M469" s="2">
        <v>6.0</v>
      </c>
      <c r="N469" s="2">
        <v>0.0</v>
      </c>
      <c r="O469" s="2">
        <v>0.0</v>
      </c>
      <c r="P469" s="1">
        <f t="shared" si="3"/>
        <v>0</v>
      </c>
      <c r="Q469" s="1">
        <f t="shared" si="4"/>
        <v>0</v>
      </c>
      <c r="R469" s="1">
        <f t="shared" si="5"/>
        <v>0</v>
      </c>
      <c r="S469" s="6" t="s">
        <v>1686</v>
      </c>
    </row>
    <row r="470">
      <c r="A470" s="3" t="str">
        <f t="array" ref="A470">XLOOKUP(B470,Costos_Proveedores!$B$2:$B$2000,Costos_Proveedores!$A$2:$A$2000)</f>
        <v>LA LOBERIA</v>
      </c>
      <c r="B470" s="2" t="s">
        <v>1687</v>
      </c>
      <c r="C470" s="2">
        <v>2.006126603E12</v>
      </c>
      <c r="D470" s="2" t="s">
        <v>1688</v>
      </c>
      <c r="E470" s="2" t="s">
        <v>31</v>
      </c>
      <c r="F470" s="2">
        <v>0.0</v>
      </c>
      <c r="G470" s="2">
        <v>1.0</v>
      </c>
      <c r="H470" s="3">
        <f t="shared" si="1"/>
        <v>0</v>
      </c>
      <c r="I470" s="2" t="s">
        <v>232</v>
      </c>
      <c r="J470" s="4">
        <f>VLOOKUP(B470,Costos_Proveedores!$B$2:$J$1000,9,FALSE())</f>
        <v>3094</v>
      </c>
      <c r="K470" s="5">
        <f t="shared" si="2"/>
        <v>0</v>
      </c>
      <c r="L470" s="2">
        <v>6.0</v>
      </c>
      <c r="M470" s="2">
        <v>12.0</v>
      </c>
      <c r="N470" s="2">
        <v>0.0</v>
      </c>
      <c r="O470" s="2">
        <v>0.0</v>
      </c>
      <c r="P470" s="1">
        <f t="shared" si="3"/>
        <v>12</v>
      </c>
      <c r="Q470" s="1">
        <f t="shared" si="4"/>
        <v>0</v>
      </c>
      <c r="R470" s="1">
        <f t="shared" si="5"/>
        <v>12</v>
      </c>
      <c r="S470" s="6" t="s">
        <v>1689</v>
      </c>
    </row>
    <row r="471">
      <c r="A471" s="3" t="str">
        <f t="array" ref="A471">XLOOKUP(B471,Costos_Proveedores!$B$2:$B$2000,Costos_Proveedores!$A$2:$A$2000)</f>
        <v>LA LOBERIA</v>
      </c>
      <c r="B471" s="2" t="s">
        <v>1690</v>
      </c>
      <c r="C471" s="2">
        <v>6.0611008145E11</v>
      </c>
      <c r="D471" s="2" t="s">
        <v>1691</v>
      </c>
      <c r="E471" s="2" t="s">
        <v>47</v>
      </c>
      <c r="F471" s="2">
        <v>10.0</v>
      </c>
      <c r="G471" s="2">
        <v>1.0</v>
      </c>
      <c r="H471" s="3">
        <f t="shared" si="1"/>
        <v>10</v>
      </c>
      <c r="I471" s="2" t="s">
        <v>232</v>
      </c>
      <c r="J471" s="4">
        <f>VLOOKUP(B471,Costos_Proveedores!$B$2:$J$1000,9,FALSE())</f>
        <v>3511</v>
      </c>
      <c r="K471" s="5">
        <f t="shared" si="2"/>
        <v>35110</v>
      </c>
      <c r="L471" s="2">
        <v>2.0</v>
      </c>
      <c r="M471" s="2">
        <v>2.0</v>
      </c>
      <c r="N471" s="2">
        <v>0.0</v>
      </c>
      <c r="O471" s="2">
        <v>0.0</v>
      </c>
      <c r="P471" s="1">
        <f t="shared" si="3"/>
        <v>0</v>
      </c>
      <c r="Q471" s="1">
        <f t="shared" si="4"/>
        <v>0</v>
      </c>
      <c r="R471" s="1">
        <f t="shared" si="5"/>
        <v>0</v>
      </c>
      <c r="S471" s="6" t="s">
        <v>1692</v>
      </c>
    </row>
    <row r="472">
      <c r="A472" s="3" t="str">
        <f t="array" ref="A472">XLOOKUP(B472,Costos_Proveedores!$B$2:$B$2000,Costos_Proveedores!$A$2:$A$2000)</f>
        <v>LA LOBERIA</v>
      </c>
      <c r="B472" s="2" t="s">
        <v>1693</v>
      </c>
      <c r="C472" s="2">
        <v>6.06110081443E11</v>
      </c>
      <c r="D472" s="2" t="s">
        <v>1694</v>
      </c>
      <c r="E472" s="2" t="s">
        <v>47</v>
      </c>
      <c r="F472" s="2">
        <v>10.0</v>
      </c>
      <c r="G472" s="2">
        <v>1.0</v>
      </c>
      <c r="H472" s="3">
        <f t="shared" si="1"/>
        <v>10</v>
      </c>
      <c r="I472" s="2" t="s">
        <v>232</v>
      </c>
      <c r="J472" s="4">
        <f>VLOOKUP(B472,Costos_Proveedores!$B$2:$J$1000,9,FALSE())</f>
        <v>3797</v>
      </c>
      <c r="K472" s="5">
        <f t="shared" si="2"/>
        <v>37970</v>
      </c>
      <c r="L472" s="2">
        <v>2.0</v>
      </c>
      <c r="M472" s="2">
        <v>2.0</v>
      </c>
      <c r="N472" s="2">
        <v>0.0</v>
      </c>
      <c r="O472" s="2">
        <v>0.0</v>
      </c>
      <c r="P472" s="1">
        <f t="shared" si="3"/>
        <v>0</v>
      </c>
      <c r="Q472" s="1">
        <f t="shared" si="4"/>
        <v>0</v>
      </c>
      <c r="R472" s="1">
        <f t="shared" si="5"/>
        <v>0</v>
      </c>
      <c r="S472" s="6" t="s">
        <v>1695</v>
      </c>
    </row>
    <row r="473">
      <c r="A473" s="3" t="str">
        <f t="array" ref="A473">XLOOKUP(B473,Costos_Proveedores!$B$2:$B$2000,Costos_Proveedores!$A$2:$A$2000)</f>
        <v>GAMA</v>
      </c>
      <c r="B473" s="2" t="s">
        <v>1696</v>
      </c>
      <c r="C473" s="2" t="s">
        <v>1697</v>
      </c>
      <c r="D473" s="2" t="s">
        <v>1698</v>
      </c>
      <c r="E473" s="2" t="s">
        <v>31</v>
      </c>
      <c r="F473" s="2">
        <v>0.0</v>
      </c>
      <c r="G473" s="2">
        <v>1.0</v>
      </c>
      <c r="H473" s="3">
        <f t="shared" si="1"/>
        <v>1</v>
      </c>
      <c r="I473" s="2" t="s">
        <v>22</v>
      </c>
      <c r="J473" s="4">
        <f>VLOOKUP(B473,Costos_Proveedores!$B$2:$J$1000,9,FALSE())</f>
        <v>10793</v>
      </c>
      <c r="K473" s="5">
        <f t="shared" si="2"/>
        <v>10793</v>
      </c>
      <c r="L473" s="2">
        <v>2.0</v>
      </c>
      <c r="M473" s="2">
        <v>2.0</v>
      </c>
      <c r="N473" s="2">
        <v>0.0</v>
      </c>
      <c r="O473" s="2">
        <v>0.0</v>
      </c>
      <c r="P473" s="1">
        <f t="shared" si="3"/>
        <v>2</v>
      </c>
      <c r="Q473" s="1">
        <f t="shared" si="4"/>
        <v>0</v>
      </c>
      <c r="R473" s="1">
        <f t="shared" si="5"/>
        <v>2</v>
      </c>
      <c r="S473" s="6" t="s">
        <v>1699</v>
      </c>
    </row>
    <row r="474">
      <c r="A474" s="3" t="str">
        <f t="array" ref="A474">XLOOKUP(B474,Costos_Proveedores!$B$2:$B$2000,Costos_Proveedores!$A$2:$A$2000)</f>
        <v>GAMA</v>
      </c>
      <c r="B474" s="2" t="s">
        <v>1700</v>
      </c>
      <c r="C474" s="2" t="s">
        <v>1701</v>
      </c>
      <c r="D474" s="2" t="s">
        <v>1702</v>
      </c>
      <c r="E474" s="2" t="s">
        <v>47</v>
      </c>
      <c r="F474" s="2">
        <v>2.0</v>
      </c>
      <c r="G474" s="2">
        <v>0.0</v>
      </c>
      <c r="H474" s="3">
        <f t="shared" si="1"/>
        <v>2</v>
      </c>
      <c r="I474" s="2" t="s">
        <v>22</v>
      </c>
      <c r="J474" s="4">
        <f>VLOOKUP(B474,Costos_Proveedores!$B$2:$J$1000,9,FALSE())</f>
        <v>9812</v>
      </c>
      <c r="K474" s="5">
        <f t="shared" si="2"/>
        <v>19624</v>
      </c>
      <c r="L474" s="2"/>
      <c r="M474" s="2"/>
      <c r="N474" s="2"/>
      <c r="O474" s="2"/>
      <c r="P474" s="1">
        <f t="shared" si="3"/>
        <v>0</v>
      </c>
      <c r="Q474" s="1">
        <f t="shared" si="4"/>
        <v>0</v>
      </c>
      <c r="R474" s="1">
        <f t="shared" si="5"/>
        <v>0</v>
      </c>
      <c r="S474" s="6" t="s">
        <v>1703</v>
      </c>
    </row>
    <row r="475">
      <c r="A475" s="3" t="str">
        <f t="array" ref="A475">XLOOKUP(B475,Costos_Proveedores!$B$2:$B$2000,Costos_Proveedores!$A$2:$A$2000)</f>
        <v>GAMA</v>
      </c>
      <c r="B475" s="2" t="s">
        <v>1704</v>
      </c>
      <c r="C475" s="2" t="s">
        <v>1705</v>
      </c>
      <c r="D475" s="2" t="s">
        <v>1706</v>
      </c>
      <c r="E475" s="2" t="s">
        <v>31</v>
      </c>
      <c r="F475" s="2">
        <v>0.0</v>
      </c>
      <c r="G475" s="2">
        <v>1.0</v>
      </c>
      <c r="H475" s="3">
        <f t="shared" si="1"/>
        <v>0</v>
      </c>
      <c r="I475" s="2" t="s">
        <v>232</v>
      </c>
      <c r="J475" s="4">
        <f>VLOOKUP(B475,Costos_Proveedores!$B$2:$J$1000,9,FALSE())</f>
        <v>10705</v>
      </c>
      <c r="K475" s="5">
        <f t="shared" si="2"/>
        <v>0</v>
      </c>
      <c r="L475" s="2">
        <v>2.0</v>
      </c>
      <c r="M475" s="2">
        <v>2.0</v>
      </c>
      <c r="N475" s="2">
        <v>0.0</v>
      </c>
      <c r="O475" s="2">
        <v>0.0</v>
      </c>
      <c r="P475" s="1">
        <f t="shared" si="3"/>
        <v>2</v>
      </c>
      <c r="Q475" s="1">
        <f t="shared" si="4"/>
        <v>0</v>
      </c>
      <c r="R475" s="1">
        <f t="shared" si="5"/>
        <v>2</v>
      </c>
      <c r="S475" s="6" t="s">
        <v>1707</v>
      </c>
    </row>
    <row r="476">
      <c r="A476" s="3" t="str">
        <f t="array" ref="A476">XLOOKUP(B476,Costos_Proveedores!$B$2:$B$2000,Costos_Proveedores!$A$2:$A$2000)</f>
        <v>GAMA</v>
      </c>
      <c r="B476" s="2" t="s">
        <v>1708</v>
      </c>
      <c r="C476" s="2" t="s">
        <v>1709</v>
      </c>
      <c r="D476" s="2" t="s">
        <v>1710</v>
      </c>
      <c r="E476" s="2" t="s">
        <v>31</v>
      </c>
      <c r="F476" s="2">
        <v>0.0</v>
      </c>
      <c r="G476" s="2">
        <v>1.0</v>
      </c>
      <c r="H476" s="3">
        <f t="shared" si="1"/>
        <v>1</v>
      </c>
      <c r="I476" s="2" t="s">
        <v>22</v>
      </c>
      <c r="J476" s="4" t="str">
        <f>VLOOKUP(B476,Costos_Proveedores!$B$2:$J$1000,9,FALSE())</f>
        <v>$ 426</v>
      </c>
      <c r="K476" s="5">
        <f t="shared" si="2"/>
        <v>426</v>
      </c>
      <c r="L476" s="2">
        <v>2.0</v>
      </c>
      <c r="M476" s="2">
        <v>2.0</v>
      </c>
      <c r="N476" s="2">
        <v>0.0</v>
      </c>
      <c r="O476" s="2">
        <v>0.0</v>
      </c>
      <c r="P476" s="1">
        <f t="shared" si="3"/>
        <v>2</v>
      </c>
      <c r="Q476" s="1">
        <f t="shared" si="4"/>
        <v>0</v>
      </c>
      <c r="R476" s="1">
        <f t="shared" si="5"/>
        <v>2</v>
      </c>
      <c r="S476" s="6" t="s">
        <v>1711</v>
      </c>
    </row>
    <row r="477">
      <c r="A477" s="3" t="str">
        <f t="array" ref="A477">XLOOKUP(B477,Costos_Proveedores!$B$2:$B$2000,Costos_Proveedores!$A$2:$A$2000)</f>
        <v>GAMA</v>
      </c>
      <c r="B477" s="2" t="s">
        <v>1712</v>
      </c>
      <c r="C477" s="2" t="s">
        <v>1713</v>
      </c>
      <c r="D477" s="2" t="s">
        <v>1714</v>
      </c>
      <c r="E477" s="2" t="s">
        <v>31</v>
      </c>
      <c r="F477" s="2">
        <v>0.0</v>
      </c>
      <c r="G477" s="2">
        <v>0.0</v>
      </c>
      <c r="H477" s="3">
        <f t="shared" si="1"/>
        <v>0</v>
      </c>
      <c r="I477" s="2" t="s">
        <v>22</v>
      </c>
      <c r="J477" s="4">
        <f>VLOOKUP(B477,Costos_Proveedores!$B$2:$J$1000,9,FALSE())</f>
        <v>16357</v>
      </c>
      <c r="K477" s="5">
        <f t="shared" si="2"/>
        <v>0</v>
      </c>
      <c r="L477" s="2">
        <v>2.0</v>
      </c>
      <c r="M477" s="2">
        <v>2.0</v>
      </c>
      <c r="N477" s="2">
        <v>0.0</v>
      </c>
      <c r="O477" s="2">
        <v>0.0</v>
      </c>
      <c r="P477" s="1">
        <f t="shared" si="3"/>
        <v>2</v>
      </c>
      <c r="Q477" s="1">
        <f t="shared" si="4"/>
        <v>0</v>
      </c>
      <c r="R477" s="1">
        <f t="shared" si="5"/>
        <v>2</v>
      </c>
      <c r="S477" s="6" t="s">
        <v>1715</v>
      </c>
    </row>
    <row r="478">
      <c r="A478" s="3" t="str">
        <f t="array" ref="A478">XLOOKUP(B478,Costos_Proveedores!$B$2:$B$2000,Costos_Proveedores!$A$2:$A$2000)</f>
        <v>GAMA</v>
      </c>
      <c r="B478" s="2" t="s">
        <v>1716</v>
      </c>
      <c r="C478" s="2" t="s">
        <v>1717</v>
      </c>
      <c r="D478" s="2" t="s">
        <v>1718</v>
      </c>
      <c r="E478" s="2" t="s">
        <v>47</v>
      </c>
      <c r="F478" s="2">
        <v>1.0</v>
      </c>
      <c r="G478" s="2">
        <v>0.0</v>
      </c>
      <c r="H478" s="3">
        <f t="shared" si="1"/>
        <v>1</v>
      </c>
      <c r="I478" s="2" t="s">
        <v>22</v>
      </c>
      <c r="J478" s="4">
        <f>VLOOKUP(B478,Costos_Proveedores!$B$2:$J$1000,9,FALSE())</f>
        <v>13084</v>
      </c>
      <c r="K478" s="5">
        <f t="shared" si="2"/>
        <v>13084</v>
      </c>
      <c r="L478" s="2">
        <v>1.0</v>
      </c>
      <c r="M478" s="2">
        <v>1.0</v>
      </c>
      <c r="N478" s="2">
        <v>0.0</v>
      </c>
      <c r="O478" s="2">
        <v>0.0</v>
      </c>
      <c r="P478" s="1">
        <f t="shared" si="3"/>
        <v>0</v>
      </c>
      <c r="Q478" s="1">
        <f t="shared" si="4"/>
        <v>0</v>
      </c>
      <c r="R478" s="1">
        <f t="shared" si="5"/>
        <v>0</v>
      </c>
      <c r="S478" s="6" t="s">
        <v>1719</v>
      </c>
    </row>
    <row r="479">
      <c r="A479" s="3" t="str">
        <f t="array" ref="A479">XLOOKUP(B479,Costos_Proveedores!$B$2:$B$2000,Costos_Proveedores!$A$2:$A$2000)</f>
        <v>GAMA</v>
      </c>
      <c r="B479" s="2" t="s">
        <v>1720</v>
      </c>
      <c r="C479" s="2" t="s">
        <v>1721</v>
      </c>
      <c r="D479" s="2" t="s">
        <v>1722</v>
      </c>
      <c r="E479" s="2" t="s">
        <v>31</v>
      </c>
      <c r="F479" s="2">
        <v>0.0</v>
      </c>
      <c r="G479" s="2">
        <v>1.0</v>
      </c>
      <c r="H479" s="3">
        <f t="shared" si="1"/>
        <v>1</v>
      </c>
      <c r="I479" s="2" t="s">
        <v>22</v>
      </c>
      <c r="J479" s="4">
        <f>VLOOKUP(B479,Costos_Proveedores!$B$2:$J$1000,9,FALSE())</f>
        <v>7194</v>
      </c>
      <c r="K479" s="5">
        <f t="shared" si="2"/>
        <v>7194</v>
      </c>
      <c r="L479" s="2"/>
      <c r="M479" s="2"/>
      <c r="N479" s="2"/>
      <c r="O479" s="2"/>
      <c r="P479" s="1">
        <f t="shared" si="3"/>
        <v>0</v>
      </c>
      <c r="Q479" s="1">
        <f t="shared" si="4"/>
        <v>0</v>
      </c>
      <c r="R479" s="1">
        <f t="shared" si="5"/>
        <v>0</v>
      </c>
      <c r="S479" s="6" t="s">
        <v>1723</v>
      </c>
    </row>
    <row r="480">
      <c r="A480" s="3" t="str">
        <f t="array" ref="A480">XLOOKUP(B480,Costos_Proveedores!$B$2:$B$2000,Costos_Proveedores!$A$2:$A$2000)</f>
        <v>GAMA</v>
      </c>
      <c r="B480" s="2" t="s">
        <v>1724</v>
      </c>
      <c r="C480" s="2" t="s">
        <v>1725</v>
      </c>
      <c r="D480" s="2" t="s">
        <v>1726</v>
      </c>
      <c r="E480" s="2" t="s">
        <v>31</v>
      </c>
      <c r="G480" s="2">
        <v>1.0</v>
      </c>
      <c r="H480" s="3">
        <f t="shared" si="1"/>
        <v>1</v>
      </c>
      <c r="I480" s="2" t="s">
        <v>22</v>
      </c>
      <c r="J480" s="4">
        <f>VLOOKUP(B480,Costos_Proveedores!$B$2:$J$1000,9,FALSE())</f>
        <v>8503</v>
      </c>
      <c r="K480" s="5">
        <f t="shared" si="2"/>
        <v>8503</v>
      </c>
      <c r="L480" s="2"/>
      <c r="M480" s="2"/>
      <c r="N480" s="2"/>
      <c r="O480" s="2"/>
      <c r="P480" s="1">
        <f t="shared" si="3"/>
        <v>0</v>
      </c>
      <c r="Q480" s="1">
        <f t="shared" si="4"/>
        <v>0</v>
      </c>
      <c r="R480" s="1">
        <f t="shared" si="5"/>
        <v>0</v>
      </c>
      <c r="S480" s="6" t="s">
        <v>1727</v>
      </c>
    </row>
    <row r="481">
      <c r="A481" s="3" t="str">
        <f t="array" ref="A481">XLOOKUP(B481,Costos_Proveedores!$B$2:$B$2000,Costos_Proveedores!$A$2:$A$2000)</f>
        <v>GAMA</v>
      </c>
      <c r="B481" s="2" t="s">
        <v>1728</v>
      </c>
      <c r="C481" s="2" t="s">
        <v>1729</v>
      </c>
      <c r="D481" s="2" t="s">
        <v>1730</v>
      </c>
      <c r="E481" s="2" t="s">
        <v>31</v>
      </c>
      <c r="G481" s="2">
        <v>1.0</v>
      </c>
      <c r="H481" s="3">
        <f t="shared" si="1"/>
        <v>1</v>
      </c>
      <c r="I481" s="2" t="s">
        <v>22</v>
      </c>
      <c r="J481" s="4">
        <f>VLOOKUP(B481,Costos_Proveedores!$B$2:$J$1000,9,FALSE())</f>
        <v>9812</v>
      </c>
      <c r="K481" s="5">
        <f t="shared" si="2"/>
        <v>9812</v>
      </c>
      <c r="L481" s="2"/>
      <c r="M481" s="2"/>
      <c r="N481" s="2"/>
      <c r="O481" s="2"/>
      <c r="P481" s="1">
        <f t="shared" si="3"/>
        <v>0</v>
      </c>
      <c r="Q481" s="1">
        <f t="shared" si="4"/>
        <v>0</v>
      </c>
      <c r="R481" s="1">
        <f t="shared" si="5"/>
        <v>0</v>
      </c>
      <c r="S481" s="6" t="s">
        <v>1731</v>
      </c>
    </row>
    <row r="482">
      <c r="A482" s="3" t="str">
        <f t="array" ref="A482">XLOOKUP(B482,Costos_Proveedores!$B$2:$B$2000,Costos_Proveedores!$A$2:$A$2000)</f>
        <v>GAMA</v>
      </c>
      <c r="B482" s="2" t="s">
        <v>1732</v>
      </c>
      <c r="C482" s="2" t="s">
        <v>1733</v>
      </c>
      <c r="D482" s="2" t="s">
        <v>1734</v>
      </c>
      <c r="E482" s="2" t="s">
        <v>31</v>
      </c>
      <c r="F482" s="2">
        <v>0.0</v>
      </c>
      <c r="G482" s="2">
        <v>1.0</v>
      </c>
      <c r="H482" s="3">
        <f t="shared" si="1"/>
        <v>1</v>
      </c>
      <c r="I482" s="2" t="s">
        <v>22</v>
      </c>
      <c r="J482" s="4">
        <f>VLOOKUP(B482,Costos_Proveedores!$B$2:$J$1000,9,FALSE())</f>
        <v>10793</v>
      </c>
      <c r="K482" s="5">
        <f t="shared" si="2"/>
        <v>10793</v>
      </c>
      <c r="L482" s="2">
        <v>2.0</v>
      </c>
      <c r="M482" s="2">
        <v>3.0</v>
      </c>
      <c r="N482" s="2">
        <v>0.0</v>
      </c>
      <c r="O482" s="2">
        <v>0.0</v>
      </c>
      <c r="P482" s="1">
        <f t="shared" si="3"/>
        <v>3</v>
      </c>
      <c r="Q482" s="1">
        <f t="shared" si="4"/>
        <v>0</v>
      </c>
      <c r="R482" s="1">
        <f t="shared" si="5"/>
        <v>3</v>
      </c>
      <c r="S482" s="6" t="s">
        <v>1735</v>
      </c>
    </row>
    <row r="483">
      <c r="A483" s="3" t="str">
        <f t="array" ref="A483">XLOOKUP(B483,Costos_Proveedores!$B$2:$B$2000,Costos_Proveedores!$A$2:$A$2000)</f>
        <v>GAMA</v>
      </c>
      <c r="B483" s="2" t="s">
        <v>1736</v>
      </c>
      <c r="C483" s="2" t="s">
        <v>1737</v>
      </c>
      <c r="D483" s="2" t="s">
        <v>1738</v>
      </c>
      <c r="E483" s="2" t="s">
        <v>31</v>
      </c>
      <c r="G483" s="2">
        <v>1.0</v>
      </c>
      <c r="H483" s="3">
        <f t="shared" si="1"/>
        <v>1</v>
      </c>
      <c r="I483" s="2" t="s">
        <v>22</v>
      </c>
      <c r="J483" s="4">
        <f>VLOOKUP(B483,Costos_Proveedores!$B$2:$J$1000,9,FALSE())</f>
        <v>3070</v>
      </c>
      <c r="K483" s="5">
        <f t="shared" si="2"/>
        <v>3070</v>
      </c>
      <c r="L483" s="2"/>
      <c r="M483" s="2"/>
      <c r="N483" s="2"/>
      <c r="O483" s="2"/>
      <c r="P483" s="1">
        <f t="shared" si="3"/>
        <v>0</v>
      </c>
      <c r="Q483" s="1">
        <f t="shared" si="4"/>
        <v>0</v>
      </c>
      <c r="R483" s="1">
        <f t="shared" si="5"/>
        <v>0</v>
      </c>
      <c r="S483" s="6" t="s">
        <v>1739</v>
      </c>
    </row>
    <row r="484">
      <c r="A484" s="3" t="str">
        <f t="array" ref="A484">XLOOKUP(B484,Costos_Proveedores!$B$2:$B$2000,Costos_Proveedores!$A$2:$A$2000)</f>
        <v>GAMA</v>
      </c>
      <c r="B484" s="2" t="s">
        <v>1740</v>
      </c>
      <c r="C484" s="2" t="s">
        <v>1741</v>
      </c>
      <c r="D484" s="2" t="s">
        <v>1742</v>
      </c>
      <c r="E484" s="2" t="s">
        <v>47</v>
      </c>
      <c r="F484" s="2">
        <v>2.0</v>
      </c>
      <c r="G484" s="2">
        <v>1.0</v>
      </c>
      <c r="H484" s="3">
        <f t="shared" si="1"/>
        <v>3</v>
      </c>
      <c r="I484" s="2" t="s">
        <v>22</v>
      </c>
      <c r="J484" s="4">
        <f>VLOOKUP(B484,Costos_Proveedores!$B$2:$J$1000,9,FALSE())</f>
        <v>8503</v>
      </c>
      <c r="K484" s="5">
        <f t="shared" si="2"/>
        <v>25509</v>
      </c>
      <c r="L484" s="2"/>
      <c r="M484" s="2"/>
      <c r="N484" s="2"/>
      <c r="O484" s="2"/>
      <c r="P484" s="1">
        <f t="shared" si="3"/>
        <v>0</v>
      </c>
      <c r="Q484" s="1">
        <f t="shared" si="4"/>
        <v>0</v>
      </c>
      <c r="R484" s="1">
        <f t="shared" si="5"/>
        <v>0</v>
      </c>
      <c r="S484" s="6" t="s">
        <v>1743</v>
      </c>
    </row>
    <row r="485">
      <c r="A485" s="3" t="str">
        <f t="array" ref="A485">XLOOKUP(B485,Costos_Proveedores!$B$2:$B$2000,Costos_Proveedores!$A$2:$A$2000)</f>
        <v>GAMA</v>
      </c>
      <c r="B485" s="2" t="s">
        <v>1744</v>
      </c>
      <c r="C485" s="2" t="s">
        <v>1745</v>
      </c>
      <c r="D485" s="2" t="s">
        <v>1746</v>
      </c>
      <c r="E485" s="2" t="s">
        <v>31</v>
      </c>
      <c r="F485" s="2">
        <v>0.0</v>
      </c>
      <c r="G485" s="2">
        <v>1.0</v>
      </c>
      <c r="H485" s="3">
        <f t="shared" si="1"/>
        <v>1</v>
      </c>
      <c r="I485" s="2" t="s">
        <v>22</v>
      </c>
      <c r="J485" s="4">
        <f>VLOOKUP(B485,Costos_Proveedores!$B$2:$J$1000,9,FALSE())</f>
        <v>2023</v>
      </c>
      <c r="K485" s="5">
        <f t="shared" si="2"/>
        <v>2023</v>
      </c>
      <c r="L485" s="2">
        <v>2.0</v>
      </c>
      <c r="M485" s="2">
        <v>2.0</v>
      </c>
      <c r="N485" s="2">
        <v>0.0</v>
      </c>
      <c r="O485" s="2">
        <v>0.0</v>
      </c>
      <c r="P485" s="1">
        <f t="shared" si="3"/>
        <v>2</v>
      </c>
      <c r="Q485" s="1">
        <f t="shared" si="4"/>
        <v>0</v>
      </c>
      <c r="R485" s="1">
        <f t="shared" si="5"/>
        <v>2</v>
      </c>
      <c r="S485" s="6" t="s">
        <v>1747</v>
      </c>
    </row>
    <row r="486">
      <c r="A486" s="3" t="str">
        <f t="array" ref="A486">XLOOKUP(B486,Costos_Proveedores!$B$2:$B$2000,Costos_Proveedores!$A$2:$A$2000)</f>
        <v>MULI</v>
      </c>
      <c r="B486" s="2" t="s">
        <v>1748</v>
      </c>
      <c r="C486" s="2" t="s">
        <v>1749</v>
      </c>
      <c r="D486" s="2" t="s">
        <v>1750</v>
      </c>
      <c r="E486" s="2" t="s">
        <v>47</v>
      </c>
      <c r="F486" s="2">
        <v>1.0</v>
      </c>
      <c r="G486" s="2">
        <v>0.0</v>
      </c>
      <c r="H486" s="3">
        <f t="shared" si="1"/>
        <v>1</v>
      </c>
      <c r="I486" s="2" t="s">
        <v>22</v>
      </c>
      <c r="J486" s="4">
        <f>VLOOKUP(B486,Costos_Proveedores!$B$2:$J$1000,9,FALSE())</f>
        <v>2475</v>
      </c>
      <c r="K486" s="5">
        <f t="shared" si="2"/>
        <v>2475</v>
      </c>
      <c r="L486" s="2"/>
      <c r="M486" s="2"/>
      <c r="N486" s="2"/>
      <c r="O486" s="2"/>
      <c r="P486" s="1">
        <f t="shared" si="3"/>
        <v>0</v>
      </c>
      <c r="Q486" s="1">
        <f t="shared" si="4"/>
        <v>0</v>
      </c>
      <c r="R486" s="1">
        <f t="shared" si="5"/>
        <v>0</v>
      </c>
      <c r="S486" s="6" t="s">
        <v>1751</v>
      </c>
    </row>
    <row r="487">
      <c r="A487" s="3" t="str">
        <f t="array" ref="A487">XLOOKUP(B487,Costos_Proveedores!$B$2:$B$2000,Costos_Proveedores!$A$2:$A$2000)</f>
        <v>MULI</v>
      </c>
      <c r="B487" s="2" t="s">
        <v>1752</v>
      </c>
      <c r="C487" s="2" t="s">
        <v>1753</v>
      </c>
      <c r="D487" s="2" t="s">
        <v>1754</v>
      </c>
      <c r="E487" s="2" t="s">
        <v>47</v>
      </c>
      <c r="F487" s="2">
        <v>1.0</v>
      </c>
      <c r="G487" s="2">
        <v>0.0</v>
      </c>
      <c r="H487" s="3">
        <f t="shared" si="1"/>
        <v>1</v>
      </c>
      <c r="I487" s="2" t="s">
        <v>22</v>
      </c>
      <c r="J487" s="4">
        <f>VLOOKUP(B487,Costos_Proveedores!$B$2:$J$1000,9,FALSE())</f>
        <v>2700</v>
      </c>
      <c r="K487" s="5">
        <f t="shared" si="2"/>
        <v>2700</v>
      </c>
      <c r="L487" s="2"/>
      <c r="M487" s="2"/>
      <c r="N487" s="2"/>
      <c r="O487" s="2"/>
      <c r="P487" s="1">
        <f t="shared" si="3"/>
        <v>0</v>
      </c>
      <c r="Q487" s="1">
        <f t="shared" si="4"/>
        <v>0</v>
      </c>
      <c r="R487" s="1">
        <f t="shared" si="5"/>
        <v>0</v>
      </c>
      <c r="S487" s="6" t="s">
        <v>1755</v>
      </c>
    </row>
    <row r="488">
      <c r="A488" s="3" t="str">
        <f t="array" ref="A488">XLOOKUP(B488,Costos_Proveedores!$B$2:$B$2000,Costos_Proveedores!$A$2:$A$2000)</f>
        <v>MULI</v>
      </c>
      <c r="B488" s="2" t="s">
        <v>1756</v>
      </c>
      <c r="C488" s="2" t="s">
        <v>1757</v>
      </c>
      <c r="D488" s="2" t="s">
        <v>1758</v>
      </c>
      <c r="E488" s="2" t="s">
        <v>31</v>
      </c>
      <c r="F488" s="2">
        <v>0.0</v>
      </c>
      <c r="G488" s="2">
        <v>1.0</v>
      </c>
      <c r="H488" s="3">
        <f t="shared" si="1"/>
        <v>1</v>
      </c>
      <c r="I488" s="2" t="s">
        <v>22</v>
      </c>
      <c r="J488" s="4">
        <f>VLOOKUP(B488,Costos_Proveedores!$B$2:$J$1000,9,FALSE())</f>
        <v>1620</v>
      </c>
      <c r="K488" s="5">
        <f t="shared" si="2"/>
        <v>1620</v>
      </c>
      <c r="L488" s="2">
        <v>1.0</v>
      </c>
      <c r="M488" s="2">
        <v>1.0</v>
      </c>
      <c r="N488" s="2">
        <v>0.0</v>
      </c>
      <c r="O488" s="2">
        <v>0.0</v>
      </c>
      <c r="P488" s="1">
        <f t="shared" si="3"/>
        <v>1</v>
      </c>
      <c r="Q488" s="1">
        <f t="shared" si="4"/>
        <v>0</v>
      </c>
      <c r="R488" s="1">
        <f t="shared" si="5"/>
        <v>1</v>
      </c>
      <c r="S488" s="6" t="s">
        <v>1759</v>
      </c>
    </row>
    <row r="489">
      <c r="A489" s="3" t="str">
        <f t="array" ref="A489">XLOOKUP(B489,Costos_Proveedores!$B$2:$B$2000,Costos_Proveedores!$A$2:$A$2000)</f>
        <v>MULI</v>
      </c>
      <c r="B489" s="2" t="s">
        <v>1760</v>
      </c>
      <c r="C489" s="2" t="s">
        <v>1761</v>
      </c>
      <c r="D489" s="2" t="s">
        <v>1762</v>
      </c>
      <c r="E489" s="2" t="s">
        <v>31</v>
      </c>
      <c r="F489" s="2">
        <v>0.0</v>
      </c>
      <c r="G489" s="2">
        <v>0.0</v>
      </c>
      <c r="H489" s="3">
        <f t="shared" si="1"/>
        <v>0</v>
      </c>
      <c r="I489" s="2" t="s">
        <v>22</v>
      </c>
      <c r="J489" s="4">
        <f>VLOOKUP(B489,Costos_Proveedores!$B$2:$J$1000,9,FALSE())</f>
        <v>1980</v>
      </c>
      <c r="K489" s="5">
        <f t="shared" si="2"/>
        <v>0</v>
      </c>
      <c r="L489" s="2">
        <v>1.0</v>
      </c>
      <c r="M489" s="2"/>
      <c r="N489" s="2"/>
      <c r="O489" s="2"/>
      <c r="P489" s="1">
        <f t="shared" si="3"/>
        <v>0</v>
      </c>
      <c r="Q489" s="1">
        <f t="shared" si="4"/>
        <v>0</v>
      </c>
      <c r="R489" s="1">
        <f t="shared" si="5"/>
        <v>0</v>
      </c>
      <c r="S489" s="6" t="s">
        <v>1763</v>
      </c>
    </row>
    <row r="490">
      <c r="A490" s="3" t="str">
        <f t="array" ref="A490">XLOOKUP(B490,Costos_Proveedores!$B$2:$B$2000,Costos_Proveedores!$A$2:$A$2000)</f>
        <v>MULI</v>
      </c>
      <c r="B490" s="2" t="s">
        <v>1764</v>
      </c>
      <c r="C490" s="2" t="s">
        <v>1765</v>
      </c>
      <c r="D490" s="2" t="s">
        <v>1766</v>
      </c>
      <c r="E490" s="2" t="s">
        <v>47</v>
      </c>
      <c r="F490" s="2">
        <v>1.0</v>
      </c>
      <c r="G490" s="2">
        <v>0.0</v>
      </c>
      <c r="H490" s="3">
        <f t="shared" si="1"/>
        <v>1</v>
      </c>
      <c r="I490" s="2" t="s">
        <v>22</v>
      </c>
      <c r="J490" s="4">
        <f>VLOOKUP(B490,Costos_Proveedores!$B$2:$J$1000,9,FALSE())</f>
        <v>2700</v>
      </c>
      <c r="K490" s="5">
        <f t="shared" si="2"/>
        <v>2700</v>
      </c>
      <c r="L490" s="2"/>
      <c r="M490" s="2"/>
      <c r="N490" s="2"/>
      <c r="O490" s="2"/>
      <c r="P490" s="1">
        <f t="shared" si="3"/>
        <v>0</v>
      </c>
      <c r="Q490" s="1">
        <f t="shared" si="4"/>
        <v>0</v>
      </c>
      <c r="R490" s="1">
        <f t="shared" si="5"/>
        <v>0</v>
      </c>
      <c r="S490" s="6" t="s">
        <v>1767</v>
      </c>
    </row>
    <row r="491">
      <c r="A491" s="3" t="str">
        <f t="array" ref="A491">XLOOKUP(B491,Costos_Proveedores!$B$2:$B$2000,Costos_Proveedores!$A$2:$A$2000)</f>
        <v>MULI</v>
      </c>
      <c r="B491" s="2" t="s">
        <v>1768</v>
      </c>
      <c r="C491" s="2" t="s">
        <v>1769</v>
      </c>
      <c r="D491" s="2" t="s">
        <v>1770</v>
      </c>
      <c r="E491" s="2" t="s">
        <v>47</v>
      </c>
      <c r="F491" s="2">
        <v>1.0</v>
      </c>
      <c r="G491" s="2">
        <v>0.0</v>
      </c>
      <c r="H491" s="3">
        <f t="shared" si="1"/>
        <v>1</v>
      </c>
      <c r="I491" s="2" t="s">
        <v>22</v>
      </c>
      <c r="J491" s="4">
        <f>VLOOKUP(B491,Costos_Proveedores!$B$2:$J$1000,9,FALSE())</f>
        <v>2700</v>
      </c>
      <c r="K491" s="5">
        <f t="shared" si="2"/>
        <v>2700</v>
      </c>
      <c r="L491" s="2"/>
      <c r="M491" s="2"/>
      <c r="N491" s="2"/>
      <c r="O491" s="2"/>
      <c r="P491" s="1">
        <f t="shared" si="3"/>
        <v>0</v>
      </c>
      <c r="Q491" s="1">
        <f t="shared" si="4"/>
        <v>0</v>
      </c>
      <c r="R491" s="1">
        <f t="shared" si="5"/>
        <v>0</v>
      </c>
      <c r="S491" s="6" t="s">
        <v>1771</v>
      </c>
    </row>
    <row r="492">
      <c r="A492" s="3" t="str">
        <f t="array" ref="A492">XLOOKUP(B492,Costos_Proveedores!$B$2:$B$2000,Costos_Proveedores!$A$2:$A$2000)</f>
        <v>MULI</v>
      </c>
      <c r="B492" s="2" t="s">
        <v>1772</v>
      </c>
      <c r="C492" s="2" t="s">
        <v>1773</v>
      </c>
      <c r="D492" s="2" t="s">
        <v>1774</v>
      </c>
      <c r="E492" s="2" t="s">
        <v>47</v>
      </c>
      <c r="F492" s="2">
        <v>1.0</v>
      </c>
      <c r="G492" s="2">
        <v>0.0</v>
      </c>
      <c r="H492" s="3">
        <f t="shared" si="1"/>
        <v>1</v>
      </c>
      <c r="I492" s="2" t="s">
        <v>22</v>
      </c>
      <c r="J492" s="4">
        <f>VLOOKUP(B492,Costos_Proveedores!$B$2:$J$1000,9,FALSE())</f>
        <v>1620</v>
      </c>
      <c r="K492" s="5">
        <f t="shared" si="2"/>
        <v>1620</v>
      </c>
      <c r="L492" s="2"/>
      <c r="M492" s="2"/>
      <c r="N492" s="2"/>
      <c r="O492" s="2"/>
      <c r="P492" s="1">
        <f t="shared" si="3"/>
        <v>0</v>
      </c>
      <c r="Q492" s="1">
        <f t="shared" si="4"/>
        <v>0</v>
      </c>
      <c r="R492" s="1">
        <f t="shared" si="5"/>
        <v>0</v>
      </c>
      <c r="S492" s="6" t="s">
        <v>1775</v>
      </c>
    </row>
    <row r="493">
      <c r="A493" s="3" t="str">
        <f t="array" ref="A493">XLOOKUP(B493,Costos_Proveedores!$B$2:$B$2000,Costos_Proveedores!$A$2:$A$2000)</f>
        <v>MULI</v>
      </c>
      <c r="B493" s="2" t="s">
        <v>1776</v>
      </c>
      <c r="C493" s="2" t="s">
        <v>1777</v>
      </c>
      <c r="D493" s="2" t="s">
        <v>1778</v>
      </c>
      <c r="E493" s="2" t="s">
        <v>47</v>
      </c>
      <c r="F493" s="2">
        <v>1.0</v>
      </c>
      <c r="G493" s="2">
        <v>0.0</v>
      </c>
      <c r="H493" s="3">
        <f t="shared" si="1"/>
        <v>1</v>
      </c>
      <c r="I493" s="2" t="s">
        <v>22</v>
      </c>
      <c r="J493" s="4">
        <f>VLOOKUP(B493,Costos_Proveedores!$B$2:$J$1000,9,FALSE())</f>
        <v>6300</v>
      </c>
      <c r="K493" s="5">
        <f t="shared" si="2"/>
        <v>6300</v>
      </c>
      <c r="L493" s="2"/>
      <c r="M493" s="2"/>
      <c r="N493" s="2"/>
      <c r="O493" s="2"/>
      <c r="P493" s="1">
        <f t="shared" si="3"/>
        <v>0</v>
      </c>
      <c r="Q493" s="1">
        <f t="shared" si="4"/>
        <v>0</v>
      </c>
      <c r="R493" s="1">
        <f t="shared" si="5"/>
        <v>0</v>
      </c>
      <c r="S493" s="6" t="s">
        <v>1779</v>
      </c>
    </row>
    <row r="494">
      <c r="A494" s="3" t="str">
        <f t="array" ref="A494">XLOOKUP(B494,Costos_Proveedores!$B$2:$B$2000,Costos_Proveedores!$A$2:$A$2000)</f>
        <v>MULI</v>
      </c>
      <c r="B494" s="2" t="s">
        <v>1780</v>
      </c>
      <c r="C494" s="2" t="s">
        <v>1781</v>
      </c>
      <c r="D494" s="2" t="s">
        <v>1782</v>
      </c>
      <c r="E494" s="2" t="s">
        <v>31</v>
      </c>
      <c r="F494" s="2">
        <v>0.0</v>
      </c>
      <c r="G494" s="2">
        <v>0.0</v>
      </c>
      <c r="H494" s="3">
        <f t="shared" si="1"/>
        <v>0</v>
      </c>
      <c r="I494" s="2" t="s">
        <v>22</v>
      </c>
      <c r="J494" s="4">
        <f>VLOOKUP(B494,Costos_Proveedores!$B$2:$J$1000,9,FALSE())</f>
        <v>3150</v>
      </c>
      <c r="K494" s="5">
        <f t="shared" si="2"/>
        <v>0</v>
      </c>
      <c r="L494" s="2"/>
      <c r="M494" s="2"/>
      <c r="N494" s="2"/>
      <c r="O494" s="2"/>
      <c r="P494" s="1">
        <f t="shared" si="3"/>
        <v>0</v>
      </c>
      <c r="Q494" s="1">
        <f t="shared" si="4"/>
        <v>0</v>
      </c>
      <c r="R494" s="1">
        <f t="shared" si="5"/>
        <v>0</v>
      </c>
      <c r="S494" s="6" t="s">
        <v>1783</v>
      </c>
    </row>
    <row r="495">
      <c r="A495" s="3" t="str">
        <f t="array" ref="A495">XLOOKUP(B495,Costos_Proveedores!$B$2:$B$2000,Costos_Proveedores!$A$2:$A$2000)</f>
        <v>MULI</v>
      </c>
      <c r="B495" s="2" t="s">
        <v>1784</v>
      </c>
      <c r="C495" s="2" t="s">
        <v>1785</v>
      </c>
      <c r="D495" s="2" t="s">
        <v>1786</v>
      </c>
      <c r="E495" s="2" t="s">
        <v>31</v>
      </c>
      <c r="F495" s="2">
        <v>0.0</v>
      </c>
      <c r="G495" s="2">
        <v>0.0</v>
      </c>
      <c r="H495" s="3">
        <f t="shared" si="1"/>
        <v>0</v>
      </c>
      <c r="I495" s="2" t="s">
        <v>22</v>
      </c>
      <c r="J495" s="4">
        <f>VLOOKUP(B495,Costos_Proveedores!$B$2:$J$1000,9,FALSE())</f>
        <v>1350</v>
      </c>
      <c r="K495" s="5">
        <f t="shared" si="2"/>
        <v>0</v>
      </c>
      <c r="L495" s="2">
        <v>1.0</v>
      </c>
      <c r="M495" s="2">
        <v>1.0</v>
      </c>
      <c r="N495" s="2">
        <v>0.0</v>
      </c>
      <c r="O495" s="2">
        <v>0.0</v>
      </c>
      <c r="P495" s="1">
        <f t="shared" si="3"/>
        <v>1</v>
      </c>
      <c r="Q495" s="1">
        <f t="shared" si="4"/>
        <v>0</v>
      </c>
      <c r="R495" s="1">
        <f t="shared" si="5"/>
        <v>1</v>
      </c>
      <c r="S495" s="6" t="s">
        <v>1787</v>
      </c>
    </row>
    <row r="496">
      <c r="A496" s="3" t="str">
        <f t="array" ref="A496">XLOOKUP(B496,Costos_Proveedores!$B$2:$B$2000,Costos_Proveedores!$A$2:$A$2000)</f>
        <v>MULI</v>
      </c>
      <c r="B496" s="2" t="s">
        <v>1788</v>
      </c>
      <c r="C496" s="2" t="s">
        <v>1789</v>
      </c>
      <c r="D496" s="2" t="s">
        <v>1790</v>
      </c>
      <c r="E496" s="2" t="s">
        <v>31</v>
      </c>
      <c r="F496" s="2">
        <v>0.0</v>
      </c>
      <c r="G496" s="2">
        <v>0.0</v>
      </c>
      <c r="H496" s="3">
        <f t="shared" si="1"/>
        <v>0</v>
      </c>
      <c r="I496" s="2" t="s">
        <v>22</v>
      </c>
      <c r="J496" s="4">
        <f>VLOOKUP(B496,Costos_Proveedores!$B$2:$J$1000,9,FALSE())</f>
        <v>5850</v>
      </c>
      <c r="K496" s="5">
        <f t="shared" si="2"/>
        <v>0</v>
      </c>
      <c r="L496" s="2"/>
      <c r="M496" s="2"/>
      <c r="N496" s="2"/>
      <c r="O496" s="2"/>
      <c r="P496" s="1">
        <f t="shared" si="3"/>
        <v>0</v>
      </c>
      <c r="Q496" s="1">
        <f t="shared" si="4"/>
        <v>0</v>
      </c>
      <c r="R496" s="1">
        <f t="shared" si="5"/>
        <v>0</v>
      </c>
      <c r="S496" s="6" t="s">
        <v>1791</v>
      </c>
    </row>
    <row r="497">
      <c r="A497" s="3" t="str">
        <f t="array" ref="A497">XLOOKUP(B497,Costos_Proveedores!$B$2:$B$2000,Costos_Proveedores!$A$2:$A$2000)</f>
        <v>MULI</v>
      </c>
      <c r="B497" s="2" t="s">
        <v>1792</v>
      </c>
      <c r="C497" s="2" t="s">
        <v>1793</v>
      </c>
      <c r="D497" s="2" t="s">
        <v>1794</v>
      </c>
      <c r="E497" s="2" t="s">
        <v>47</v>
      </c>
      <c r="F497" s="2">
        <v>1.0</v>
      </c>
      <c r="G497" s="2">
        <v>0.0</v>
      </c>
      <c r="H497" s="3">
        <f t="shared" si="1"/>
        <v>1</v>
      </c>
      <c r="I497" s="2" t="s">
        <v>22</v>
      </c>
      <c r="J497" s="4">
        <f>VLOOKUP(B497,Costos_Proveedores!$B$2:$J$1000,9,FALSE())</f>
        <v>6300</v>
      </c>
      <c r="K497" s="5">
        <f t="shared" si="2"/>
        <v>6300</v>
      </c>
      <c r="L497" s="2"/>
      <c r="M497" s="2"/>
      <c r="N497" s="2"/>
      <c r="O497" s="2"/>
      <c r="P497" s="1">
        <f t="shared" si="3"/>
        <v>0</v>
      </c>
      <c r="Q497" s="1">
        <f t="shared" si="4"/>
        <v>0</v>
      </c>
      <c r="R497" s="1">
        <f t="shared" si="5"/>
        <v>0</v>
      </c>
      <c r="S497" s="6" t="s">
        <v>1795</v>
      </c>
    </row>
    <row r="498">
      <c r="A498" s="3" t="str">
        <f t="array" ref="A498">XLOOKUP(B498,Costos_Proveedores!$B$2:$B$2000,Costos_Proveedores!$A$2:$A$2000)</f>
        <v>MULI</v>
      </c>
      <c r="B498" s="2" t="s">
        <v>1796</v>
      </c>
      <c r="C498" s="2" t="s">
        <v>1797</v>
      </c>
      <c r="D498" s="2" t="s">
        <v>1798</v>
      </c>
      <c r="E498" s="2" t="s">
        <v>31</v>
      </c>
      <c r="F498" s="2">
        <v>0.0</v>
      </c>
      <c r="G498" s="2">
        <v>0.0</v>
      </c>
      <c r="H498" s="3">
        <f t="shared" si="1"/>
        <v>0</v>
      </c>
      <c r="I498" s="2" t="s">
        <v>22</v>
      </c>
      <c r="J498" s="4">
        <f>VLOOKUP(B498,Costos_Proveedores!$B$2:$J$1000,9,FALSE())</f>
        <v>3150</v>
      </c>
      <c r="K498" s="5">
        <f t="shared" si="2"/>
        <v>0</v>
      </c>
      <c r="L498" s="2">
        <v>2.0</v>
      </c>
      <c r="M498" s="2">
        <v>1.0</v>
      </c>
      <c r="N498" s="2">
        <v>0.0</v>
      </c>
      <c r="O498" s="2">
        <v>1.0</v>
      </c>
      <c r="P498" s="1">
        <f t="shared" si="3"/>
        <v>1</v>
      </c>
      <c r="Q498" s="1">
        <f t="shared" si="4"/>
        <v>1</v>
      </c>
      <c r="R498" s="1">
        <f t="shared" si="5"/>
        <v>2</v>
      </c>
      <c r="S498" s="6" t="s">
        <v>1799</v>
      </c>
    </row>
    <row r="499">
      <c r="A499" s="3" t="str">
        <f t="array" ref="A499">XLOOKUP(B499,Costos_Proveedores!$B$2:$B$2000,Costos_Proveedores!$A$2:$A$2000)</f>
        <v>MULI</v>
      </c>
      <c r="B499" s="2" t="s">
        <v>1800</v>
      </c>
      <c r="C499" s="2" t="s">
        <v>1801</v>
      </c>
      <c r="D499" s="2" t="s">
        <v>1802</v>
      </c>
      <c r="E499" s="2" t="s">
        <v>31</v>
      </c>
      <c r="F499" s="2">
        <v>0.0</v>
      </c>
      <c r="G499" s="2">
        <v>0.0</v>
      </c>
      <c r="H499" s="3">
        <f t="shared" si="1"/>
        <v>0</v>
      </c>
      <c r="I499" s="2" t="s">
        <v>22</v>
      </c>
      <c r="J499" s="4">
        <f>VLOOKUP(B499,Costos_Proveedores!$B$2:$J$1000,9,FALSE())</f>
        <v>5400</v>
      </c>
      <c r="K499" s="5">
        <f t="shared" si="2"/>
        <v>0</v>
      </c>
      <c r="L499" s="2">
        <v>1.0</v>
      </c>
      <c r="M499" s="2">
        <v>2.0</v>
      </c>
      <c r="N499" s="2">
        <v>0.0</v>
      </c>
      <c r="O499" s="2">
        <v>0.0</v>
      </c>
      <c r="P499" s="1">
        <f t="shared" si="3"/>
        <v>2</v>
      </c>
      <c r="Q499" s="1">
        <f t="shared" si="4"/>
        <v>0</v>
      </c>
      <c r="R499" s="1">
        <f t="shared" si="5"/>
        <v>2</v>
      </c>
      <c r="S499" s="6" t="s">
        <v>1803</v>
      </c>
    </row>
    <row r="500">
      <c r="A500" s="3" t="str">
        <f t="array" ref="A500">XLOOKUP(B500,Costos_Proveedores!$B$2:$B$2000,Costos_Proveedores!$A$2:$A$2000)</f>
        <v>MULI</v>
      </c>
      <c r="B500" s="2" t="s">
        <v>1804</v>
      </c>
      <c r="C500" s="2" t="s">
        <v>1805</v>
      </c>
      <c r="D500" s="2" t="s">
        <v>1806</v>
      </c>
      <c r="E500" s="2" t="s">
        <v>31</v>
      </c>
      <c r="F500" s="2">
        <v>0.0</v>
      </c>
      <c r="G500" s="2">
        <v>0.0</v>
      </c>
      <c r="H500" s="3">
        <f t="shared" si="1"/>
        <v>0</v>
      </c>
      <c r="I500" s="2" t="s">
        <v>22</v>
      </c>
      <c r="J500" s="4">
        <f>VLOOKUP(B500,Costos_Proveedores!$B$2:$J$1000,9,FALSE())</f>
        <v>2700</v>
      </c>
      <c r="K500" s="5">
        <f t="shared" si="2"/>
        <v>0</v>
      </c>
      <c r="L500" s="2">
        <v>1.0</v>
      </c>
      <c r="M500" s="2">
        <v>1.0</v>
      </c>
      <c r="N500" s="2">
        <v>0.0</v>
      </c>
      <c r="O500" s="2">
        <v>0.0</v>
      </c>
      <c r="P500" s="1">
        <f t="shared" si="3"/>
        <v>1</v>
      </c>
      <c r="Q500" s="1">
        <f t="shared" si="4"/>
        <v>0</v>
      </c>
      <c r="R500" s="1">
        <f t="shared" si="5"/>
        <v>1</v>
      </c>
      <c r="S500" s="6" t="s">
        <v>1807</v>
      </c>
    </row>
    <row r="501">
      <c r="A501" s="3" t="str">
        <f t="array" ref="A501">XLOOKUP(B501,Costos_Proveedores!$B$2:$B$2000,Costos_Proveedores!$A$2:$A$2000)</f>
        <v>MULI</v>
      </c>
      <c r="B501" s="2" t="s">
        <v>1808</v>
      </c>
      <c r="C501" s="2">
        <v>107373.0</v>
      </c>
      <c r="D501" s="2" t="s">
        <v>1809</v>
      </c>
      <c r="E501" s="2" t="s">
        <v>31</v>
      </c>
      <c r="F501" s="2">
        <v>0.0</v>
      </c>
      <c r="G501" s="2">
        <v>0.0</v>
      </c>
      <c r="H501" s="3">
        <f t="shared" si="1"/>
        <v>0</v>
      </c>
      <c r="I501" s="2" t="s">
        <v>22</v>
      </c>
      <c r="J501" s="4">
        <f>VLOOKUP(B501,Costos_Proveedores!$B$2:$J$1000,9,FALSE())</f>
        <v>1848</v>
      </c>
      <c r="K501" s="5">
        <f t="shared" si="2"/>
        <v>0</v>
      </c>
      <c r="L501" s="2">
        <v>1.0</v>
      </c>
      <c r="M501" s="2">
        <v>1.0</v>
      </c>
      <c r="N501" s="2">
        <v>0.0</v>
      </c>
      <c r="O501" s="2">
        <v>0.0</v>
      </c>
      <c r="P501" s="1">
        <f t="shared" si="3"/>
        <v>1</v>
      </c>
      <c r="Q501" s="1">
        <f t="shared" si="4"/>
        <v>0</v>
      </c>
      <c r="R501" s="1">
        <f t="shared" si="5"/>
        <v>1</v>
      </c>
      <c r="S501" s="6" t="s">
        <v>1810</v>
      </c>
    </row>
    <row r="502">
      <c r="A502" s="3" t="str">
        <f t="array" ref="A502">XLOOKUP(B502,Costos_Proveedores!$B$2:$B$2000,Costos_Proveedores!$A$2:$A$2000)</f>
        <v>MULI</v>
      </c>
      <c r="B502" s="2" t="s">
        <v>1811</v>
      </c>
      <c r="C502" s="2" t="s">
        <v>1812</v>
      </c>
      <c r="D502" s="2" t="s">
        <v>1813</v>
      </c>
      <c r="E502" s="2" t="s">
        <v>47</v>
      </c>
      <c r="F502" s="2">
        <v>1.0</v>
      </c>
      <c r="G502" s="2">
        <v>0.0</v>
      </c>
      <c r="H502" s="3">
        <f t="shared" si="1"/>
        <v>1</v>
      </c>
      <c r="I502" s="2" t="s">
        <v>22</v>
      </c>
      <c r="J502" s="4">
        <f>VLOOKUP(B502,Costos_Proveedores!$B$2:$J$1000,9,FALSE())</f>
        <v>1350</v>
      </c>
      <c r="K502" s="5">
        <f t="shared" si="2"/>
        <v>1350</v>
      </c>
      <c r="L502" s="2"/>
      <c r="M502" s="2"/>
      <c r="N502" s="2"/>
      <c r="O502" s="2"/>
      <c r="P502" s="1">
        <f t="shared" si="3"/>
        <v>0</v>
      </c>
      <c r="Q502" s="1">
        <f t="shared" si="4"/>
        <v>0</v>
      </c>
      <c r="R502" s="1">
        <f t="shared" si="5"/>
        <v>0</v>
      </c>
      <c r="S502" s="6" t="s">
        <v>1814</v>
      </c>
    </row>
    <row r="503">
      <c r="A503" s="3" t="str">
        <f t="array" ref="A503">XLOOKUP(B503,Costos_Proveedores!$B$2:$B$2000,Costos_Proveedores!$A$2:$A$2000)</f>
        <v>MULI</v>
      </c>
      <c r="B503" s="2" t="s">
        <v>1815</v>
      </c>
      <c r="C503" s="2" t="s">
        <v>1816</v>
      </c>
      <c r="D503" s="2" t="s">
        <v>1817</v>
      </c>
      <c r="E503" s="2" t="s">
        <v>31</v>
      </c>
      <c r="F503" s="2">
        <v>0.0</v>
      </c>
      <c r="G503" s="2">
        <v>0.0</v>
      </c>
      <c r="H503" s="3">
        <f t="shared" si="1"/>
        <v>0</v>
      </c>
      <c r="I503" s="2" t="s">
        <v>22</v>
      </c>
      <c r="J503" s="4">
        <f>VLOOKUP(B503,Costos_Proveedores!$B$2:$J$1000,9,FALSE())</f>
        <v>7200</v>
      </c>
      <c r="K503" s="5">
        <f t="shared" si="2"/>
        <v>0</v>
      </c>
      <c r="L503" s="2">
        <v>1.0</v>
      </c>
      <c r="M503" s="2">
        <v>1.0</v>
      </c>
      <c r="N503" s="2">
        <v>0.0</v>
      </c>
      <c r="O503" s="2">
        <v>0.0</v>
      </c>
      <c r="P503" s="1">
        <f t="shared" si="3"/>
        <v>1</v>
      </c>
      <c r="Q503" s="1">
        <f t="shared" si="4"/>
        <v>0</v>
      </c>
      <c r="R503" s="1">
        <f t="shared" si="5"/>
        <v>1</v>
      </c>
      <c r="S503" s="6" t="s">
        <v>1818</v>
      </c>
    </row>
    <row r="504">
      <c r="A504" s="3" t="str">
        <f t="array" ref="A504">XLOOKUP(B504,Costos_Proveedores!$B$2:$B$2000,Costos_Proveedores!$A$2:$A$2000)</f>
        <v>MULI</v>
      </c>
      <c r="B504" s="2" t="s">
        <v>1819</v>
      </c>
      <c r="C504" s="2" t="s">
        <v>1820</v>
      </c>
      <c r="D504" s="2" t="s">
        <v>1821</v>
      </c>
      <c r="E504" s="2" t="s">
        <v>47</v>
      </c>
      <c r="F504" s="2">
        <v>1.0</v>
      </c>
      <c r="G504" s="2">
        <v>0.0</v>
      </c>
      <c r="H504" s="3">
        <f t="shared" si="1"/>
        <v>1</v>
      </c>
      <c r="I504" s="2" t="s">
        <v>22</v>
      </c>
      <c r="J504" s="4">
        <f>VLOOKUP(B504,Costos_Proveedores!$B$2:$J$1000,9,FALSE())</f>
        <v>2925</v>
      </c>
      <c r="K504" s="5">
        <f t="shared" si="2"/>
        <v>2925</v>
      </c>
      <c r="L504" s="2"/>
      <c r="M504" s="2"/>
      <c r="N504" s="2"/>
      <c r="O504" s="2"/>
      <c r="P504" s="1">
        <f t="shared" si="3"/>
        <v>0</v>
      </c>
      <c r="Q504" s="1">
        <f t="shared" si="4"/>
        <v>0</v>
      </c>
      <c r="R504" s="1">
        <f t="shared" si="5"/>
        <v>0</v>
      </c>
      <c r="S504" s="6" t="s">
        <v>1822</v>
      </c>
    </row>
    <row r="505">
      <c r="A505" s="3" t="str">
        <f t="array" ref="A505">XLOOKUP(B505,Costos_Proveedores!$B$2:$B$2000,Costos_Proveedores!$A$2:$A$2000)</f>
        <v>MULI</v>
      </c>
      <c r="B505" s="2" t="s">
        <v>1823</v>
      </c>
      <c r="C505" s="2" t="s">
        <v>1824</v>
      </c>
      <c r="D505" s="2" t="s">
        <v>1825</v>
      </c>
      <c r="E505" s="2" t="s">
        <v>31</v>
      </c>
      <c r="F505" s="2">
        <v>0.0</v>
      </c>
      <c r="G505" s="2">
        <v>0.0</v>
      </c>
      <c r="H505" s="3">
        <f t="shared" si="1"/>
        <v>0</v>
      </c>
      <c r="I505" s="2" t="s">
        <v>22</v>
      </c>
      <c r="J505" s="4">
        <f>VLOOKUP(B505,Costos_Proveedores!$B$2:$J$1000,9,FALSE())</f>
        <v>4500</v>
      </c>
      <c r="K505" s="5">
        <f t="shared" si="2"/>
        <v>0</v>
      </c>
      <c r="L505" s="2">
        <v>1.0</v>
      </c>
      <c r="M505" s="2"/>
      <c r="N505" s="2"/>
      <c r="O505" s="2"/>
      <c r="P505" s="1">
        <f t="shared" si="3"/>
        <v>0</v>
      </c>
      <c r="Q505" s="1">
        <f t="shared" si="4"/>
        <v>0</v>
      </c>
      <c r="R505" s="1">
        <f t="shared" si="5"/>
        <v>0</v>
      </c>
      <c r="S505" s="6" t="s">
        <v>1826</v>
      </c>
    </row>
    <row r="506">
      <c r="A506" s="3" t="str">
        <f t="array" ref="A506">XLOOKUP(B506,Costos_Proveedores!$B$2:$B$2000,Costos_Proveedores!$A$2:$A$2000)</f>
        <v>MULI</v>
      </c>
      <c r="B506" s="2" t="s">
        <v>1827</v>
      </c>
      <c r="C506" s="2" t="s">
        <v>1828</v>
      </c>
      <c r="D506" s="2" t="s">
        <v>1829</v>
      </c>
      <c r="E506" s="2" t="s">
        <v>47</v>
      </c>
      <c r="F506" s="2">
        <v>1.0</v>
      </c>
      <c r="G506" s="2">
        <v>0.0</v>
      </c>
      <c r="H506" s="3">
        <f t="shared" si="1"/>
        <v>1</v>
      </c>
      <c r="I506" s="2" t="s">
        <v>22</v>
      </c>
      <c r="J506" s="4">
        <f>VLOOKUP(B506,Costos_Proveedores!$B$2:$J$1000,9,FALSE())</f>
        <v>4050</v>
      </c>
      <c r="K506" s="5">
        <f t="shared" si="2"/>
        <v>4050</v>
      </c>
      <c r="L506" s="2"/>
      <c r="M506" s="2"/>
      <c r="N506" s="2"/>
      <c r="O506" s="2"/>
      <c r="P506" s="1">
        <f t="shared" si="3"/>
        <v>0</v>
      </c>
      <c r="Q506" s="1">
        <f t="shared" si="4"/>
        <v>0</v>
      </c>
      <c r="R506" s="1">
        <f t="shared" si="5"/>
        <v>0</v>
      </c>
      <c r="S506" s="6" t="s">
        <v>1830</v>
      </c>
    </row>
    <row r="507">
      <c r="A507" s="3" t="str">
        <f t="array" ref="A507">XLOOKUP(B507,Costos_Proveedores!$B$2:$B$2000,Costos_Proveedores!$A$2:$A$2000)</f>
        <v>CEMAX</v>
      </c>
      <c r="B507" s="2" t="s">
        <v>1831</v>
      </c>
      <c r="C507" s="2">
        <v>1364.0</v>
      </c>
      <c r="D507" s="2" t="s">
        <v>1832</v>
      </c>
      <c r="E507" s="2" t="s">
        <v>47</v>
      </c>
      <c r="F507" s="2">
        <v>6.0</v>
      </c>
      <c r="G507" s="2">
        <v>5.0</v>
      </c>
      <c r="H507" s="3">
        <f t="shared" si="1"/>
        <v>11</v>
      </c>
      <c r="I507" s="2" t="s">
        <v>22</v>
      </c>
      <c r="J507" s="4">
        <f>VLOOKUP(B507,Costos_Proveedores!$B$2:$J$1000,9,FALSE())</f>
        <v>11892</v>
      </c>
      <c r="K507" s="5">
        <f t="shared" si="2"/>
        <v>130812</v>
      </c>
      <c r="L507" s="2">
        <v>1.0</v>
      </c>
      <c r="M507" s="2">
        <v>0.0</v>
      </c>
      <c r="N507" s="2">
        <v>0.0</v>
      </c>
      <c r="O507" s="2">
        <v>1.0</v>
      </c>
      <c r="P507" s="1">
        <f t="shared" si="3"/>
        <v>0</v>
      </c>
      <c r="Q507" s="1">
        <f t="shared" si="4"/>
        <v>0</v>
      </c>
      <c r="R507" s="1">
        <f t="shared" si="5"/>
        <v>0</v>
      </c>
      <c r="S507" s="6" t="s">
        <v>1833</v>
      </c>
    </row>
    <row r="508">
      <c r="A508" s="3" t="str">
        <f t="array" ref="A508">XLOOKUP(B508,Costos_Proveedores!$B$2:$B$2000,Costos_Proveedores!$A$2:$A$2000)</f>
        <v>GSM</v>
      </c>
      <c r="B508" s="2" t="s">
        <v>1834</v>
      </c>
      <c r="C508" s="2">
        <v>6.931474731753E12</v>
      </c>
      <c r="D508" s="2" t="s">
        <v>1835</v>
      </c>
      <c r="E508" s="2" t="s">
        <v>47</v>
      </c>
      <c r="F508" s="2">
        <v>136.0</v>
      </c>
      <c r="G508" s="2">
        <v>0.0</v>
      </c>
      <c r="H508" s="3">
        <f t="shared" si="1"/>
        <v>136</v>
      </c>
      <c r="I508" s="2" t="s">
        <v>22</v>
      </c>
      <c r="J508" s="4">
        <f>VLOOKUP(B508,Costos_Proveedores!$B$2:$J$1000,9,FALSE())</f>
        <v>3524</v>
      </c>
      <c r="K508" s="5">
        <f t="shared" si="2"/>
        <v>479264</v>
      </c>
      <c r="L508" s="2">
        <v>11.0</v>
      </c>
      <c r="M508" s="2">
        <v>11.0</v>
      </c>
      <c r="N508" s="2">
        <v>0.0</v>
      </c>
      <c r="O508" s="2">
        <v>0.0</v>
      </c>
      <c r="P508" s="1">
        <f t="shared" si="3"/>
        <v>0</v>
      </c>
      <c r="Q508" s="1">
        <f t="shared" si="4"/>
        <v>0</v>
      </c>
      <c r="R508" s="1">
        <f t="shared" si="5"/>
        <v>0</v>
      </c>
      <c r="S508" s="6" t="s">
        <v>1836</v>
      </c>
    </row>
    <row r="509">
      <c r="A509" s="3" t="str">
        <f t="array" ref="A509">XLOOKUP(B509,Costos_Proveedores!$B$2:$B$2000,Costos_Proveedores!$A$2:$A$2000)</f>
        <v>CEMAX</v>
      </c>
      <c r="B509" s="2" t="s">
        <v>1837</v>
      </c>
      <c r="C509" s="2">
        <v>1120.0</v>
      </c>
      <c r="D509" s="2" t="s">
        <v>1838</v>
      </c>
      <c r="E509" s="2" t="s">
        <v>47</v>
      </c>
      <c r="F509" s="2">
        <v>2.0</v>
      </c>
      <c r="G509" s="2">
        <v>0.0</v>
      </c>
      <c r="H509" s="3">
        <f t="shared" si="1"/>
        <v>2</v>
      </c>
      <c r="I509" s="2" t="s">
        <v>22</v>
      </c>
      <c r="J509" s="4">
        <f>VLOOKUP(B509,Costos_Proveedores!$B$2:$J$1000,9,FALSE())</f>
        <v>11893</v>
      </c>
      <c r="K509" s="5">
        <f t="shared" si="2"/>
        <v>23786</v>
      </c>
      <c r="L509" s="2">
        <v>16.0</v>
      </c>
      <c r="M509" s="2">
        <v>16.0</v>
      </c>
      <c r="N509" s="2">
        <v>0.0</v>
      </c>
      <c r="O509" s="2">
        <v>0.0</v>
      </c>
      <c r="P509" s="1">
        <f t="shared" si="3"/>
        <v>14</v>
      </c>
      <c r="Q509" s="1">
        <f t="shared" si="4"/>
        <v>0</v>
      </c>
      <c r="R509" s="1">
        <f t="shared" si="5"/>
        <v>14</v>
      </c>
      <c r="S509" s="6" t="s">
        <v>1839</v>
      </c>
    </row>
    <row r="510">
      <c r="A510" s="3" t="str">
        <f t="array" ref="A510">XLOOKUP(B510,Costos_Proveedores!$B$2:$B$2000,Costos_Proveedores!$A$2:$A$2000)</f>
        <v>GSM</v>
      </c>
      <c r="B510" s="2" t="s">
        <v>1840</v>
      </c>
      <c r="C510" s="2">
        <v>6.94200761221E12</v>
      </c>
      <c r="D510" s="2" t="s">
        <v>1841</v>
      </c>
      <c r="E510" s="2" t="s">
        <v>47</v>
      </c>
      <c r="F510" s="2">
        <v>9.0</v>
      </c>
      <c r="G510" s="2">
        <v>0.0</v>
      </c>
      <c r="H510" s="3">
        <f t="shared" si="1"/>
        <v>9</v>
      </c>
      <c r="I510" s="2" t="s">
        <v>22</v>
      </c>
      <c r="J510" s="4">
        <f>VLOOKUP(B510,Costos_Proveedores!$B$2:$J$1000,9,FALSE())</f>
        <v>11700</v>
      </c>
      <c r="K510" s="5">
        <f t="shared" si="2"/>
        <v>105300</v>
      </c>
      <c r="L510" s="2">
        <v>10.0</v>
      </c>
      <c r="M510" s="2">
        <v>8.0</v>
      </c>
      <c r="N510" s="2">
        <v>2.0</v>
      </c>
      <c r="O510" s="2">
        <v>0.0</v>
      </c>
      <c r="P510" s="1">
        <f t="shared" si="3"/>
        <v>0</v>
      </c>
      <c r="Q510" s="1">
        <f t="shared" si="4"/>
        <v>2</v>
      </c>
      <c r="R510" s="1">
        <f t="shared" si="5"/>
        <v>2</v>
      </c>
      <c r="S510" s="6" t="s">
        <v>1842</v>
      </c>
    </row>
    <row r="511">
      <c r="A511" s="3" t="str">
        <f t="array" ref="A511">XLOOKUP(B511,Costos_Proveedores!$B$2:$B$2000,Costos_Proveedores!$A$2:$A$2000)</f>
        <v>GSM</v>
      </c>
      <c r="B511" s="2" t="s">
        <v>1843</v>
      </c>
      <c r="C511" s="2">
        <v>6.942007616331E12</v>
      </c>
      <c r="D511" s="2" t="s">
        <v>1844</v>
      </c>
      <c r="E511" s="2" t="s">
        <v>47</v>
      </c>
      <c r="F511" s="2">
        <v>57.0</v>
      </c>
      <c r="G511" s="2">
        <v>1.0</v>
      </c>
      <c r="H511" s="3">
        <f t="shared" si="1"/>
        <v>58</v>
      </c>
      <c r="I511" s="2" t="s">
        <v>22</v>
      </c>
      <c r="J511" s="4">
        <f>VLOOKUP(B511,Costos_Proveedores!$B$2:$J$1000,9,FALSE())</f>
        <v>8558</v>
      </c>
      <c r="K511" s="5">
        <f t="shared" si="2"/>
        <v>496364</v>
      </c>
      <c r="L511" s="2">
        <v>8.0</v>
      </c>
      <c r="M511" s="2">
        <v>9.0</v>
      </c>
      <c r="N511" s="2">
        <v>0.0</v>
      </c>
      <c r="O511" s="2">
        <v>0.0</v>
      </c>
      <c r="P511" s="1">
        <f t="shared" si="3"/>
        <v>0</v>
      </c>
      <c r="Q511" s="1">
        <f t="shared" si="4"/>
        <v>0</v>
      </c>
      <c r="R511" s="1">
        <f t="shared" si="5"/>
        <v>0</v>
      </c>
      <c r="S511" s="6" t="s">
        <v>1845</v>
      </c>
    </row>
    <row r="512">
      <c r="A512" s="3" t="str">
        <f t="array" ref="A512">XLOOKUP(B512,Costos_Proveedores!$B$2:$B$2000,Costos_Proveedores!$A$2:$A$2000)</f>
        <v>GSM</v>
      </c>
      <c r="B512" s="2" t="s">
        <v>1846</v>
      </c>
      <c r="C512" s="2">
        <v>6.942007616348E12</v>
      </c>
      <c r="D512" s="2" t="s">
        <v>1847</v>
      </c>
      <c r="E512" s="2" t="s">
        <v>47</v>
      </c>
      <c r="F512" s="2">
        <v>3.0</v>
      </c>
      <c r="G512" s="2">
        <v>2.0</v>
      </c>
      <c r="H512" s="3">
        <f t="shared" si="1"/>
        <v>5</v>
      </c>
      <c r="I512" s="2" t="s">
        <v>22</v>
      </c>
      <c r="J512" s="4">
        <f>VLOOKUP(B512,Costos_Proveedores!$B$2:$J$1000,9,FALSE())</f>
        <v>8558</v>
      </c>
      <c r="K512" s="5">
        <f t="shared" si="2"/>
        <v>42790</v>
      </c>
      <c r="L512" s="2">
        <v>16.0</v>
      </c>
      <c r="M512" s="2">
        <v>16.0</v>
      </c>
      <c r="N512" s="2">
        <v>0.0</v>
      </c>
      <c r="O512" s="2">
        <v>0.0</v>
      </c>
      <c r="P512" s="1">
        <f t="shared" si="3"/>
        <v>13</v>
      </c>
      <c r="Q512" s="1">
        <f t="shared" si="4"/>
        <v>0</v>
      </c>
      <c r="R512" s="1">
        <f t="shared" si="5"/>
        <v>13</v>
      </c>
      <c r="S512" s="6" t="s">
        <v>1848</v>
      </c>
    </row>
    <row r="513">
      <c r="A513" s="3" t="str">
        <f t="array" ref="A513">XLOOKUP(B513,Costos_Proveedores!$B$2:$B$2000,Costos_Proveedores!$A$2:$A$2000)</f>
        <v>#N/A</v>
      </c>
      <c r="C513" s="2">
        <v>6.14143337437E11</v>
      </c>
      <c r="H513" s="3"/>
      <c r="J513" s="4"/>
      <c r="K513" s="5"/>
      <c r="M513" s="7">
        <v>26.0</v>
      </c>
      <c r="N513" s="7">
        <v>0.0</v>
      </c>
      <c r="O513" s="7">
        <v>0.0</v>
      </c>
      <c r="P513" s="3"/>
      <c r="Q513" s="3"/>
      <c r="R513" s="3"/>
    </row>
    <row r="514">
      <c r="A514" s="3" t="str">
        <f t="array" ref="A514">XLOOKUP(B514,Costos_Proveedores!$B$2:$B$2000,Costos_Proveedores!$A$2:$A$2000)</f>
        <v>#N/A</v>
      </c>
      <c r="C514" s="2">
        <v>7.45853432492E11</v>
      </c>
      <c r="H514" s="3"/>
      <c r="J514" s="4"/>
      <c r="K514" s="5"/>
      <c r="M514" s="7">
        <v>74.0</v>
      </c>
      <c r="N514" s="7">
        <v>0.0</v>
      </c>
      <c r="O514" s="7">
        <v>0.0</v>
      </c>
      <c r="P514" s="3"/>
      <c r="Q514" s="3"/>
      <c r="R514" s="3"/>
    </row>
    <row r="515">
      <c r="A515" s="3" t="str">
        <f t="array" ref="A515">XLOOKUP(B515,Costos_Proveedores!$B$2:$B$2000,Costos_Proveedores!$A$2:$A$2000)</f>
        <v>#N/A</v>
      </c>
      <c r="C515" s="2">
        <v>7.99192051562E11</v>
      </c>
      <c r="H515" s="3"/>
      <c r="J515" s="4"/>
      <c r="K515" s="5"/>
      <c r="M515" s="7">
        <v>5.0</v>
      </c>
      <c r="N515" s="7">
        <v>0.0</v>
      </c>
      <c r="O515" s="7">
        <v>0.0</v>
      </c>
      <c r="P515" s="3"/>
      <c r="Q515" s="3"/>
      <c r="R515" s="3"/>
    </row>
    <row r="516">
      <c r="A516" s="3" t="str">
        <f t="array" ref="A516">XLOOKUP(B516,Costos_Proveedores!$B$2:$B$2000,Costos_Proveedores!$A$2:$A$2000)</f>
        <v>#N/A</v>
      </c>
      <c r="C516" s="2">
        <v>7.99192051531E11</v>
      </c>
      <c r="H516" s="3"/>
      <c r="J516" s="4"/>
      <c r="K516" s="5"/>
      <c r="M516" s="7">
        <v>11.0</v>
      </c>
      <c r="N516" s="7">
        <v>0.0</v>
      </c>
      <c r="O516" s="7">
        <v>0.0</v>
      </c>
      <c r="P516" s="3"/>
      <c r="Q516" s="3"/>
      <c r="R516" s="3"/>
    </row>
    <row r="517">
      <c r="A517" s="3" t="str">
        <f t="array" ref="A517">XLOOKUP(B517,Costos_Proveedores!$B$2:$B$2000,Costos_Proveedores!$A$2:$A$2000)</f>
        <v>#N/A</v>
      </c>
      <c r="C517" s="2">
        <v>7.45853477929E11</v>
      </c>
      <c r="H517" s="3"/>
      <c r="J517" s="4"/>
      <c r="K517" s="5"/>
      <c r="M517" s="7">
        <v>37.0</v>
      </c>
      <c r="N517" s="7">
        <v>0.0</v>
      </c>
      <c r="O517" s="7">
        <v>0.0</v>
      </c>
      <c r="P517" s="3"/>
      <c r="Q517" s="3"/>
      <c r="R517" s="3"/>
    </row>
    <row r="518">
      <c r="A518" s="3" t="str">
        <f t="array" ref="A518">XLOOKUP(B518,Costos_Proveedores!$B$2:$B$2000,Costos_Proveedores!$A$2:$A$2000)</f>
        <v>#N/A</v>
      </c>
      <c r="C518" s="2">
        <v>7.99192418013E11</v>
      </c>
      <c r="H518" s="3"/>
      <c r="J518" s="4"/>
      <c r="K518" s="5"/>
      <c r="M518" s="7">
        <v>1.0</v>
      </c>
      <c r="N518" s="7">
        <v>0.0</v>
      </c>
      <c r="O518" s="7">
        <v>0.0</v>
      </c>
      <c r="P518" s="3"/>
      <c r="Q518" s="3"/>
      <c r="R518" s="3"/>
    </row>
    <row r="519">
      <c r="A519" s="3" t="str">
        <f t="array" ref="A519">XLOOKUP(B519,Costos_Proveedores!$B$2:$B$2000,Costos_Proveedores!$A$2:$A$2000)</f>
        <v>#N/A</v>
      </c>
      <c r="C519" s="2">
        <v>7.99192418051E11</v>
      </c>
      <c r="H519" s="3"/>
      <c r="J519" s="4"/>
      <c r="K519" s="5"/>
      <c r="M519" s="7">
        <v>6.0</v>
      </c>
      <c r="N519" s="7">
        <v>0.0</v>
      </c>
      <c r="O519" s="7">
        <v>0.0</v>
      </c>
      <c r="P519" s="3"/>
      <c r="Q519" s="3"/>
      <c r="R519" s="3"/>
    </row>
    <row r="520">
      <c r="A520" s="3" t="str">
        <f t="array" ref="A520">XLOOKUP(B520,Costos_Proveedores!$B$2:$B$2000,Costos_Proveedores!$A$2:$A$2000)</f>
        <v>#N/A</v>
      </c>
      <c r="C520" s="2">
        <v>7.45853478896E11</v>
      </c>
      <c r="H520" s="3"/>
      <c r="J520" s="4"/>
      <c r="K520" s="5"/>
      <c r="M520" s="7">
        <v>47.0</v>
      </c>
      <c r="N520" s="7">
        <v>0.0</v>
      </c>
      <c r="O520" s="7">
        <v>0.0</v>
      </c>
      <c r="P520" s="3"/>
      <c r="Q520" s="3"/>
      <c r="R520" s="3"/>
    </row>
    <row r="521">
      <c r="A521" s="3" t="str">
        <f t="array" ref="A521">XLOOKUP(B521,Costos_Proveedores!$B$2:$B$2000,Costos_Proveedores!$A$2:$A$2000)</f>
        <v>#N/A</v>
      </c>
      <c r="C521" s="2">
        <v>7.45853478834E11</v>
      </c>
      <c r="H521" s="3"/>
      <c r="J521" s="4"/>
      <c r="K521" s="5"/>
      <c r="M521" s="7">
        <v>63.0</v>
      </c>
      <c r="N521" s="7">
        <v>0.0</v>
      </c>
      <c r="O521" s="7">
        <v>0.0</v>
      </c>
      <c r="P521" s="3"/>
      <c r="Q521" s="3"/>
      <c r="R521" s="3"/>
    </row>
    <row r="522">
      <c r="A522" s="3" t="str">
        <f t="array" ref="A522">XLOOKUP(B522,Costos_Proveedores!$B$2:$B$2000,Costos_Proveedores!$A$2:$A$2000)</f>
        <v>#N/A</v>
      </c>
      <c r="C522" s="2">
        <v>7.45853432409E11</v>
      </c>
      <c r="H522" s="3"/>
      <c r="J522" s="4"/>
      <c r="K522" s="5"/>
      <c r="M522" s="7">
        <v>21.0</v>
      </c>
      <c r="N522" s="7">
        <v>0.0</v>
      </c>
      <c r="O522" s="7">
        <v>0.0</v>
      </c>
      <c r="P522" s="3"/>
      <c r="Q522" s="3"/>
      <c r="R522" s="3"/>
    </row>
    <row r="523">
      <c r="A523" s="3" t="str">
        <f t="array" ref="A523">XLOOKUP(B523,Costos_Proveedores!$B$2:$B$2000,Costos_Proveedores!$A$2:$A$2000)</f>
        <v>#N/A</v>
      </c>
      <c r="C523" s="2">
        <v>7.45853478841E11</v>
      </c>
      <c r="H523" s="3"/>
      <c r="J523" s="4"/>
      <c r="K523" s="5"/>
      <c r="M523" s="7">
        <v>32.0</v>
      </c>
      <c r="N523" s="7">
        <v>0.0</v>
      </c>
      <c r="O523" s="7">
        <v>0.0</v>
      </c>
      <c r="P523" s="3"/>
      <c r="Q523" s="3"/>
      <c r="R523" s="3"/>
    </row>
    <row r="524">
      <c r="A524" s="3" t="str">
        <f t="array" ref="A524">XLOOKUP(B524,Costos_Proveedores!$B$2:$B$2000,Costos_Proveedores!$A$2:$A$2000)</f>
        <v>#N/A</v>
      </c>
      <c r="C524" s="2">
        <v>6.59525149437E11</v>
      </c>
      <c r="H524" s="3"/>
      <c r="J524" s="4"/>
      <c r="K524" s="5"/>
      <c r="M524" s="7">
        <v>21.0</v>
      </c>
      <c r="N524" s="7">
        <v>0.0</v>
      </c>
      <c r="O524" s="7">
        <v>0.0</v>
      </c>
      <c r="P524" s="3"/>
      <c r="Q524" s="3"/>
      <c r="R524" s="3"/>
    </row>
    <row r="525">
      <c r="A525" s="3" t="str">
        <f t="array" ref="A525">XLOOKUP(B525,Costos_Proveedores!$B$2:$B$2000,Costos_Proveedores!$A$2:$A$2000)</f>
        <v>#N/A</v>
      </c>
      <c r="C525" s="2">
        <v>7.45853842901E11</v>
      </c>
      <c r="H525" s="3"/>
      <c r="J525" s="4"/>
      <c r="K525" s="5"/>
      <c r="M525" s="7">
        <v>14.0</v>
      </c>
      <c r="N525" s="7">
        <v>0.0</v>
      </c>
      <c r="O525" s="7">
        <v>0.0</v>
      </c>
      <c r="P525" s="3"/>
      <c r="Q525" s="3"/>
      <c r="R525" s="3"/>
    </row>
    <row r="526">
      <c r="A526" s="3" t="str">
        <f t="array" ref="A526">XLOOKUP(B526,Costos_Proveedores!$B$2:$B$2000,Costos_Proveedores!$A$2:$A$2000)</f>
        <v>#N/A</v>
      </c>
      <c r="C526" s="2">
        <v>6.59525149413E11</v>
      </c>
      <c r="H526" s="3"/>
      <c r="J526" s="4"/>
      <c r="K526" s="5"/>
      <c r="M526" s="7">
        <v>22.0</v>
      </c>
      <c r="N526" s="7">
        <v>0.0</v>
      </c>
      <c r="O526" s="7">
        <v>0.0</v>
      </c>
      <c r="P526" s="3"/>
      <c r="Q526" s="3"/>
      <c r="R526" s="3"/>
    </row>
    <row r="527">
      <c r="A527" s="3" t="str">
        <f t="array" ref="A527">XLOOKUP(B527,Costos_Proveedores!$B$2:$B$2000,Costos_Proveedores!$A$2:$A$2000)</f>
        <v>#N/A</v>
      </c>
      <c r="C527" s="2">
        <v>6.58325660784E11</v>
      </c>
      <c r="H527" s="3"/>
      <c r="J527" s="4"/>
      <c r="K527" s="5"/>
      <c r="M527" s="7">
        <v>39.0</v>
      </c>
      <c r="N527" s="7">
        <v>0.0</v>
      </c>
      <c r="O527" s="7">
        <v>0.0</v>
      </c>
      <c r="P527" s="3"/>
      <c r="Q527" s="3"/>
      <c r="R527" s="3"/>
    </row>
    <row r="528">
      <c r="A528" s="3" t="str">
        <f t="array" ref="A528">XLOOKUP(B528,Costos_Proveedores!$B$2:$B$2000,Costos_Proveedores!$A$2:$A$2000)</f>
        <v>#N/A</v>
      </c>
      <c r="C528" s="2">
        <v>7.45853432485E11</v>
      </c>
      <c r="H528" s="3"/>
      <c r="J528" s="4"/>
      <c r="K528" s="5"/>
      <c r="M528" s="7">
        <v>63.0</v>
      </c>
      <c r="N528" s="7">
        <v>0.0</v>
      </c>
      <c r="O528" s="7">
        <v>0.0</v>
      </c>
      <c r="P528" s="3"/>
      <c r="Q528" s="3"/>
      <c r="R528" s="3"/>
    </row>
    <row r="529">
      <c r="A529" s="3" t="str">
        <f t="array" ref="A529">XLOOKUP(B529,Costos_Proveedores!$B$2:$B$2000,Costos_Proveedores!$A$2:$A$2000)</f>
        <v>#N/A</v>
      </c>
      <c r="C529" s="2" t="s">
        <v>1849</v>
      </c>
      <c r="H529" s="3"/>
      <c r="J529" s="4"/>
      <c r="K529" s="5"/>
      <c r="M529" s="7">
        <v>2.0</v>
      </c>
      <c r="N529" s="7">
        <v>0.0</v>
      </c>
      <c r="O529" s="7">
        <v>0.0</v>
      </c>
      <c r="P529" s="3"/>
      <c r="Q529" s="3"/>
      <c r="R529" s="3"/>
    </row>
    <row r="530">
      <c r="A530" s="3" t="str">
        <f t="array" ref="A530">XLOOKUP(B530,Costos_Proveedores!$B$2:$B$2000,Costos_Proveedores!$A$2:$A$2000)</f>
        <v>#N/A</v>
      </c>
      <c r="C530" s="2" t="s">
        <v>1850</v>
      </c>
      <c r="H530" s="3"/>
      <c r="J530" s="4"/>
      <c r="K530" s="5"/>
      <c r="M530" s="7">
        <v>1.0</v>
      </c>
      <c r="N530" s="7">
        <v>0.0</v>
      </c>
      <c r="O530" s="7">
        <v>0.0</v>
      </c>
      <c r="P530" s="3"/>
      <c r="Q530" s="3"/>
      <c r="R530" s="3"/>
    </row>
    <row r="531">
      <c r="A531" s="3" t="str">
        <f t="array" ref="A531">XLOOKUP(B531,Costos_Proveedores!$B$2:$B$2000,Costos_Proveedores!$A$2:$A$2000)</f>
        <v>#N/A</v>
      </c>
      <c r="C531" s="2" t="s">
        <v>1851</v>
      </c>
      <c r="H531" s="3"/>
      <c r="J531" s="4"/>
      <c r="K531" s="5"/>
      <c r="M531" s="7">
        <v>2.0</v>
      </c>
      <c r="N531" s="7">
        <v>0.0</v>
      </c>
      <c r="O531" s="7">
        <v>0.0</v>
      </c>
      <c r="P531" s="3"/>
      <c r="Q531" s="3"/>
      <c r="R531" s="3"/>
    </row>
    <row r="532">
      <c r="A532" s="3" t="str">
        <f t="array" ref="A532">XLOOKUP(B532,Costos_Proveedores!$B$2:$B$2000,Costos_Proveedores!$A$2:$A$2000)</f>
        <v>#N/A</v>
      </c>
      <c r="C532" s="2">
        <v>7.37186857875E11</v>
      </c>
      <c r="H532" s="3"/>
      <c r="J532" s="4"/>
      <c r="K532" s="5"/>
      <c r="M532" s="7">
        <v>11.0</v>
      </c>
      <c r="N532" s="7">
        <v>0.0</v>
      </c>
      <c r="O532" s="7">
        <v>0.0</v>
      </c>
      <c r="P532" s="3"/>
      <c r="Q532" s="3"/>
      <c r="R532" s="3"/>
    </row>
    <row r="533">
      <c r="A533" s="3" t="str">
        <f t="array" ref="A533">XLOOKUP(B533,Costos_Proveedores!$B$2:$B$2000,Costos_Proveedores!$A$2:$A$2000)</f>
        <v>#N/A</v>
      </c>
      <c r="C533" s="2">
        <v>7.99192118128E11</v>
      </c>
      <c r="H533" s="3"/>
      <c r="J533" s="4"/>
      <c r="K533" s="5"/>
      <c r="M533" s="7">
        <v>6.0</v>
      </c>
      <c r="N533" s="7">
        <v>0.0</v>
      </c>
      <c r="O533" s="7">
        <v>0.0</v>
      </c>
      <c r="P533" s="3"/>
      <c r="Q533" s="3"/>
      <c r="R533" s="3"/>
    </row>
    <row r="534">
      <c r="A534" s="3" t="str">
        <f t="array" ref="A534">XLOOKUP(B534,Costos_Proveedores!$B$2:$B$2000,Costos_Proveedores!$A$2:$A$2000)</f>
        <v>KUNA</v>
      </c>
      <c r="B534" s="2" t="s">
        <v>1852</v>
      </c>
      <c r="C534" s="2">
        <v>6.58325660784E11</v>
      </c>
      <c r="D534" s="2" t="s">
        <v>1853</v>
      </c>
      <c r="E534" s="2" t="s">
        <v>47</v>
      </c>
      <c r="F534" s="7">
        <v>33.0</v>
      </c>
      <c r="G534" s="7">
        <v>1.0</v>
      </c>
      <c r="H534" s="3"/>
      <c r="I534" s="2" t="s">
        <v>232</v>
      </c>
      <c r="J534" s="4"/>
      <c r="K534" s="5"/>
      <c r="L534" s="7">
        <v>47.0</v>
      </c>
      <c r="P534" s="3"/>
      <c r="Q534" s="3"/>
      <c r="R534" s="3"/>
      <c r="S534" s="6" t="s">
        <v>1854</v>
      </c>
    </row>
    <row r="535">
      <c r="A535" s="3" t="str">
        <f t="array" ref="A535">XLOOKUP(B535,Costos_Proveedores!$B$2:$B$2000,Costos_Proveedores!$A$2:$A$2000)</f>
        <v>KUNA</v>
      </c>
      <c r="B535" s="2" t="s">
        <v>1852</v>
      </c>
      <c r="C535" s="2">
        <v>6.58325660784E11</v>
      </c>
      <c r="D535" s="2" t="s">
        <v>1853</v>
      </c>
      <c r="E535" s="2" t="s">
        <v>47</v>
      </c>
      <c r="F535" s="7">
        <v>33.0</v>
      </c>
      <c r="G535" s="7">
        <v>1.0</v>
      </c>
      <c r="H535" s="3"/>
      <c r="I535" s="2" t="s">
        <v>232</v>
      </c>
      <c r="J535" s="4"/>
      <c r="K535" s="5"/>
      <c r="L535" s="7">
        <v>52.0</v>
      </c>
      <c r="P535" s="3"/>
      <c r="Q535" s="3"/>
      <c r="R535" s="3"/>
      <c r="S535" s="6" t="s">
        <v>1854</v>
      </c>
    </row>
    <row r="536">
      <c r="A536" s="3" t="str">
        <f t="array" ref="A536">XLOOKUP(B536,Costos_Proveedores!$B$2:$B$2000,Costos_Proveedores!$A$2:$A$2000)</f>
        <v>MULI</v>
      </c>
      <c r="B536" s="2" t="s">
        <v>1855</v>
      </c>
      <c r="C536" s="2">
        <v>105493.0</v>
      </c>
      <c r="D536" s="2" t="s">
        <v>1856</v>
      </c>
      <c r="E536" s="2" t="s">
        <v>47</v>
      </c>
      <c r="F536" s="7">
        <v>0.0</v>
      </c>
      <c r="G536" s="7">
        <v>76.0</v>
      </c>
      <c r="H536" s="3"/>
      <c r="I536" s="2" t="s">
        <v>22</v>
      </c>
      <c r="J536" s="4"/>
      <c r="K536" s="5"/>
      <c r="L536" s="7">
        <v>20.0</v>
      </c>
      <c r="P536" s="3"/>
      <c r="Q536" s="3"/>
      <c r="R536" s="3"/>
      <c r="S536" s="6" t="s">
        <v>1857</v>
      </c>
    </row>
    <row r="537">
      <c r="A537" s="3" t="str">
        <f t="array" ref="A537">XLOOKUP(B537,Costos_Proveedores!$B$2:$B$2000,Costos_Proveedores!$A$2:$A$2000)</f>
        <v>MULI</v>
      </c>
      <c r="B537" s="2" t="s">
        <v>1858</v>
      </c>
      <c r="C537" s="2">
        <v>104589.0</v>
      </c>
      <c r="D537" s="2" t="s">
        <v>768</v>
      </c>
      <c r="E537" s="2" t="s">
        <v>31</v>
      </c>
      <c r="F537" s="7">
        <v>0.0</v>
      </c>
      <c r="G537" s="7">
        <v>0.0</v>
      </c>
      <c r="H537" s="3"/>
      <c r="I537" s="2" t="s">
        <v>22</v>
      </c>
      <c r="J537" s="4"/>
      <c r="K537" s="5"/>
      <c r="L537" s="7">
        <v>1.0</v>
      </c>
      <c r="P537" s="3"/>
      <c r="Q537" s="3"/>
      <c r="R537" s="3"/>
      <c r="S537" s="6" t="s">
        <v>1859</v>
      </c>
    </row>
    <row r="538">
      <c r="A538" s="3" t="str">
        <f t="array" ref="A538">XLOOKUP(B538,Costos_Proveedores!$B$2:$B$2000,Costos_Proveedores!$A$2:$A$2000)</f>
        <v>MULI</v>
      </c>
      <c r="B538" s="2" t="s">
        <v>1858</v>
      </c>
      <c r="C538" s="2">
        <v>104589.0</v>
      </c>
      <c r="D538" s="2" t="s">
        <v>768</v>
      </c>
      <c r="E538" s="2" t="s">
        <v>47</v>
      </c>
      <c r="F538" s="7">
        <v>0.0</v>
      </c>
      <c r="G538" s="7">
        <v>1.0</v>
      </c>
      <c r="H538" s="3"/>
      <c r="I538" s="2" t="s">
        <v>22</v>
      </c>
      <c r="J538" s="4"/>
      <c r="K538" s="5"/>
      <c r="L538" s="7">
        <v>1.0</v>
      </c>
      <c r="P538" s="3"/>
      <c r="Q538" s="3"/>
      <c r="R538" s="3"/>
      <c r="S538" s="6" t="s">
        <v>1859</v>
      </c>
    </row>
    <row r="539">
      <c r="A539" s="3"/>
      <c r="C539" s="2">
        <v>7.45853432409E11</v>
      </c>
      <c r="H539" s="3"/>
      <c r="J539" s="4"/>
      <c r="K539" s="5"/>
      <c r="M539" s="7">
        <v>23.0</v>
      </c>
      <c r="N539" s="7">
        <v>0.0</v>
      </c>
      <c r="O539" s="7">
        <v>0.0</v>
      </c>
      <c r="P539" s="3"/>
      <c r="Q539" s="3"/>
      <c r="R539" s="3"/>
    </row>
    <row r="540">
      <c r="A540" s="3"/>
      <c r="C540" s="2">
        <v>7.45853478841E11</v>
      </c>
      <c r="H540" s="3"/>
      <c r="J540" s="4"/>
      <c r="K540" s="5"/>
      <c r="M540" s="7">
        <v>32.0</v>
      </c>
      <c r="N540" s="7">
        <v>0.0</v>
      </c>
      <c r="O540" s="7">
        <v>0.0</v>
      </c>
      <c r="P540" s="3"/>
      <c r="Q540" s="3"/>
      <c r="R540" s="3"/>
    </row>
    <row r="541">
      <c r="A541" s="3"/>
      <c r="C541" s="2">
        <v>6.14143337437E11</v>
      </c>
      <c r="H541" s="3"/>
      <c r="J541" s="4"/>
      <c r="K541" s="5"/>
      <c r="M541" s="7">
        <v>29.0</v>
      </c>
      <c r="N541" s="7">
        <v>0.0</v>
      </c>
      <c r="O541" s="7">
        <v>0.0</v>
      </c>
      <c r="P541" s="3"/>
      <c r="Q541" s="3"/>
      <c r="R541" s="3"/>
    </row>
    <row r="542">
      <c r="A542" s="3"/>
      <c r="C542" s="2">
        <v>7.45853432492E11</v>
      </c>
      <c r="H542" s="3"/>
      <c r="J542" s="4"/>
      <c r="K542" s="5"/>
      <c r="M542" s="7">
        <v>59.0</v>
      </c>
      <c r="N542" s="7">
        <v>0.0</v>
      </c>
      <c r="O542" s="7">
        <v>0.0</v>
      </c>
      <c r="P542" s="3"/>
      <c r="Q542" s="3"/>
      <c r="R542" s="3"/>
    </row>
    <row r="543">
      <c r="A543" s="3"/>
      <c r="C543" s="2">
        <v>7.99192051562E11</v>
      </c>
      <c r="H543" s="3"/>
      <c r="J543" s="4"/>
      <c r="K543" s="5"/>
      <c r="M543" s="7">
        <v>5.0</v>
      </c>
      <c r="N543" s="7">
        <v>0.0</v>
      </c>
      <c r="O543" s="7">
        <v>0.0</v>
      </c>
      <c r="P543" s="3"/>
      <c r="Q543" s="3"/>
      <c r="R543" s="3"/>
    </row>
    <row r="544">
      <c r="A544" s="3"/>
      <c r="C544" s="2">
        <v>7.45853477929E11</v>
      </c>
      <c r="H544" s="3"/>
      <c r="J544" s="4"/>
      <c r="K544" s="5"/>
      <c r="M544" s="7">
        <v>38.0</v>
      </c>
      <c r="N544" s="7">
        <v>0.0</v>
      </c>
      <c r="O544" s="7">
        <v>0.0</v>
      </c>
      <c r="P544" s="3"/>
      <c r="Q544" s="3"/>
      <c r="R544" s="3"/>
    </row>
    <row r="545">
      <c r="A545" s="3"/>
      <c r="C545" s="2">
        <v>7.99192051531E11</v>
      </c>
      <c r="H545" s="3"/>
      <c r="J545" s="4"/>
      <c r="K545" s="5"/>
      <c r="M545" s="7">
        <v>13.0</v>
      </c>
      <c r="N545" s="7">
        <v>0.0</v>
      </c>
      <c r="O545" s="7">
        <v>0.0</v>
      </c>
      <c r="P545" s="3"/>
      <c r="Q545" s="3"/>
      <c r="R545" s="3"/>
    </row>
    <row r="546">
      <c r="A546" s="3"/>
      <c r="C546" s="2">
        <v>7.99192418051E11</v>
      </c>
      <c r="H546" s="3"/>
      <c r="J546" s="4"/>
      <c r="K546" s="5"/>
      <c r="M546" s="7">
        <v>6.0</v>
      </c>
      <c r="N546" s="7">
        <v>0.0</v>
      </c>
      <c r="O546" s="7">
        <v>0.0</v>
      </c>
      <c r="P546" s="3"/>
      <c r="Q546" s="3"/>
      <c r="R546" s="3"/>
    </row>
    <row r="547">
      <c r="A547" s="3"/>
      <c r="C547" s="2">
        <v>7.45853478896E11</v>
      </c>
      <c r="H547" s="3"/>
      <c r="J547" s="4"/>
      <c r="K547" s="5"/>
      <c r="M547" s="7">
        <v>40.0</v>
      </c>
      <c r="N547" s="7">
        <v>0.0</v>
      </c>
      <c r="O547" s="7">
        <v>0.0</v>
      </c>
      <c r="P547" s="3"/>
      <c r="Q547" s="3"/>
      <c r="R547" s="3"/>
    </row>
    <row r="548">
      <c r="A548" s="3"/>
      <c r="C548" s="2">
        <v>7.45853478834E11</v>
      </c>
      <c r="H548" s="3"/>
      <c r="J548" s="4"/>
      <c r="K548" s="5"/>
      <c r="M548" s="7">
        <v>52.0</v>
      </c>
      <c r="N548" s="7">
        <v>0.0</v>
      </c>
      <c r="O548" s="7">
        <v>0.0</v>
      </c>
      <c r="P548" s="3"/>
      <c r="Q548" s="3"/>
      <c r="R548" s="3"/>
    </row>
    <row r="549">
      <c r="A549" s="3"/>
      <c r="C549" s="2">
        <v>6.59525149437E11</v>
      </c>
      <c r="H549" s="3"/>
      <c r="J549" s="4"/>
      <c r="K549" s="5"/>
      <c r="M549" s="7">
        <v>18.0</v>
      </c>
      <c r="N549" s="7">
        <v>0.0</v>
      </c>
      <c r="O549" s="7">
        <v>0.0</v>
      </c>
      <c r="P549" s="3"/>
      <c r="Q549" s="3"/>
      <c r="R549" s="3"/>
    </row>
    <row r="550">
      <c r="A550" s="3"/>
      <c r="C550" s="2">
        <v>6.59525149413E11</v>
      </c>
      <c r="H550" s="3"/>
      <c r="J550" s="4"/>
      <c r="K550" s="5"/>
      <c r="M550" s="7">
        <v>18.0</v>
      </c>
      <c r="N550" s="7">
        <v>0.0</v>
      </c>
      <c r="O550" s="7">
        <v>0.0</v>
      </c>
      <c r="P550" s="3"/>
      <c r="Q550" s="3"/>
      <c r="R550" s="3"/>
    </row>
    <row r="551">
      <c r="A551" s="3"/>
      <c r="C551" s="2">
        <v>6.58325660784E11</v>
      </c>
      <c r="H551" s="3"/>
      <c r="J551" s="4"/>
      <c r="K551" s="5"/>
      <c r="M551" s="7">
        <v>38.0</v>
      </c>
      <c r="N551" s="7">
        <v>0.0</v>
      </c>
      <c r="O551" s="7">
        <v>0.0</v>
      </c>
      <c r="P551" s="3"/>
      <c r="Q551" s="3"/>
      <c r="R551" s="3"/>
    </row>
    <row r="552">
      <c r="A552" s="3"/>
      <c r="C552" s="2">
        <v>7.45853432485E11</v>
      </c>
      <c r="H552" s="3"/>
      <c r="J552" s="4"/>
      <c r="K552" s="5"/>
      <c r="M552" s="7">
        <v>59.0</v>
      </c>
      <c r="N552" s="7">
        <v>0.0</v>
      </c>
      <c r="O552" s="7">
        <v>0.0</v>
      </c>
      <c r="P552" s="3"/>
      <c r="Q552" s="3"/>
      <c r="R552" s="3"/>
    </row>
    <row r="553">
      <c r="A553" s="3"/>
      <c r="C553" s="2">
        <v>7.37186857875E11</v>
      </c>
      <c r="H553" s="3"/>
      <c r="J553" s="4"/>
      <c r="K553" s="5"/>
      <c r="M553" s="7">
        <v>11.0</v>
      </c>
      <c r="N553" s="7">
        <v>0.0</v>
      </c>
      <c r="O553" s="7">
        <v>0.0</v>
      </c>
      <c r="P553" s="3"/>
      <c r="Q553" s="3"/>
      <c r="R553" s="3"/>
    </row>
    <row r="554">
      <c r="A554" s="3"/>
      <c r="C554" s="2">
        <v>7.99192118128E11</v>
      </c>
      <c r="H554" s="3"/>
      <c r="J554" s="4"/>
      <c r="K554" s="5"/>
      <c r="M554" s="7">
        <v>6.0</v>
      </c>
      <c r="N554" s="7">
        <v>0.0</v>
      </c>
      <c r="O554" s="7">
        <v>0.0</v>
      </c>
      <c r="P554" s="3"/>
      <c r="Q554" s="3"/>
      <c r="R554" s="3"/>
    </row>
    <row r="555">
      <c r="A555" s="3"/>
      <c r="B555" s="2" t="s">
        <v>1860</v>
      </c>
      <c r="C555" s="2">
        <v>107833.0</v>
      </c>
      <c r="D555" s="2" t="s">
        <v>1861</v>
      </c>
      <c r="E555" s="2" t="s">
        <v>31</v>
      </c>
      <c r="F555" s="7">
        <v>0.0</v>
      </c>
      <c r="G555" s="7">
        <v>12.0</v>
      </c>
      <c r="H555" s="3"/>
      <c r="I555" s="2" t="s">
        <v>22</v>
      </c>
      <c r="J555" s="4"/>
      <c r="K555" s="5"/>
      <c r="L555" s="7">
        <v>56.0</v>
      </c>
      <c r="P555" s="3"/>
      <c r="Q555" s="3"/>
      <c r="R555" s="3"/>
      <c r="S555" s="6" t="s">
        <v>1862</v>
      </c>
    </row>
    <row r="556">
      <c r="A556" s="3"/>
      <c r="B556" s="2" t="s">
        <v>1860</v>
      </c>
      <c r="C556" s="2">
        <v>107833.0</v>
      </c>
      <c r="D556" s="2" t="s">
        <v>1861</v>
      </c>
      <c r="E556" s="2" t="s">
        <v>31</v>
      </c>
      <c r="F556" s="7">
        <v>0.0</v>
      </c>
      <c r="G556" s="7">
        <v>12.0</v>
      </c>
      <c r="H556" s="3"/>
      <c r="I556" s="2" t="s">
        <v>22</v>
      </c>
      <c r="J556" s="4"/>
      <c r="K556" s="5"/>
      <c r="L556" s="7">
        <v>56.0</v>
      </c>
      <c r="P556" s="3"/>
      <c r="Q556" s="3"/>
      <c r="R556" s="3"/>
      <c r="S556" s="6" t="s">
        <v>1862</v>
      </c>
    </row>
    <row r="557">
      <c r="A557" s="3"/>
      <c r="B557" s="2" t="s">
        <v>1863</v>
      </c>
      <c r="C557" s="2">
        <v>103370.0</v>
      </c>
      <c r="D557" s="2" t="s">
        <v>1864</v>
      </c>
      <c r="E557" s="2" t="s">
        <v>47</v>
      </c>
      <c r="F557" s="7">
        <v>25.0</v>
      </c>
      <c r="G557" s="7">
        <v>0.0</v>
      </c>
      <c r="H557" s="3"/>
      <c r="I557" s="2" t="s">
        <v>22</v>
      </c>
      <c r="J557" s="4"/>
      <c r="K557" s="5"/>
      <c r="L557" s="7">
        <v>30.0</v>
      </c>
      <c r="P557" s="3"/>
      <c r="Q557" s="3"/>
      <c r="R557" s="3"/>
      <c r="S557" s="6" t="s">
        <v>1865</v>
      </c>
    </row>
    <row r="558">
      <c r="A558" s="3"/>
      <c r="B558" s="2" t="s">
        <v>1863</v>
      </c>
      <c r="C558" s="2">
        <v>103370.0</v>
      </c>
      <c r="D558" s="2" t="s">
        <v>1864</v>
      </c>
      <c r="E558" s="2" t="s">
        <v>47</v>
      </c>
      <c r="F558" s="7">
        <v>25.0</v>
      </c>
      <c r="G558" s="7">
        <v>0.0</v>
      </c>
      <c r="H558" s="3"/>
      <c r="I558" s="2" t="s">
        <v>22</v>
      </c>
      <c r="J558" s="4"/>
      <c r="K558" s="5"/>
      <c r="L558" s="7">
        <v>30.0</v>
      </c>
      <c r="P558" s="3"/>
      <c r="Q558" s="3"/>
      <c r="R558" s="3"/>
      <c r="S558" s="6" t="s">
        <v>1865</v>
      </c>
    </row>
    <row r="559">
      <c r="A559" s="3"/>
      <c r="B559" s="2" t="s">
        <v>1866</v>
      </c>
      <c r="C559" s="2" t="s">
        <v>25</v>
      </c>
      <c r="D559" s="2" t="s">
        <v>1867</v>
      </c>
      <c r="E559" s="2" t="s">
        <v>31</v>
      </c>
      <c r="F559" s="7">
        <v>0.0</v>
      </c>
      <c r="G559" s="7">
        <v>0.0</v>
      </c>
      <c r="H559" s="3"/>
      <c r="I559" s="2" t="s">
        <v>22</v>
      </c>
      <c r="J559" s="4"/>
      <c r="K559" s="5"/>
      <c r="L559" s="7">
        <v>40.0</v>
      </c>
      <c r="P559" s="3"/>
      <c r="Q559" s="3"/>
      <c r="R559" s="3"/>
      <c r="S559" s="6" t="s">
        <v>1868</v>
      </c>
    </row>
    <row r="560">
      <c r="A560" s="3"/>
      <c r="B560" s="2" t="s">
        <v>1866</v>
      </c>
      <c r="C560" s="2" t="s">
        <v>25</v>
      </c>
      <c r="D560" s="2" t="s">
        <v>1867</v>
      </c>
      <c r="E560" s="2" t="s">
        <v>31</v>
      </c>
      <c r="F560" s="7">
        <v>0.0</v>
      </c>
      <c r="G560" s="7">
        <v>0.0</v>
      </c>
      <c r="H560" s="3"/>
      <c r="I560" s="2" t="s">
        <v>22</v>
      </c>
      <c r="J560" s="4"/>
      <c r="K560" s="5"/>
      <c r="L560" s="7">
        <v>40.0</v>
      </c>
      <c r="P560" s="3"/>
      <c r="Q560" s="3"/>
      <c r="R560" s="3"/>
      <c r="S560" s="6" t="s">
        <v>1868</v>
      </c>
    </row>
    <row r="561">
      <c r="A561" s="3"/>
      <c r="B561" s="2" t="s">
        <v>1869</v>
      </c>
      <c r="C561" s="2" t="s">
        <v>151</v>
      </c>
      <c r="D561" s="2" t="s">
        <v>1870</v>
      </c>
      <c r="E561" s="2" t="s">
        <v>31</v>
      </c>
      <c r="F561" s="7">
        <v>0.0</v>
      </c>
      <c r="G561" s="7">
        <v>0.0</v>
      </c>
      <c r="H561" s="3"/>
      <c r="I561" s="2" t="s">
        <v>22</v>
      </c>
      <c r="J561" s="4"/>
      <c r="K561" s="5"/>
      <c r="L561" s="7">
        <v>1.0</v>
      </c>
      <c r="P561" s="3"/>
      <c r="Q561" s="3"/>
      <c r="R561" s="3"/>
      <c r="S561" s="6" t="s">
        <v>1871</v>
      </c>
    </row>
    <row r="562">
      <c r="A562" s="3"/>
      <c r="B562" s="2" t="s">
        <v>1869</v>
      </c>
      <c r="C562" s="2" t="s">
        <v>151</v>
      </c>
      <c r="D562" s="2" t="s">
        <v>1870</v>
      </c>
      <c r="E562" s="2" t="s">
        <v>31</v>
      </c>
      <c r="F562" s="7">
        <v>0.0</v>
      </c>
      <c r="G562" s="7">
        <v>0.0</v>
      </c>
      <c r="H562" s="3"/>
      <c r="I562" s="2" t="s">
        <v>22</v>
      </c>
      <c r="J562" s="4"/>
      <c r="K562" s="5"/>
      <c r="L562" s="7">
        <v>1.0</v>
      </c>
      <c r="P562" s="3"/>
      <c r="Q562" s="3"/>
      <c r="R562" s="3"/>
      <c r="S562" s="6" t="s">
        <v>1871</v>
      </c>
    </row>
    <row r="563">
      <c r="A563" s="3"/>
      <c r="B563" s="2" t="s">
        <v>1872</v>
      </c>
      <c r="C563" s="2">
        <v>105741.0</v>
      </c>
      <c r="D563" s="2" t="s">
        <v>1873</v>
      </c>
      <c r="E563" s="2" t="s">
        <v>31</v>
      </c>
      <c r="F563" s="7">
        <v>0.0</v>
      </c>
      <c r="G563" s="7">
        <v>0.0</v>
      </c>
      <c r="H563" s="3"/>
      <c r="I563" s="2" t="s">
        <v>22</v>
      </c>
      <c r="J563" s="4"/>
      <c r="K563" s="5"/>
      <c r="L563" s="7">
        <v>3.0</v>
      </c>
      <c r="P563" s="3"/>
      <c r="Q563" s="3"/>
      <c r="R563" s="3"/>
      <c r="S563" s="6" t="s">
        <v>1874</v>
      </c>
    </row>
    <row r="564">
      <c r="A564" s="3"/>
      <c r="B564" s="2" t="s">
        <v>1872</v>
      </c>
      <c r="C564" s="2">
        <v>105741.0</v>
      </c>
      <c r="D564" s="2" t="s">
        <v>1873</v>
      </c>
      <c r="E564" s="2" t="s">
        <v>31</v>
      </c>
      <c r="F564" s="7">
        <v>0.0</v>
      </c>
      <c r="G564" s="7">
        <v>0.0</v>
      </c>
      <c r="H564" s="3"/>
      <c r="I564" s="2" t="s">
        <v>22</v>
      </c>
      <c r="J564" s="4"/>
      <c r="K564" s="5"/>
      <c r="L564" s="7">
        <v>3.0</v>
      </c>
      <c r="P564" s="3"/>
      <c r="Q564" s="3"/>
      <c r="R564" s="3"/>
      <c r="S564" s="6" t="s">
        <v>1874</v>
      </c>
    </row>
    <row r="565">
      <c r="A565" s="3"/>
      <c r="B565" s="2" t="s">
        <v>1875</v>
      </c>
      <c r="C565" s="2">
        <v>805349.0</v>
      </c>
      <c r="D565" s="2" t="s">
        <v>1876</v>
      </c>
      <c r="E565" s="2" t="s">
        <v>47</v>
      </c>
      <c r="F565" s="7">
        <v>117.0</v>
      </c>
      <c r="G565" s="7">
        <v>1.0</v>
      </c>
      <c r="H565" s="3"/>
      <c r="I565" s="2" t="s">
        <v>232</v>
      </c>
      <c r="J565" s="4"/>
      <c r="K565" s="5"/>
      <c r="L565" s="7">
        <v>86.0</v>
      </c>
      <c r="P565" s="3"/>
      <c r="Q565" s="3"/>
      <c r="R565" s="3"/>
      <c r="S565" s="6" t="s">
        <v>1877</v>
      </c>
    </row>
    <row r="566">
      <c r="A566" s="3"/>
      <c r="B566" s="2" t="s">
        <v>1875</v>
      </c>
      <c r="C566" s="2">
        <v>805349.0</v>
      </c>
      <c r="D566" s="2" t="s">
        <v>1876</v>
      </c>
      <c r="E566" s="2" t="s">
        <v>47</v>
      </c>
      <c r="F566" s="7">
        <v>117.0</v>
      </c>
      <c r="G566" s="7">
        <v>1.0</v>
      </c>
      <c r="H566" s="3"/>
      <c r="I566" s="2" t="s">
        <v>232</v>
      </c>
      <c r="J566" s="4"/>
      <c r="K566" s="5"/>
      <c r="L566" s="7">
        <v>86.0</v>
      </c>
      <c r="P566" s="3"/>
      <c r="Q566" s="3"/>
      <c r="R566" s="3"/>
      <c r="S566" s="6" t="s">
        <v>1877</v>
      </c>
    </row>
    <row r="567">
      <c r="A567" s="3"/>
      <c r="B567" s="2" t="s">
        <v>1878</v>
      </c>
      <c r="C567" s="2">
        <v>805345.0</v>
      </c>
      <c r="D567" s="2" t="s">
        <v>1879</v>
      </c>
      <c r="E567" s="2" t="s">
        <v>47</v>
      </c>
      <c r="F567" s="7">
        <v>153.0</v>
      </c>
      <c r="G567" s="7">
        <v>1.0</v>
      </c>
      <c r="H567" s="3"/>
      <c r="I567" s="2" t="s">
        <v>232</v>
      </c>
      <c r="J567" s="4"/>
      <c r="K567" s="5"/>
      <c r="L567" s="7">
        <v>7.0</v>
      </c>
      <c r="P567" s="3"/>
      <c r="Q567" s="3"/>
      <c r="R567" s="3"/>
      <c r="S567" s="6" t="s">
        <v>1880</v>
      </c>
    </row>
    <row r="568">
      <c r="A568" s="3"/>
      <c r="B568" s="2" t="s">
        <v>1878</v>
      </c>
      <c r="C568" s="2">
        <v>805345.0</v>
      </c>
      <c r="D568" s="2" t="s">
        <v>1879</v>
      </c>
      <c r="E568" s="2" t="s">
        <v>47</v>
      </c>
      <c r="F568" s="7">
        <v>153.0</v>
      </c>
      <c r="G568" s="7">
        <v>1.0</v>
      </c>
      <c r="H568" s="3"/>
      <c r="I568" s="2" t="s">
        <v>232</v>
      </c>
      <c r="J568" s="4"/>
      <c r="K568" s="5"/>
      <c r="L568" s="7">
        <v>7.0</v>
      </c>
      <c r="P568" s="3"/>
      <c r="Q568" s="3"/>
      <c r="R568" s="3"/>
      <c r="S568" s="6" t="s">
        <v>1880</v>
      </c>
    </row>
    <row r="569">
      <c r="A569" s="3"/>
      <c r="B569" s="2" t="s">
        <v>1881</v>
      </c>
      <c r="C569" s="2" t="s">
        <v>849</v>
      </c>
      <c r="D569" s="2" t="s">
        <v>850</v>
      </c>
      <c r="E569" s="2" t="s">
        <v>47</v>
      </c>
      <c r="F569" s="7">
        <v>12.0</v>
      </c>
      <c r="G569" s="7">
        <v>0.0</v>
      </c>
      <c r="H569" s="3"/>
      <c r="I569" s="2" t="s">
        <v>232</v>
      </c>
      <c r="J569" s="4"/>
      <c r="K569" s="5"/>
      <c r="L569" s="7">
        <v>2.0</v>
      </c>
      <c r="P569" s="3"/>
      <c r="Q569" s="3"/>
      <c r="R569" s="3"/>
      <c r="S569" s="6" t="s">
        <v>1882</v>
      </c>
    </row>
    <row r="570">
      <c r="A570" s="3"/>
      <c r="B570" s="2" t="s">
        <v>1881</v>
      </c>
      <c r="C570" s="2" t="s">
        <v>849</v>
      </c>
      <c r="D570" s="2" t="s">
        <v>850</v>
      </c>
      <c r="E570" s="2" t="s">
        <v>47</v>
      </c>
      <c r="F570" s="7">
        <v>12.0</v>
      </c>
      <c r="G570" s="7">
        <v>0.0</v>
      </c>
      <c r="H570" s="3"/>
      <c r="I570" s="2" t="s">
        <v>232</v>
      </c>
      <c r="J570" s="4"/>
      <c r="K570" s="5"/>
      <c r="L570" s="7">
        <v>2.0</v>
      </c>
      <c r="P570" s="3"/>
      <c r="Q570" s="3"/>
      <c r="R570" s="3"/>
      <c r="S570" s="6" t="s">
        <v>1882</v>
      </c>
    </row>
    <row r="571">
      <c r="A571" s="3"/>
      <c r="B571" s="2" t="s">
        <v>1883</v>
      </c>
      <c r="C571" s="2" t="s">
        <v>95</v>
      </c>
      <c r="D571" s="2" t="s">
        <v>96</v>
      </c>
      <c r="E571" s="2" t="s">
        <v>31</v>
      </c>
      <c r="F571" s="7">
        <v>0.0</v>
      </c>
      <c r="G571" s="7">
        <v>6.0</v>
      </c>
      <c r="H571" s="3"/>
      <c r="I571" s="2" t="s">
        <v>22</v>
      </c>
      <c r="J571" s="4"/>
      <c r="K571" s="5"/>
      <c r="P571" s="3"/>
      <c r="Q571" s="3"/>
      <c r="R571" s="3"/>
      <c r="S571" s="6" t="s">
        <v>1884</v>
      </c>
    </row>
    <row r="572">
      <c r="A572" s="3"/>
      <c r="B572" s="2" t="s">
        <v>1883</v>
      </c>
      <c r="C572" s="2" t="s">
        <v>95</v>
      </c>
      <c r="D572" s="2" t="s">
        <v>96</v>
      </c>
      <c r="E572" s="2" t="s">
        <v>31</v>
      </c>
      <c r="F572" s="7">
        <v>0.0</v>
      </c>
      <c r="G572" s="7">
        <v>6.0</v>
      </c>
      <c r="H572" s="3"/>
      <c r="I572" s="2" t="s">
        <v>22</v>
      </c>
      <c r="J572" s="4"/>
      <c r="K572" s="5"/>
      <c r="P572" s="3"/>
      <c r="Q572" s="3"/>
      <c r="R572" s="3"/>
      <c r="S572" s="6" t="s">
        <v>1884</v>
      </c>
    </row>
    <row r="573">
      <c r="A573" s="3"/>
      <c r="B573" s="2" t="s">
        <v>1885</v>
      </c>
      <c r="C573" s="2" t="s">
        <v>183</v>
      </c>
      <c r="D573" s="2" t="s">
        <v>1886</v>
      </c>
      <c r="E573" s="2" t="s">
        <v>31</v>
      </c>
      <c r="F573" s="7">
        <v>0.0</v>
      </c>
      <c r="G573" s="7">
        <v>0.0</v>
      </c>
      <c r="H573" s="3"/>
      <c r="I573" s="2" t="s">
        <v>22</v>
      </c>
      <c r="J573" s="4"/>
      <c r="K573" s="5"/>
      <c r="P573" s="3"/>
      <c r="Q573" s="3"/>
      <c r="R573" s="3"/>
      <c r="S573" s="6" t="s">
        <v>1887</v>
      </c>
    </row>
    <row r="574">
      <c r="A574" s="3"/>
      <c r="B574" s="2" t="s">
        <v>1885</v>
      </c>
      <c r="C574" s="2" t="s">
        <v>183</v>
      </c>
      <c r="D574" s="2" t="s">
        <v>1886</v>
      </c>
      <c r="E574" s="2" t="s">
        <v>31</v>
      </c>
      <c r="F574" s="7">
        <v>0.0</v>
      </c>
      <c r="G574" s="7">
        <v>0.0</v>
      </c>
      <c r="H574" s="3"/>
      <c r="I574" s="2" t="s">
        <v>22</v>
      </c>
      <c r="J574" s="4"/>
      <c r="K574" s="5"/>
      <c r="P574" s="3"/>
      <c r="Q574" s="3"/>
      <c r="R574" s="3"/>
      <c r="S574" s="6" t="s">
        <v>1887</v>
      </c>
    </row>
    <row r="575">
      <c r="A575" s="3"/>
      <c r="C575" s="2">
        <v>7.45853432409E11</v>
      </c>
      <c r="H575" s="3"/>
      <c r="J575" s="4"/>
      <c r="K575" s="5"/>
      <c r="M575" s="7">
        <v>23.0</v>
      </c>
      <c r="N575" s="7">
        <v>0.0</v>
      </c>
      <c r="O575" s="7">
        <v>0.0</v>
      </c>
      <c r="P575" s="3"/>
      <c r="Q575" s="3"/>
      <c r="R575" s="3"/>
    </row>
    <row r="576">
      <c r="A576" s="3"/>
      <c r="C576" s="2">
        <v>7.45853478841E11</v>
      </c>
      <c r="H576" s="3"/>
      <c r="J576" s="4"/>
      <c r="K576" s="5"/>
      <c r="M576" s="7">
        <v>34.0</v>
      </c>
      <c r="N576" s="7">
        <v>0.0</v>
      </c>
      <c r="O576" s="7">
        <v>0.0</v>
      </c>
      <c r="P576" s="3"/>
      <c r="Q576" s="3"/>
      <c r="R576" s="3"/>
    </row>
    <row r="577">
      <c r="A577" s="3"/>
      <c r="C577" s="2">
        <v>6.14143337437E11</v>
      </c>
      <c r="H577" s="3"/>
      <c r="J577" s="4"/>
      <c r="K577" s="5"/>
      <c r="M577" s="7">
        <v>29.0</v>
      </c>
      <c r="N577" s="7">
        <v>0.0</v>
      </c>
      <c r="O577" s="7">
        <v>0.0</v>
      </c>
      <c r="P577" s="3"/>
      <c r="Q577" s="3"/>
      <c r="R577" s="3"/>
    </row>
    <row r="578">
      <c r="A578" s="3"/>
      <c r="C578" s="2">
        <v>7.45853432492E11</v>
      </c>
      <c r="H578" s="3"/>
      <c r="J578" s="4"/>
      <c r="K578" s="5"/>
      <c r="M578" s="7">
        <v>59.0</v>
      </c>
      <c r="N578" s="7">
        <v>0.0</v>
      </c>
      <c r="O578" s="7">
        <v>0.0</v>
      </c>
      <c r="P578" s="3"/>
      <c r="Q578" s="3"/>
      <c r="R578" s="3"/>
    </row>
    <row r="579">
      <c r="A579" s="3"/>
      <c r="C579" s="2">
        <v>7.99192051562E11</v>
      </c>
      <c r="H579" s="3"/>
      <c r="J579" s="4"/>
      <c r="K579" s="5"/>
      <c r="M579" s="7">
        <v>5.0</v>
      </c>
      <c r="N579" s="7">
        <v>0.0</v>
      </c>
      <c r="O579" s="7">
        <v>0.0</v>
      </c>
      <c r="P579" s="3"/>
      <c r="Q579" s="3"/>
      <c r="R579" s="3"/>
    </row>
    <row r="580">
      <c r="A580" s="3"/>
      <c r="C580" s="2">
        <v>7.45853477929E11</v>
      </c>
      <c r="H580" s="3"/>
      <c r="J580" s="4"/>
      <c r="K580" s="5"/>
      <c r="M580" s="7">
        <v>39.0</v>
      </c>
      <c r="N580" s="7">
        <v>0.0</v>
      </c>
      <c r="O580" s="7">
        <v>0.0</v>
      </c>
      <c r="P580" s="3"/>
      <c r="Q580" s="3"/>
      <c r="R580" s="3"/>
    </row>
    <row r="581">
      <c r="A581" s="3"/>
      <c r="C581" s="2">
        <v>7.99192051531E11</v>
      </c>
      <c r="H581" s="3"/>
      <c r="J581" s="4"/>
      <c r="K581" s="5"/>
      <c r="M581" s="7">
        <v>13.0</v>
      </c>
      <c r="N581" s="7">
        <v>0.0</v>
      </c>
      <c r="O581" s="7">
        <v>0.0</v>
      </c>
      <c r="P581" s="3"/>
      <c r="Q581" s="3"/>
      <c r="R581" s="3"/>
    </row>
    <row r="582">
      <c r="A582" s="3"/>
      <c r="C582" s="2">
        <v>7.99192418051E11</v>
      </c>
      <c r="H582" s="3"/>
      <c r="J582" s="4"/>
      <c r="K582" s="5"/>
      <c r="M582" s="7">
        <v>6.0</v>
      </c>
      <c r="N582" s="7">
        <v>0.0</v>
      </c>
      <c r="O582" s="7">
        <v>0.0</v>
      </c>
      <c r="P582" s="3"/>
      <c r="Q582" s="3"/>
      <c r="R582" s="3"/>
    </row>
    <row r="583">
      <c r="A583" s="3"/>
      <c r="C583" s="2">
        <v>7.45853478896E11</v>
      </c>
      <c r="H583" s="3"/>
      <c r="J583" s="4"/>
      <c r="K583" s="5"/>
      <c r="M583" s="7">
        <v>40.0</v>
      </c>
      <c r="N583" s="7">
        <v>0.0</v>
      </c>
      <c r="O583" s="7">
        <v>0.0</v>
      </c>
      <c r="P583" s="3"/>
      <c r="Q583" s="3"/>
      <c r="R583" s="3"/>
    </row>
    <row r="584">
      <c r="A584" s="3"/>
      <c r="C584" s="2">
        <v>7.45853478834E11</v>
      </c>
      <c r="H584" s="3"/>
      <c r="J584" s="4"/>
      <c r="K584" s="5"/>
      <c r="M584" s="7">
        <v>52.0</v>
      </c>
      <c r="N584" s="7">
        <v>0.0</v>
      </c>
      <c r="O584" s="7">
        <v>0.0</v>
      </c>
      <c r="P584" s="3"/>
      <c r="Q584" s="3"/>
      <c r="R584" s="3"/>
    </row>
    <row r="585">
      <c r="A585" s="3"/>
      <c r="C585" s="2">
        <v>6.59525149437E11</v>
      </c>
      <c r="H585" s="3"/>
      <c r="J585" s="4"/>
      <c r="K585" s="5"/>
      <c r="M585" s="7">
        <v>18.0</v>
      </c>
      <c r="N585" s="7">
        <v>0.0</v>
      </c>
      <c r="O585" s="7">
        <v>0.0</v>
      </c>
      <c r="P585" s="3"/>
      <c r="Q585" s="3"/>
      <c r="R585" s="3"/>
    </row>
    <row r="586">
      <c r="A586" s="3"/>
      <c r="C586" s="2">
        <v>6.59525149413E11</v>
      </c>
      <c r="H586" s="3"/>
      <c r="J586" s="4"/>
      <c r="K586" s="5"/>
      <c r="M586" s="7">
        <v>18.0</v>
      </c>
      <c r="N586" s="7">
        <v>0.0</v>
      </c>
      <c r="O586" s="7">
        <v>0.0</v>
      </c>
      <c r="P586" s="3"/>
      <c r="Q586" s="3"/>
      <c r="R586" s="3"/>
    </row>
    <row r="587">
      <c r="A587" s="3"/>
      <c r="C587" s="2">
        <v>6.58325660784E11</v>
      </c>
      <c r="H587" s="3"/>
      <c r="J587" s="4"/>
      <c r="K587" s="5"/>
      <c r="M587" s="7">
        <v>38.0</v>
      </c>
      <c r="N587" s="7">
        <v>0.0</v>
      </c>
      <c r="O587" s="7">
        <v>0.0</v>
      </c>
      <c r="P587" s="3"/>
      <c r="Q587" s="3"/>
      <c r="R587" s="3"/>
    </row>
    <row r="588">
      <c r="A588" s="3"/>
      <c r="C588" s="2">
        <v>7.45853432485E11</v>
      </c>
      <c r="H588" s="3"/>
      <c r="J588" s="4"/>
      <c r="K588" s="5"/>
      <c r="M588" s="7">
        <v>59.0</v>
      </c>
      <c r="N588" s="7">
        <v>0.0</v>
      </c>
      <c r="O588" s="7">
        <v>0.0</v>
      </c>
      <c r="P588" s="3"/>
      <c r="Q588" s="3"/>
      <c r="R588" s="3"/>
    </row>
    <row r="589">
      <c r="A589" s="3"/>
      <c r="C589" s="2">
        <v>7.37186857875E11</v>
      </c>
      <c r="H589" s="3"/>
      <c r="J589" s="4"/>
      <c r="K589" s="5"/>
      <c r="M589" s="7">
        <v>11.0</v>
      </c>
      <c r="N589" s="7">
        <v>0.0</v>
      </c>
      <c r="O589" s="7">
        <v>0.0</v>
      </c>
      <c r="P589" s="3"/>
      <c r="Q589" s="3"/>
      <c r="R589" s="3"/>
    </row>
    <row r="590">
      <c r="A590" s="3"/>
      <c r="C590" s="2">
        <v>7.99192118128E11</v>
      </c>
      <c r="H590" s="3"/>
      <c r="J590" s="4"/>
      <c r="K590" s="5"/>
      <c r="M590" s="7">
        <v>6.0</v>
      </c>
      <c r="N590" s="7">
        <v>0.0</v>
      </c>
      <c r="O590" s="7">
        <v>0.0</v>
      </c>
      <c r="P590" s="3"/>
      <c r="Q590" s="3"/>
      <c r="R590" s="3"/>
    </row>
    <row r="591">
      <c r="A591" s="3"/>
      <c r="H591" s="3"/>
      <c r="J591" s="4"/>
      <c r="K591" s="5"/>
      <c r="P591" s="3"/>
      <c r="Q591" s="3"/>
      <c r="R591" s="3"/>
    </row>
    <row r="592">
      <c r="A592" s="3"/>
      <c r="H592" s="3"/>
      <c r="J592" s="4"/>
      <c r="K592" s="5"/>
      <c r="P592" s="3"/>
      <c r="Q592" s="3"/>
      <c r="R592" s="3"/>
    </row>
    <row r="593">
      <c r="A593" s="3"/>
      <c r="H593" s="3"/>
      <c r="J593" s="4"/>
      <c r="K593" s="5"/>
      <c r="P593" s="3"/>
      <c r="Q593" s="3"/>
      <c r="R593" s="3"/>
    </row>
    <row r="594">
      <c r="A594" s="3"/>
      <c r="H594" s="3"/>
      <c r="J594" s="4"/>
      <c r="K594" s="5"/>
      <c r="P594" s="3"/>
      <c r="Q594" s="3"/>
      <c r="R594" s="3"/>
    </row>
    <row r="595">
      <c r="A595" s="3"/>
      <c r="H595" s="3"/>
      <c r="J595" s="4"/>
      <c r="K595" s="5"/>
      <c r="P595" s="3"/>
      <c r="Q595" s="3"/>
      <c r="R595" s="3"/>
    </row>
    <row r="596">
      <c r="A596" s="3"/>
      <c r="H596" s="3"/>
      <c r="J596" s="4"/>
      <c r="K596" s="5"/>
      <c r="P596" s="3"/>
      <c r="Q596" s="3"/>
      <c r="R596" s="3"/>
    </row>
    <row r="597">
      <c r="A597" s="3"/>
      <c r="H597" s="3"/>
      <c r="J597" s="4"/>
      <c r="K597" s="5"/>
      <c r="P597" s="3"/>
      <c r="Q597" s="3"/>
      <c r="R597" s="3"/>
    </row>
    <row r="598">
      <c r="A598" s="3"/>
      <c r="H598" s="3"/>
      <c r="J598" s="4"/>
      <c r="K598" s="5"/>
      <c r="P598" s="3"/>
      <c r="Q598" s="3"/>
      <c r="R598" s="3"/>
    </row>
    <row r="599">
      <c r="A599" s="3"/>
      <c r="H599" s="3"/>
      <c r="J599" s="4"/>
      <c r="K599" s="5"/>
      <c r="P599" s="3"/>
      <c r="Q599" s="3"/>
      <c r="R599" s="3"/>
    </row>
    <row r="600">
      <c r="A600" s="3"/>
      <c r="H600" s="3"/>
      <c r="J600" s="4"/>
      <c r="K600" s="5"/>
      <c r="P600" s="3"/>
      <c r="Q600" s="3"/>
      <c r="R600" s="3"/>
    </row>
    <row r="601">
      <c r="A601" s="3"/>
      <c r="H601" s="3"/>
      <c r="J601" s="4"/>
      <c r="K601" s="5"/>
      <c r="P601" s="3"/>
      <c r="Q601" s="3"/>
      <c r="R601" s="3"/>
    </row>
    <row r="602">
      <c r="A602" s="3"/>
      <c r="H602" s="3"/>
      <c r="J602" s="4"/>
      <c r="K602" s="5"/>
      <c r="P602" s="3"/>
      <c r="Q602" s="3"/>
      <c r="R602" s="3"/>
    </row>
    <row r="603">
      <c r="A603" s="3"/>
      <c r="H603" s="3"/>
      <c r="J603" s="4"/>
      <c r="K603" s="5"/>
      <c r="P603" s="3"/>
      <c r="Q603" s="3"/>
      <c r="R603" s="3"/>
    </row>
    <row r="604">
      <c r="A604" s="3"/>
      <c r="H604" s="3"/>
      <c r="J604" s="4"/>
      <c r="K604" s="5"/>
      <c r="P604" s="3"/>
      <c r="Q604" s="3"/>
      <c r="R604" s="3"/>
    </row>
    <row r="605">
      <c r="A605" s="3"/>
      <c r="H605" s="3"/>
      <c r="J605" s="4"/>
      <c r="K605" s="5"/>
      <c r="P605" s="3"/>
      <c r="Q605" s="3"/>
      <c r="R605" s="3"/>
    </row>
    <row r="606">
      <c r="A606" s="3"/>
      <c r="H606" s="3"/>
      <c r="J606" s="4"/>
      <c r="K606" s="5"/>
      <c r="P606" s="3"/>
      <c r="Q606" s="3"/>
      <c r="R606" s="3"/>
    </row>
    <row r="607">
      <c r="A607" s="3"/>
      <c r="H607" s="3"/>
      <c r="J607" s="4"/>
      <c r="K607" s="5"/>
      <c r="P607" s="3"/>
      <c r="Q607" s="3"/>
      <c r="R607" s="3"/>
    </row>
    <row r="608">
      <c r="A608" s="3"/>
      <c r="H608" s="3"/>
      <c r="J608" s="4"/>
      <c r="K608" s="5"/>
      <c r="P608" s="3"/>
      <c r="Q608" s="3"/>
      <c r="R608" s="3"/>
    </row>
    <row r="609">
      <c r="A609" s="3"/>
      <c r="H609" s="3"/>
      <c r="J609" s="4"/>
      <c r="K609" s="5"/>
      <c r="P609" s="3"/>
      <c r="Q609" s="3"/>
      <c r="R609" s="3"/>
    </row>
    <row r="610">
      <c r="A610" s="3"/>
      <c r="H610" s="3"/>
      <c r="J610" s="4"/>
      <c r="K610" s="5"/>
      <c r="P610" s="3"/>
      <c r="Q610" s="3"/>
      <c r="R610" s="3"/>
    </row>
    <row r="611">
      <c r="A611" s="3"/>
      <c r="H611" s="3"/>
      <c r="J611" s="4"/>
      <c r="K611" s="5"/>
      <c r="P611" s="3"/>
      <c r="Q611" s="3"/>
      <c r="R611" s="3"/>
    </row>
    <row r="612">
      <c r="A612" s="3"/>
      <c r="H612" s="3"/>
      <c r="J612" s="4"/>
      <c r="K612" s="5"/>
      <c r="P612" s="3"/>
      <c r="Q612" s="3"/>
      <c r="R612" s="3"/>
    </row>
    <row r="613">
      <c r="A613" s="3"/>
      <c r="H613" s="3"/>
      <c r="J613" s="4"/>
      <c r="K613" s="5"/>
      <c r="P613" s="3"/>
      <c r="Q613" s="3"/>
      <c r="R613" s="3"/>
    </row>
    <row r="614">
      <c r="A614" s="3"/>
      <c r="H614" s="3"/>
      <c r="J614" s="4"/>
      <c r="K614" s="5"/>
      <c r="P614" s="3"/>
      <c r="Q614" s="3"/>
      <c r="R614" s="3"/>
    </row>
    <row r="615">
      <c r="A615" s="3"/>
      <c r="H615" s="3"/>
      <c r="J615" s="4"/>
      <c r="K615" s="5"/>
      <c r="P615" s="3"/>
      <c r="Q615" s="3"/>
      <c r="R615" s="3"/>
    </row>
    <row r="616">
      <c r="A616" s="3"/>
      <c r="H616" s="3"/>
      <c r="J616" s="4"/>
      <c r="K616" s="5"/>
      <c r="P616" s="3"/>
      <c r="Q616" s="3"/>
      <c r="R616" s="3"/>
    </row>
    <row r="617">
      <c r="A617" s="3"/>
      <c r="H617" s="3"/>
      <c r="J617" s="4"/>
      <c r="K617" s="5"/>
      <c r="P617" s="3"/>
      <c r="Q617" s="3"/>
      <c r="R617" s="3"/>
    </row>
    <row r="618">
      <c r="A618" s="3"/>
      <c r="H618" s="3"/>
      <c r="J618" s="4"/>
      <c r="K618" s="5"/>
      <c r="P618" s="3"/>
      <c r="Q618" s="3"/>
      <c r="R618" s="3"/>
    </row>
    <row r="619">
      <c r="A619" s="3"/>
      <c r="H619" s="3"/>
      <c r="J619" s="4"/>
      <c r="K619" s="5"/>
      <c r="P619" s="3"/>
      <c r="Q619" s="3"/>
      <c r="R619" s="3"/>
    </row>
    <row r="620">
      <c r="A620" s="3"/>
      <c r="H620" s="3"/>
      <c r="J620" s="4"/>
      <c r="K620" s="5"/>
      <c r="P620" s="3"/>
      <c r="Q620" s="3"/>
      <c r="R620" s="3"/>
    </row>
    <row r="621">
      <c r="A621" s="3"/>
      <c r="H621" s="3"/>
      <c r="J621" s="4"/>
      <c r="K621" s="5"/>
      <c r="P621" s="3"/>
      <c r="Q621" s="3"/>
      <c r="R621" s="3"/>
    </row>
    <row r="622">
      <c r="A622" s="3"/>
      <c r="H622" s="3"/>
      <c r="J622" s="4"/>
      <c r="K622" s="5"/>
      <c r="P622" s="3"/>
      <c r="Q622" s="3"/>
      <c r="R622" s="3"/>
    </row>
    <row r="623">
      <c r="A623" s="3"/>
      <c r="H623" s="3"/>
      <c r="J623" s="4"/>
      <c r="K623" s="5"/>
      <c r="P623" s="3"/>
      <c r="Q623" s="3"/>
      <c r="R623" s="3"/>
    </row>
    <row r="624">
      <c r="A624" s="3"/>
      <c r="H624" s="3"/>
      <c r="J624" s="4"/>
      <c r="K624" s="5"/>
      <c r="P624" s="3"/>
      <c r="Q624" s="3"/>
      <c r="R624" s="3"/>
    </row>
    <row r="625">
      <c r="A625" s="3"/>
      <c r="H625" s="3"/>
      <c r="J625" s="4"/>
      <c r="K625" s="5"/>
      <c r="P625" s="3"/>
      <c r="Q625" s="3"/>
      <c r="R625" s="3"/>
    </row>
    <row r="626">
      <c r="A626" s="3"/>
      <c r="H626" s="3"/>
      <c r="J626" s="4"/>
      <c r="K626" s="5"/>
      <c r="P626" s="3"/>
      <c r="Q626" s="3"/>
      <c r="R626" s="3"/>
    </row>
    <row r="627">
      <c r="A627" s="3"/>
      <c r="H627" s="3"/>
      <c r="J627" s="4"/>
      <c r="K627" s="5"/>
      <c r="P627" s="3"/>
      <c r="Q627" s="3"/>
      <c r="R627" s="3"/>
    </row>
    <row r="628">
      <c r="A628" s="3"/>
      <c r="H628" s="3"/>
      <c r="J628" s="4"/>
      <c r="K628" s="5"/>
      <c r="P628" s="3"/>
      <c r="Q628" s="3"/>
      <c r="R628" s="3"/>
    </row>
    <row r="629">
      <c r="A629" s="3"/>
      <c r="H629" s="3"/>
      <c r="J629" s="4"/>
      <c r="K629" s="5"/>
      <c r="P629" s="3"/>
      <c r="Q629" s="3"/>
      <c r="R629" s="3"/>
    </row>
    <row r="630">
      <c r="A630" s="3"/>
      <c r="H630" s="3"/>
      <c r="J630" s="4"/>
      <c r="K630" s="5"/>
      <c r="P630" s="3"/>
      <c r="Q630" s="3"/>
      <c r="R630" s="3"/>
    </row>
    <row r="631">
      <c r="A631" s="3"/>
      <c r="H631" s="3"/>
      <c r="J631" s="4"/>
      <c r="K631" s="5"/>
      <c r="P631" s="3"/>
      <c r="Q631" s="3"/>
      <c r="R631" s="3"/>
    </row>
    <row r="632">
      <c r="A632" s="3"/>
      <c r="H632" s="3"/>
      <c r="J632" s="4"/>
      <c r="K632" s="5"/>
      <c r="P632" s="3"/>
      <c r="Q632" s="3"/>
      <c r="R632" s="3"/>
    </row>
    <row r="633">
      <c r="A633" s="3"/>
      <c r="H633" s="3"/>
      <c r="J633" s="4"/>
      <c r="K633" s="5"/>
      <c r="P633" s="3"/>
      <c r="Q633" s="3"/>
      <c r="R633" s="3"/>
    </row>
    <row r="634">
      <c r="A634" s="3"/>
      <c r="H634" s="3"/>
      <c r="J634" s="4"/>
      <c r="K634" s="5"/>
      <c r="P634" s="3"/>
      <c r="Q634" s="3"/>
      <c r="R634" s="3"/>
    </row>
    <row r="635">
      <c r="A635" s="3"/>
      <c r="H635" s="3"/>
      <c r="J635" s="4"/>
      <c r="K635" s="5"/>
      <c r="P635" s="3"/>
      <c r="Q635" s="3"/>
      <c r="R635" s="3"/>
    </row>
    <row r="636">
      <c r="A636" s="3"/>
      <c r="H636" s="3"/>
      <c r="J636" s="4"/>
      <c r="K636" s="5"/>
      <c r="P636" s="3"/>
      <c r="Q636" s="3"/>
      <c r="R636" s="3"/>
    </row>
    <row r="637">
      <c r="A637" s="3"/>
      <c r="H637" s="3"/>
      <c r="J637" s="4"/>
      <c r="K637" s="5"/>
      <c r="P637" s="3"/>
      <c r="Q637" s="3"/>
      <c r="R637" s="3"/>
    </row>
    <row r="638">
      <c r="A638" s="3"/>
      <c r="H638" s="3"/>
      <c r="J638" s="4"/>
      <c r="K638" s="5"/>
      <c r="P638" s="3"/>
      <c r="Q638" s="3"/>
      <c r="R638" s="3"/>
    </row>
    <row r="639">
      <c r="A639" s="3"/>
      <c r="H639" s="3"/>
      <c r="J639" s="4"/>
      <c r="K639" s="5"/>
      <c r="P639" s="3"/>
      <c r="Q639" s="3"/>
      <c r="R639" s="3"/>
    </row>
    <row r="640">
      <c r="A640" s="3"/>
      <c r="H640" s="3"/>
      <c r="J640" s="4"/>
      <c r="K640" s="5"/>
      <c r="P640" s="3"/>
      <c r="Q640" s="3"/>
      <c r="R640" s="3"/>
    </row>
    <row r="641">
      <c r="A641" s="3"/>
      <c r="H641" s="3"/>
      <c r="J641" s="4"/>
      <c r="K641" s="5"/>
      <c r="P641" s="3"/>
      <c r="Q641" s="3"/>
      <c r="R641" s="3"/>
    </row>
    <row r="642">
      <c r="A642" s="3"/>
      <c r="H642" s="3"/>
      <c r="J642" s="4"/>
      <c r="K642" s="5"/>
      <c r="P642" s="3"/>
      <c r="Q642" s="3"/>
      <c r="R642" s="3"/>
    </row>
    <row r="643">
      <c r="A643" s="3"/>
      <c r="H643" s="3"/>
      <c r="J643" s="4"/>
      <c r="K643" s="5"/>
      <c r="P643" s="3"/>
      <c r="Q643" s="3"/>
      <c r="R643" s="3"/>
    </row>
    <row r="644">
      <c r="A644" s="3"/>
      <c r="H644" s="3"/>
      <c r="J644" s="4"/>
      <c r="K644" s="5"/>
      <c r="P644" s="3"/>
      <c r="Q644" s="3"/>
      <c r="R644" s="3"/>
    </row>
    <row r="645">
      <c r="A645" s="3"/>
      <c r="H645" s="3"/>
      <c r="J645" s="4"/>
      <c r="K645" s="5"/>
      <c r="P645" s="3"/>
      <c r="Q645" s="3"/>
      <c r="R645" s="3"/>
    </row>
    <row r="646">
      <c r="A646" s="3"/>
      <c r="H646" s="3"/>
      <c r="J646" s="4"/>
      <c r="K646" s="5"/>
      <c r="P646" s="3"/>
      <c r="Q646" s="3"/>
      <c r="R646" s="3"/>
    </row>
    <row r="647">
      <c r="A647" s="3"/>
      <c r="H647" s="3"/>
      <c r="J647" s="4"/>
      <c r="K647" s="5"/>
      <c r="P647" s="3"/>
      <c r="Q647" s="3"/>
      <c r="R647" s="3"/>
    </row>
    <row r="648">
      <c r="A648" s="3"/>
      <c r="H648" s="3"/>
      <c r="J648" s="4"/>
      <c r="K648" s="5"/>
      <c r="P648" s="3"/>
      <c r="Q648" s="3"/>
      <c r="R648" s="3"/>
    </row>
    <row r="649">
      <c r="A649" s="3"/>
      <c r="H649" s="3"/>
      <c r="J649" s="4"/>
      <c r="K649" s="5"/>
      <c r="P649" s="3"/>
      <c r="Q649" s="3"/>
      <c r="R649" s="3"/>
    </row>
    <row r="650">
      <c r="A650" s="3"/>
      <c r="H650" s="3"/>
      <c r="J650" s="4"/>
      <c r="K650" s="5"/>
      <c r="P650" s="3"/>
      <c r="Q650" s="3"/>
      <c r="R650" s="3"/>
    </row>
    <row r="651">
      <c r="A651" s="3"/>
      <c r="H651" s="3"/>
      <c r="J651" s="4"/>
      <c r="K651" s="5"/>
      <c r="P651" s="3"/>
      <c r="Q651" s="3"/>
      <c r="R651" s="3"/>
    </row>
    <row r="652">
      <c r="A652" s="3"/>
      <c r="H652" s="3"/>
      <c r="J652" s="4"/>
      <c r="K652" s="5"/>
      <c r="P652" s="3"/>
      <c r="Q652" s="3"/>
      <c r="R652" s="3"/>
    </row>
    <row r="653">
      <c r="A653" s="3"/>
      <c r="H653" s="3"/>
      <c r="J653" s="4"/>
      <c r="K653" s="5"/>
      <c r="P653" s="3"/>
      <c r="Q653" s="3"/>
      <c r="R653" s="3"/>
    </row>
    <row r="654">
      <c r="A654" s="3"/>
      <c r="H654" s="3"/>
      <c r="J654" s="4"/>
      <c r="K654" s="5"/>
      <c r="P654" s="3"/>
      <c r="Q654" s="3"/>
      <c r="R654" s="3"/>
    </row>
    <row r="655">
      <c r="A655" s="3"/>
      <c r="H655" s="3"/>
      <c r="J655" s="4"/>
      <c r="K655" s="5"/>
      <c r="P655" s="3"/>
      <c r="Q655" s="3"/>
      <c r="R655" s="3"/>
    </row>
    <row r="656">
      <c r="A656" s="3"/>
      <c r="H656" s="3"/>
      <c r="J656" s="4"/>
      <c r="K656" s="5"/>
      <c r="P656" s="3"/>
      <c r="Q656" s="3"/>
      <c r="R656" s="3"/>
    </row>
    <row r="657">
      <c r="A657" s="3"/>
      <c r="H657" s="3"/>
      <c r="J657" s="4"/>
      <c r="K657" s="5"/>
      <c r="P657" s="3"/>
      <c r="Q657" s="3"/>
      <c r="R657" s="3"/>
    </row>
    <row r="658">
      <c r="A658" s="3"/>
      <c r="H658" s="3"/>
      <c r="J658" s="4"/>
      <c r="K658" s="5"/>
      <c r="P658" s="3"/>
      <c r="Q658" s="3"/>
      <c r="R658" s="3"/>
    </row>
    <row r="659">
      <c r="A659" s="3"/>
      <c r="H659" s="3"/>
      <c r="J659" s="4"/>
      <c r="K659" s="5"/>
      <c r="P659" s="3"/>
      <c r="Q659" s="3"/>
      <c r="R659" s="3"/>
    </row>
    <row r="660">
      <c r="A660" s="3"/>
      <c r="H660" s="3"/>
      <c r="J660" s="4"/>
      <c r="K660" s="5"/>
      <c r="P660" s="3"/>
      <c r="Q660" s="3"/>
      <c r="R660" s="3"/>
    </row>
    <row r="661">
      <c r="A661" s="3"/>
      <c r="H661" s="3"/>
      <c r="J661" s="4"/>
      <c r="K661" s="5"/>
      <c r="P661" s="3"/>
      <c r="Q661" s="3"/>
      <c r="R661" s="3"/>
    </row>
    <row r="662">
      <c r="A662" s="3"/>
      <c r="H662" s="3"/>
      <c r="J662" s="4"/>
      <c r="K662" s="5"/>
      <c r="P662" s="3"/>
      <c r="Q662" s="3"/>
      <c r="R662" s="3"/>
    </row>
    <row r="663">
      <c r="A663" s="3"/>
      <c r="H663" s="3"/>
      <c r="J663" s="4"/>
      <c r="K663" s="5"/>
      <c r="P663" s="3"/>
      <c r="Q663" s="3"/>
      <c r="R663" s="3"/>
    </row>
    <row r="664">
      <c r="A664" s="3"/>
      <c r="H664" s="3"/>
      <c r="J664" s="4"/>
      <c r="K664" s="5"/>
      <c r="P664" s="3"/>
      <c r="Q664" s="3"/>
      <c r="R664" s="3"/>
    </row>
    <row r="665">
      <c r="A665" s="3"/>
      <c r="H665" s="3"/>
      <c r="J665" s="4"/>
      <c r="K665" s="5"/>
      <c r="P665" s="3"/>
      <c r="Q665" s="3"/>
      <c r="R665" s="3"/>
    </row>
    <row r="666">
      <c r="A666" s="3"/>
      <c r="H666" s="3"/>
      <c r="J666" s="4"/>
      <c r="K666" s="5"/>
      <c r="P666" s="3"/>
      <c r="Q666" s="3"/>
      <c r="R666" s="3"/>
    </row>
    <row r="667">
      <c r="A667" s="3"/>
      <c r="H667" s="3"/>
      <c r="J667" s="4"/>
      <c r="K667" s="5"/>
      <c r="P667" s="3"/>
      <c r="Q667" s="3"/>
      <c r="R667" s="3"/>
    </row>
    <row r="668">
      <c r="A668" s="3"/>
      <c r="H668" s="3"/>
      <c r="J668" s="4"/>
      <c r="K668" s="5"/>
      <c r="P668" s="3"/>
      <c r="Q668" s="3"/>
      <c r="R668" s="3"/>
    </row>
    <row r="669">
      <c r="A669" s="3"/>
      <c r="H669" s="3"/>
      <c r="J669" s="4"/>
      <c r="K669" s="5"/>
      <c r="P669" s="3"/>
      <c r="Q669" s="3"/>
      <c r="R669" s="3"/>
    </row>
    <row r="670">
      <c r="A670" s="3"/>
      <c r="H670" s="3"/>
      <c r="J670" s="4"/>
      <c r="K670" s="5"/>
      <c r="P670" s="3"/>
      <c r="Q670" s="3"/>
      <c r="R670" s="3"/>
    </row>
    <row r="671">
      <c r="A671" s="3"/>
      <c r="H671" s="3"/>
      <c r="J671" s="4"/>
      <c r="K671" s="5"/>
      <c r="P671" s="3"/>
      <c r="Q671" s="3"/>
      <c r="R671" s="3"/>
    </row>
    <row r="672">
      <c r="A672" s="3"/>
      <c r="H672" s="3"/>
      <c r="J672" s="4"/>
      <c r="K672" s="5"/>
      <c r="P672" s="3"/>
      <c r="Q672" s="3"/>
      <c r="R672" s="3"/>
    </row>
    <row r="673">
      <c r="A673" s="3"/>
      <c r="H673" s="3"/>
      <c r="J673" s="4"/>
      <c r="K673" s="5"/>
      <c r="P673" s="3"/>
      <c r="Q673" s="3"/>
      <c r="R673" s="3"/>
    </row>
    <row r="674">
      <c r="A674" s="3"/>
      <c r="H674" s="3"/>
      <c r="J674" s="4"/>
      <c r="K674" s="5"/>
      <c r="P674" s="3"/>
      <c r="Q674" s="3"/>
      <c r="R674" s="3"/>
    </row>
    <row r="675">
      <c r="A675" s="3"/>
      <c r="H675" s="3"/>
      <c r="J675" s="4"/>
      <c r="K675" s="5"/>
      <c r="P675" s="3"/>
      <c r="Q675" s="3"/>
      <c r="R675" s="3"/>
    </row>
    <row r="676">
      <c r="A676" s="3"/>
      <c r="H676" s="3"/>
      <c r="J676" s="4"/>
      <c r="K676" s="5"/>
      <c r="P676" s="3"/>
      <c r="Q676" s="3"/>
      <c r="R676" s="3"/>
    </row>
    <row r="677">
      <c r="A677" s="3"/>
      <c r="H677" s="3"/>
      <c r="J677" s="4"/>
      <c r="K677" s="5"/>
      <c r="P677" s="3"/>
      <c r="Q677" s="3"/>
      <c r="R677" s="3"/>
    </row>
    <row r="678">
      <c r="A678" s="3"/>
      <c r="H678" s="3"/>
      <c r="J678" s="4"/>
      <c r="K678" s="5"/>
      <c r="P678" s="3"/>
      <c r="Q678" s="3"/>
      <c r="R678" s="3"/>
    </row>
    <row r="679">
      <c r="A679" s="3"/>
      <c r="H679" s="3"/>
      <c r="J679" s="4"/>
      <c r="K679" s="5"/>
      <c r="P679" s="3"/>
      <c r="Q679" s="3"/>
      <c r="R679" s="3"/>
    </row>
    <row r="680">
      <c r="A680" s="3"/>
      <c r="H680" s="3"/>
      <c r="J680" s="4"/>
      <c r="K680" s="5"/>
      <c r="P680" s="3"/>
      <c r="Q680" s="3"/>
      <c r="R680" s="3"/>
    </row>
    <row r="681">
      <c r="A681" s="3"/>
      <c r="H681" s="3"/>
      <c r="J681" s="4"/>
      <c r="K681" s="5"/>
      <c r="P681" s="3"/>
      <c r="Q681" s="3"/>
      <c r="R681" s="3"/>
    </row>
    <row r="682">
      <c r="A682" s="3"/>
      <c r="H682" s="3"/>
      <c r="J682" s="4"/>
      <c r="K682" s="5"/>
      <c r="P682" s="3"/>
      <c r="Q682" s="3"/>
      <c r="R682" s="3"/>
    </row>
    <row r="683">
      <c r="A683" s="3"/>
      <c r="H683" s="3"/>
      <c r="J683" s="4"/>
      <c r="K683" s="5"/>
      <c r="P683" s="3"/>
      <c r="Q683" s="3"/>
      <c r="R683" s="3"/>
    </row>
    <row r="684">
      <c r="A684" s="3"/>
      <c r="H684" s="3"/>
      <c r="J684" s="4"/>
      <c r="K684" s="5"/>
      <c r="P684" s="3"/>
      <c r="Q684" s="3"/>
      <c r="R684" s="3"/>
    </row>
    <row r="685">
      <c r="A685" s="3"/>
      <c r="H685" s="3"/>
      <c r="J685" s="4"/>
      <c r="K685" s="5"/>
      <c r="P685" s="3"/>
      <c r="Q685" s="3"/>
      <c r="R685" s="3"/>
    </row>
    <row r="686">
      <c r="A686" s="3"/>
      <c r="H686" s="3"/>
      <c r="J686" s="4"/>
      <c r="K686" s="5"/>
      <c r="P686" s="3"/>
      <c r="Q686" s="3"/>
      <c r="R686" s="3"/>
    </row>
    <row r="687">
      <c r="A687" s="3"/>
      <c r="H687" s="3"/>
      <c r="J687" s="4"/>
      <c r="K687" s="5"/>
      <c r="P687" s="3"/>
      <c r="Q687" s="3"/>
      <c r="R687" s="3"/>
    </row>
    <row r="688">
      <c r="A688" s="3"/>
      <c r="H688" s="3"/>
      <c r="J688" s="4"/>
      <c r="K688" s="5"/>
      <c r="P688" s="3"/>
      <c r="Q688" s="3"/>
      <c r="R688" s="3"/>
    </row>
    <row r="689">
      <c r="A689" s="3"/>
      <c r="H689" s="3"/>
      <c r="J689" s="4"/>
      <c r="K689" s="5"/>
      <c r="P689" s="3"/>
      <c r="Q689" s="3"/>
      <c r="R689" s="3"/>
    </row>
    <row r="690">
      <c r="A690" s="3"/>
      <c r="H690" s="3"/>
      <c r="J690" s="4"/>
      <c r="K690" s="5"/>
      <c r="P690" s="3"/>
      <c r="Q690" s="3"/>
      <c r="R690" s="3"/>
    </row>
    <row r="691">
      <c r="A691" s="3"/>
      <c r="H691" s="3"/>
      <c r="J691" s="4"/>
      <c r="K691" s="5"/>
      <c r="P691" s="3"/>
      <c r="Q691" s="3"/>
      <c r="R691" s="3"/>
    </row>
    <row r="692">
      <c r="A692" s="3"/>
      <c r="H692" s="3"/>
      <c r="J692" s="4"/>
      <c r="K692" s="5"/>
      <c r="P692" s="3"/>
      <c r="Q692" s="3"/>
      <c r="R692" s="3"/>
    </row>
    <row r="693">
      <c r="A693" s="3"/>
      <c r="H693" s="3"/>
      <c r="J693" s="4"/>
      <c r="K693" s="5"/>
      <c r="P693" s="3"/>
      <c r="Q693" s="3"/>
      <c r="R693" s="3"/>
    </row>
    <row r="694">
      <c r="A694" s="3"/>
      <c r="H694" s="3"/>
      <c r="J694" s="4"/>
      <c r="K694" s="5"/>
      <c r="P694" s="3"/>
      <c r="Q694" s="3"/>
      <c r="R694" s="3"/>
    </row>
    <row r="695">
      <c r="A695" s="3"/>
      <c r="H695" s="3"/>
      <c r="J695" s="4"/>
      <c r="K695" s="5"/>
      <c r="P695" s="3"/>
      <c r="Q695" s="3"/>
      <c r="R695" s="3"/>
    </row>
    <row r="696">
      <c r="A696" s="3"/>
      <c r="H696" s="3"/>
      <c r="J696" s="4"/>
      <c r="K696" s="5"/>
      <c r="P696" s="3"/>
      <c r="Q696" s="3"/>
      <c r="R696" s="3"/>
    </row>
    <row r="697">
      <c r="A697" s="3"/>
      <c r="H697" s="3"/>
      <c r="J697" s="4"/>
      <c r="K697" s="5"/>
      <c r="P697" s="3"/>
      <c r="Q697" s="3"/>
      <c r="R697" s="3"/>
    </row>
    <row r="698">
      <c r="A698" s="3"/>
      <c r="H698" s="3"/>
      <c r="J698" s="4"/>
      <c r="K698" s="5"/>
      <c r="P698" s="3"/>
      <c r="Q698" s="3"/>
      <c r="R698" s="3"/>
    </row>
    <row r="699">
      <c r="A699" s="3"/>
      <c r="H699" s="3"/>
      <c r="J699" s="4"/>
      <c r="K699" s="5"/>
      <c r="P699" s="3"/>
      <c r="Q699" s="3"/>
      <c r="R699" s="3"/>
    </row>
    <row r="700">
      <c r="A700" s="3"/>
      <c r="H700" s="3"/>
      <c r="J700" s="4"/>
      <c r="K700" s="5"/>
      <c r="P700" s="3"/>
      <c r="Q700" s="3"/>
      <c r="R700" s="3"/>
    </row>
    <row r="701">
      <c r="A701" s="3"/>
      <c r="H701" s="3"/>
      <c r="J701" s="4"/>
      <c r="K701" s="5"/>
      <c r="P701" s="3"/>
      <c r="Q701" s="3"/>
      <c r="R701" s="3"/>
    </row>
    <row r="702">
      <c r="A702" s="3"/>
      <c r="H702" s="3"/>
      <c r="J702" s="4"/>
      <c r="K702" s="5"/>
      <c r="P702" s="3"/>
      <c r="Q702" s="3"/>
      <c r="R702" s="3"/>
    </row>
    <row r="703">
      <c r="A703" s="3"/>
      <c r="H703" s="3"/>
      <c r="J703" s="4"/>
      <c r="K703" s="5"/>
      <c r="P703" s="3"/>
      <c r="Q703" s="3"/>
      <c r="R703" s="3"/>
    </row>
    <row r="704">
      <c r="A704" s="3"/>
      <c r="H704" s="3"/>
      <c r="J704" s="4"/>
      <c r="K704" s="5"/>
      <c r="P704" s="3"/>
      <c r="Q704" s="3"/>
      <c r="R704" s="3"/>
    </row>
    <row r="705">
      <c r="A705" s="3"/>
      <c r="H705" s="3"/>
      <c r="J705" s="4"/>
      <c r="K705" s="5"/>
      <c r="P705" s="3"/>
      <c r="Q705" s="3"/>
      <c r="R705" s="3"/>
    </row>
    <row r="706">
      <c r="A706" s="3"/>
      <c r="H706" s="3"/>
      <c r="J706" s="4"/>
      <c r="K706" s="5"/>
      <c r="P706" s="3"/>
      <c r="Q706" s="3"/>
      <c r="R706" s="3"/>
    </row>
    <row r="707">
      <c r="A707" s="3"/>
      <c r="H707" s="3"/>
      <c r="J707" s="4"/>
      <c r="K707" s="5"/>
      <c r="P707" s="3"/>
      <c r="Q707" s="3"/>
      <c r="R707" s="3"/>
    </row>
    <row r="708">
      <c r="A708" s="3"/>
      <c r="H708" s="3"/>
      <c r="J708" s="4"/>
      <c r="K708" s="5"/>
      <c r="P708" s="3"/>
      <c r="Q708" s="3"/>
      <c r="R708" s="3"/>
    </row>
    <row r="709">
      <c r="A709" s="3"/>
      <c r="H709" s="3"/>
      <c r="J709" s="4"/>
      <c r="K709" s="5"/>
      <c r="P709" s="3"/>
      <c r="Q709" s="3"/>
      <c r="R709" s="3"/>
    </row>
    <row r="710">
      <c r="A710" s="3"/>
      <c r="H710" s="3"/>
      <c r="J710" s="4"/>
      <c r="K710" s="5"/>
      <c r="P710" s="3"/>
      <c r="Q710" s="3"/>
      <c r="R710" s="3"/>
    </row>
    <row r="711">
      <c r="A711" s="3"/>
      <c r="H711" s="3"/>
      <c r="J711" s="4"/>
      <c r="K711" s="5"/>
      <c r="P711" s="3"/>
      <c r="Q711" s="3"/>
      <c r="R711" s="3"/>
    </row>
    <row r="712">
      <c r="A712" s="3"/>
      <c r="H712" s="3"/>
      <c r="J712" s="4"/>
      <c r="K712" s="5"/>
      <c r="P712" s="3"/>
      <c r="Q712" s="3"/>
      <c r="R712" s="3"/>
    </row>
    <row r="713">
      <c r="A713" s="3"/>
      <c r="H713" s="3"/>
      <c r="J713" s="4"/>
      <c r="K713" s="5"/>
      <c r="P713" s="3"/>
      <c r="Q713" s="3"/>
      <c r="R713" s="3"/>
    </row>
    <row r="714">
      <c r="A714" s="3"/>
      <c r="H714" s="3"/>
      <c r="J714" s="4"/>
      <c r="K714" s="5"/>
      <c r="P714" s="3"/>
      <c r="Q714" s="3"/>
      <c r="R714" s="3"/>
    </row>
    <row r="715">
      <c r="A715" s="3"/>
      <c r="H715" s="3"/>
      <c r="J715" s="4"/>
      <c r="K715" s="5"/>
      <c r="P715" s="3"/>
      <c r="Q715" s="3"/>
      <c r="R715" s="3"/>
    </row>
    <row r="716">
      <c r="A716" s="3"/>
      <c r="H716" s="3"/>
      <c r="J716" s="4"/>
      <c r="K716" s="5"/>
      <c r="P716" s="3"/>
      <c r="Q716" s="3"/>
      <c r="R716" s="3"/>
    </row>
    <row r="717">
      <c r="A717" s="3"/>
      <c r="H717" s="3"/>
      <c r="J717" s="4"/>
      <c r="K717" s="5"/>
      <c r="P717" s="3"/>
      <c r="Q717" s="3"/>
      <c r="R717" s="3"/>
    </row>
    <row r="718">
      <c r="A718" s="3"/>
      <c r="H718" s="3"/>
      <c r="J718" s="4"/>
      <c r="K718" s="5"/>
      <c r="P718" s="3"/>
      <c r="Q718" s="3"/>
      <c r="R718" s="3"/>
    </row>
    <row r="719">
      <c r="A719" s="3"/>
      <c r="H719" s="3"/>
      <c r="J719" s="4"/>
      <c r="K719" s="5"/>
      <c r="P719" s="3"/>
      <c r="Q719" s="3"/>
      <c r="R719" s="3"/>
    </row>
    <row r="720">
      <c r="A720" s="3"/>
      <c r="H720" s="3"/>
      <c r="J720" s="4"/>
      <c r="K720" s="5"/>
      <c r="P720" s="3"/>
      <c r="Q720" s="3"/>
      <c r="R720" s="3"/>
    </row>
    <row r="721">
      <c r="A721" s="3"/>
      <c r="H721" s="3"/>
      <c r="J721" s="4"/>
      <c r="K721" s="5"/>
      <c r="P721" s="3"/>
      <c r="Q721" s="3"/>
      <c r="R721" s="3"/>
    </row>
    <row r="722">
      <c r="A722" s="3"/>
      <c r="H722" s="3"/>
      <c r="J722" s="4"/>
      <c r="K722" s="5"/>
      <c r="P722" s="3"/>
      <c r="Q722" s="3"/>
      <c r="R722" s="3"/>
    </row>
    <row r="723">
      <c r="A723" s="3"/>
      <c r="H723" s="3"/>
      <c r="J723" s="4"/>
      <c r="K723" s="5"/>
      <c r="P723" s="3"/>
      <c r="Q723" s="3"/>
      <c r="R723" s="3"/>
    </row>
    <row r="724">
      <c r="A724" s="3"/>
      <c r="H724" s="3"/>
      <c r="J724" s="4"/>
      <c r="K724" s="5"/>
      <c r="P724" s="3"/>
      <c r="Q724" s="3"/>
      <c r="R724" s="3"/>
    </row>
    <row r="725">
      <c r="A725" s="3"/>
      <c r="H725" s="3"/>
      <c r="J725" s="4"/>
      <c r="K725" s="5"/>
      <c r="P725" s="3"/>
      <c r="Q725" s="3"/>
      <c r="R725" s="3"/>
    </row>
    <row r="726">
      <c r="A726" s="3"/>
      <c r="H726" s="3"/>
      <c r="J726" s="4"/>
      <c r="K726" s="5"/>
      <c r="P726" s="3"/>
      <c r="Q726" s="3"/>
      <c r="R726" s="3"/>
    </row>
    <row r="727">
      <c r="A727" s="3"/>
      <c r="H727" s="3"/>
      <c r="J727" s="4"/>
      <c r="K727" s="5"/>
      <c r="P727" s="3"/>
      <c r="Q727" s="3"/>
      <c r="R727" s="3"/>
    </row>
    <row r="728">
      <c r="A728" s="3"/>
      <c r="H728" s="3"/>
      <c r="J728" s="4"/>
      <c r="K728" s="5"/>
      <c r="P728" s="3"/>
      <c r="Q728" s="3"/>
      <c r="R728" s="3"/>
    </row>
    <row r="729">
      <c r="A729" s="3"/>
      <c r="H729" s="3"/>
      <c r="J729" s="4"/>
      <c r="K729" s="5"/>
      <c r="P729" s="3"/>
      <c r="Q729" s="3"/>
      <c r="R729" s="3"/>
    </row>
    <row r="730">
      <c r="A730" s="3"/>
      <c r="H730" s="3"/>
      <c r="J730" s="4"/>
      <c r="K730" s="5"/>
      <c r="P730" s="3"/>
      <c r="Q730" s="3"/>
      <c r="R730" s="3"/>
    </row>
    <row r="731">
      <c r="A731" s="3"/>
      <c r="H731" s="3"/>
      <c r="J731" s="4"/>
      <c r="K731" s="5"/>
      <c r="P731" s="3"/>
      <c r="Q731" s="3"/>
      <c r="R731" s="3"/>
    </row>
    <row r="732">
      <c r="A732" s="3"/>
      <c r="H732" s="3"/>
      <c r="J732" s="4"/>
      <c r="K732" s="5"/>
      <c r="P732" s="3"/>
      <c r="Q732" s="3"/>
      <c r="R732" s="3"/>
    </row>
    <row r="733">
      <c r="A733" s="3"/>
      <c r="H733" s="3"/>
      <c r="J733" s="4"/>
      <c r="K733" s="5"/>
      <c r="P733" s="3"/>
      <c r="Q733" s="3"/>
      <c r="R733" s="3"/>
    </row>
    <row r="734">
      <c r="A734" s="3"/>
      <c r="H734" s="3"/>
      <c r="J734" s="4"/>
      <c r="K734" s="5"/>
      <c r="P734" s="3"/>
      <c r="Q734" s="3"/>
      <c r="R734" s="3"/>
    </row>
    <row r="735">
      <c r="A735" s="3"/>
      <c r="H735" s="3"/>
      <c r="J735" s="4"/>
      <c r="K735" s="5"/>
      <c r="P735" s="3"/>
      <c r="Q735" s="3"/>
      <c r="R735" s="3"/>
    </row>
    <row r="736">
      <c r="A736" s="3"/>
      <c r="H736" s="3"/>
      <c r="J736" s="4"/>
      <c r="K736" s="5"/>
      <c r="P736" s="3"/>
      <c r="Q736" s="3"/>
      <c r="R736" s="3"/>
    </row>
    <row r="737">
      <c r="A737" s="3"/>
      <c r="H737" s="3"/>
      <c r="J737" s="4"/>
      <c r="K737" s="5"/>
      <c r="P737" s="3"/>
      <c r="Q737" s="3"/>
      <c r="R737" s="3"/>
    </row>
    <row r="738">
      <c r="A738" s="3"/>
      <c r="H738" s="3"/>
      <c r="J738" s="4"/>
      <c r="K738" s="5"/>
      <c r="P738" s="3"/>
      <c r="Q738" s="3"/>
      <c r="R738" s="3"/>
    </row>
    <row r="739">
      <c r="A739" s="3"/>
      <c r="H739" s="3"/>
      <c r="J739" s="4"/>
      <c r="K739" s="5"/>
      <c r="P739" s="3"/>
      <c r="Q739" s="3"/>
      <c r="R739" s="3"/>
    </row>
    <row r="740">
      <c r="A740" s="3"/>
      <c r="H740" s="3"/>
      <c r="J740" s="4"/>
      <c r="K740" s="5"/>
      <c r="P740" s="3"/>
      <c r="Q740" s="3"/>
      <c r="R740" s="3"/>
    </row>
    <row r="741">
      <c r="A741" s="3"/>
      <c r="H741" s="3"/>
      <c r="J741" s="4"/>
      <c r="K741" s="5"/>
      <c r="P741" s="3"/>
      <c r="Q741" s="3"/>
      <c r="R741" s="3"/>
    </row>
    <row r="742">
      <c r="A742" s="3"/>
      <c r="H742" s="3"/>
      <c r="J742" s="4"/>
      <c r="K742" s="5"/>
      <c r="P742" s="3"/>
      <c r="Q742" s="3"/>
      <c r="R742" s="3"/>
    </row>
    <row r="743">
      <c r="A743" s="3"/>
      <c r="H743" s="3"/>
      <c r="J743" s="4"/>
      <c r="K743" s="5"/>
      <c r="P743" s="3"/>
      <c r="Q743" s="3"/>
      <c r="R743" s="3"/>
    </row>
    <row r="744">
      <c r="A744" s="3"/>
      <c r="H744" s="3"/>
      <c r="J744" s="4"/>
      <c r="K744" s="5"/>
      <c r="P744" s="3"/>
      <c r="Q744" s="3"/>
      <c r="R744" s="3"/>
    </row>
    <row r="745">
      <c r="A745" s="3"/>
      <c r="H745" s="3"/>
      <c r="J745" s="4"/>
      <c r="K745" s="5"/>
      <c r="P745" s="3"/>
      <c r="Q745" s="3"/>
      <c r="R745" s="3"/>
    </row>
    <row r="746">
      <c r="A746" s="3"/>
      <c r="H746" s="3"/>
      <c r="J746" s="4"/>
      <c r="K746" s="5"/>
      <c r="P746" s="3"/>
      <c r="Q746" s="3"/>
      <c r="R746" s="3"/>
    </row>
    <row r="747">
      <c r="A747" s="3"/>
      <c r="H747" s="3"/>
      <c r="J747" s="4"/>
      <c r="K747" s="5"/>
      <c r="P747" s="3"/>
      <c r="Q747" s="3"/>
      <c r="R747" s="3"/>
    </row>
    <row r="748">
      <c r="A748" s="3"/>
      <c r="H748" s="3"/>
      <c r="J748" s="4"/>
      <c r="K748" s="5"/>
      <c r="P748" s="3"/>
      <c r="Q748" s="3"/>
      <c r="R748" s="3"/>
    </row>
    <row r="749">
      <c r="A749" s="3"/>
      <c r="H749" s="3"/>
      <c r="J749" s="4"/>
      <c r="K749" s="5"/>
      <c r="P749" s="3"/>
      <c r="Q749" s="3"/>
      <c r="R749" s="3"/>
    </row>
    <row r="750">
      <c r="A750" s="3"/>
      <c r="H750" s="3"/>
      <c r="J750" s="4"/>
      <c r="K750" s="5"/>
      <c r="P750" s="3"/>
      <c r="Q750" s="3"/>
      <c r="R750" s="3"/>
    </row>
    <row r="751">
      <c r="A751" s="3"/>
      <c r="H751" s="3"/>
      <c r="J751" s="4"/>
      <c r="K751" s="5"/>
      <c r="P751" s="3"/>
      <c r="Q751" s="3"/>
      <c r="R751" s="3"/>
    </row>
    <row r="752">
      <c r="A752" s="3"/>
      <c r="H752" s="3"/>
      <c r="J752" s="4"/>
      <c r="K752" s="5"/>
      <c r="P752" s="3"/>
      <c r="Q752" s="3"/>
      <c r="R752" s="3"/>
    </row>
    <row r="753">
      <c r="A753" s="3"/>
      <c r="H753" s="3"/>
      <c r="J753" s="4"/>
      <c r="K753" s="5"/>
      <c r="P753" s="3"/>
      <c r="Q753" s="3"/>
      <c r="R753" s="3"/>
    </row>
    <row r="754">
      <c r="A754" s="3"/>
      <c r="H754" s="3"/>
      <c r="J754" s="4"/>
      <c r="K754" s="5"/>
      <c r="P754" s="3"/>
      <c r="Q754" s="3"/>
      <c r="R754" s="3"/>
    </row>
    <row r="755">
      <c r="A755" s="3"/>
      <c r="H755" s="3"/>
      <c r="J755" s="4"/>
      <c r="K755" s="5"/>
      <c r="P755" s="3"/>
      <c r="Q755" s="3"/>
      <c r="R755" s="3"/>
    </row>
    <row r="756">
      <c r="A756" s="3"/>
      <c r="H756" s="3"/>
      <c r="J756" s="4"/>
      <c r="K756" s="5"/>
      <c r="P756" s="3"/>
      <c r="Q756" s="3"/>
      <c r="R756" s="3"/>
    </row>
    <row r="757">
      <c r="A757" s="3"/>
      <c r="H757" s="3"/>
      <c r="J757" s="4"/>
      <c r="K757" s="5"/>
      <c r="P757" s="3"/>
      <c r="Q757" s="3"/>
      <c r="R757" s="3"/>
    </row>
    <row r="758">
      <c r="A758" s="3"/>
      <c r="H758" s="3"/>
      <c r="J758" s="4"/>
      <c r="K758" s="5"/>
      <c r="P758" s="3"/>
      <c r="Q758" s="3"/>
      <c r="R758" s="3"/>
    </row>
    <row r="759">
      <c r="A759" s="3"/>
      <c r="H759" s="3"/>
      <c r="J759" s="4"/>
      <c r="K759" s="5"/>
      <c r="P759" s="3"/>
      <c r="Q759" s="3"/>
      <c r="R759" s="3"/>
    </row>
    <row r="760">
      <c r="A760" s="3"/>
      <c r="H760" s="3"/>
      <c r="J760" s="4"/>
      <c r="K760" s="5"/>
      <c r="P760" s="3"/>
      <c r="Q760" s="3"/>
      <c r="R760" s="3"/>
    </row>
    <row r="761">
      <c r="A761" s="3"/>
      <c r="H761" s="3"/>
      <c r="J761" s="4"/>
      <c r="K761" s="5"/>
      <c r="P761" s="3"/>
      <c r="Q761" s="3"/>
      <c r="R761" s="3"/>
    </row>
    <row r="762">
      <c r="A762" s="3"/>
      <c r="H762" s="3"/>
      <c r="J762" s="4"/>
      <c r="K762" s="5"/>
      <c r="P762" s="3"/>
      <c r="Q762" s="3"/>
      <c r="R762" s="3"/>
    </row>
    <row r="763">
      <c r="A763" s="3"/>
      <c r="H763" s="3"/>
      <c r="J763" s="4"/>
      <c r="K763" s="5"/>
      <c r="P763" s="3"/>
      <c r="Q763" s="3"/>
      <c r="R763" s="3"/>
    </row>
    <row r="764">
      <c r="A764" s="3"/>
      <c r="H764" s="3"/>
      <c r="J764" s="4"/>
      <c r="K764" s="5"/>
      <c r="P764" s="3"/>
      <c r="Q764" s="3"/>
      <c r="R764" s="3"/>
    </row>
    <row r="765">
      <c r="A765" s="3"/>
      <c r="H765" s="3"/>
      <c r="J765" s="4"/>
      <c r="K765" s="5"/>
      <c r="P765" s="3"/>
      <c r="Q765" s="3"/>
      <c r="R765" s="3"/>
    </row>
    <row r="766">
      <c r="A766" s="3"/>
      <c r="H766" s="3"/>
      <c r="J766" s="4"/>
      <c r="K766" s="5"/>
      <c r="P766" s="3"/>
      <c r="Q766" s="3"/>
      <c r="R766" s="3"/>
    </row>
    <row r="767">
      <c r="A767" s="3"/>
      <c r="H767" s="3"/>
      <c r="J767" s="4"/>
      <c r="K767" s="5"/>
      <c r="P767" s="3"/>
      <c r="Q767" s="3"/>
      <c r="R767" s="3"/>
    </row>
    <row r="768">
      <c r="A768" s="3"/>
      <c r="H768" s="3"/>
      <c r="J768" s="4"/>
      <c r="K768" s="5"/>
      <c r="P768" s="3"/>
      <c r="Q768" s="3"/>
      <c r="R768" s="3"/>
    </row>
    <row r="769">
      <c r="A769" s="3"/>
      <c r="H769" s="3"/>
      <c r="J769" s="4"/>
      <c r="K769" s="5"/>
      <c r="P769" s="3"/>
      <c r="Q769" s="3"/>
      <c r="R769" s="3"/>
    </row>
    <row r="770">
      <c r="A770" s="3"/>
      <c r="H770" s="3"/>
      <c r="J770" s="4"/>
      <c r="K770" s="5"/>
      <c r="P770" s="3"/>
      <c r="Q770" s="3"/>
      <c r="R770" s="3"/>
    </row>
    <row r="771">
      <c r="A771" s="3"/>
      <c r="H771" s="3"/>
      <c r="J771" s="4"/>
      <c r="K771" s="5"/>
      <c r="P771" s="3"/>
      <c r="Q771" s="3"/>
      <c r="R771" s="3"/>
    </row>
    <row r="772">
      <c r="A772" s="3"/>
      <c r="H772" s="3"/>
      <c r="J772" s="4"/>
      <c r="K772" s="5"/>
      <c r="P772" s="3"/>
      <c r="Q772" s="3"/>
      <c r="R772" s="3"/>
    </row>
    <row r="773">
      <c r="A773" s="3"/>
      <c r="H773" s="3"/>
      <c r="J773" s="4"/>
      <c r="K773" s="5"/>
      <c r="P773" s="3"/>
      <c r="Q773" s="3"/>
      <c r="R773" s="3"/>
    </row>
    <row r="774">
      <c r="A774" s="3"/>
      <c r="H774" s="3"/>
      <c r="J774" s="4"/>
      <c r="K774" s="5"/>
      <c r="P774" s="3"/>
      <c r="Q774" s="3"/>
      <c r="R774" s="3"/>
    </row>
    <row r="775">
      <c r="A775" s="3"/>
      <c r="H775" s="3"/>
      <c r="J775" s="4"/>
      <c r="K775" s="5"/>
      <c r="P775" s="3"/>
      <c r="Q775" s="3"/>
      <c r="R775" s="3"/>
    </row>
    <row r="776">
      <c r="A776" s="3"/>
      <c r="H776" s="3"/>
      <c r="J776" s="4"/>
      <c r="K776" s="5"/>
      <c r="P776" s="3"/>
      <c r="Q776" s="3"/>
      <c r="R776" s="3"/>
    </row>
    <row r="777">
      <c r="A777" s="3"/>
      <c r="H777" s="3"/>
      <c r="J777" s="4"/>
      <c r="K777" s="5"/>
      <c r="P777" s="3"/>
      <c r="Q777" s="3"/>
      <c r="R777" s="3"/>
    </row>
    <row r="778">
      <c r="A778" s="3"/>
      <c r="H778" s="3"/>
      <c r="J778" s="4"/>
      <c r="K778" s="5"/>
      <c r="P778" s="3"/>
      <c r="Q778" s="3"/>
      <c r="R778" s="3"/>
    </row>
    <row r="779">
      <c r="A779" s="3"/>
      <c r="H779" s="3"/>
      <c r="J779" s="4"/>
      <c r="K779" s="5"/>
      <c r="P779" s="3"/>
      <c r="Q779" s="3"/>
      <c r="R779" s="3"/>
    </row>
    <row r="780">
      <c r="A780" s="3"/>
      <c r="H780" s="3"/>
      <c r="J780" s="4"/>
      <c r="K780" s="5"/>
      <c r="P780" s="3"/>
      <c r="Q780" s="3"/>
      <c r="R780" s="3"/>
    </row>
    <row r="781">
      <c r="A781" s="3"/>
      <c r="H781" s="3"/>
      <c r="J781" s="4"/>
      <c r="K781" s="5"/>
      <c r="P781" s="3"/>
      <c r="Q781" s="3"/>
      <c r="R781" s="3"/>
    </row>
    <row r="782">
      <c r="A782" s="3"/>
      <c r="H782" s="3"/>
      <c r="J782" s="4"/>
      <c r="K782" s="5"/>
      <c r="P782" s="3"/>
      <c r="Q782" s="3"/>
      <c r="R782" s="3"/>
    </row>
    <row r="783">
      <c r="A783" s="3"/>
      <c r="H783" s="3"/>
      <c r="J783" s="4"/>
      <c r="K783" s="5"/>
      <c r="P783" s="3"/>
      <c r="Q783" s="3"/>
      <c r="R783" s="3"/>
    </row>
    <row r="784">
      <c r="A784" s="3"/>
      <c r="H784" s="3"/>
      <c r="J784" s="4"/>
      <c r="K784" s="5"/>
      <c r="P784" s="3"/>
      <c r="Q784" s="3"/>
      <c r="R784" s="3"/>
    </row>
    <row r="785">
      <c r="A785" s="3"/>
      <c r="H785" s="3"/>
      <c r="J785" s="4"/>
      <c r="K785" s="5"/>
      <c r="P785" s="3"/>
      <c r="Q785" s="3"/>
      <c r="R785" s="3"/>
    </row>
    <row r="786">
      <c r="A786" s="3"/>
      <c r="H786" s="3"/>
      <c r="J786" s="4"/>
      <c r="K786" s="5"/>
      <c r="P786" s="3"/>
      <c r="Q786" s="3"/>
      <c r="R786" s="3"/>
    </row>
    <row r="787">
      <c r="A787" s="3"/>
      <c r="H787" s="3"/>
      <c r="J787" s="4"/>
      <c r="K787" s="5"/>
      <c r="P787" s="3"/>
      <c r="Q787" s="3"/>
      <c r="R787" s="3"/>
    </row>
    <row r="788">
      <c r="A788" s="3"/>
      <c r="H788" s="3"/>
      <c r="J788" s="4"/>
      <c r="K788" s="5"/>
      <c r="P788" s="3"/>
      <c r="Q788" s="3"/>
      <c r="R788" s="3"/>
    </row>
    <row r="789">
      <c r="A789" s="3"/>
      <c r="H789" s="3"/>
      <c r="J789" s="4"/>
      <c r="K789" s="5"/>
      <c r="P789" s="3"/>
      <c r="Q789" s="3"/>
      <c r="R789" s="3"/>
    </row>
    <row r="790">
      <c r="A790" s="3"/>
      <c r="H790" s="3"/>
      <c r="J790" s="4"/>
      <c r="K790" s="5"/>
      <c r="P790" s="3"/>
      <c r="Q790" s="3"/>
      <c r="R790" s="3"/>
    </row>
    <row r="791">
      <c r="A791" s="3"/>
      <c r="H791" s="3"/>
      <c r="J791" s="4"/>
      <c r="K791" s="5"/>
      <c r="P791" s="3"/>
      <c r="Q791" s="3"/>
      <c r="R791" s="3"/>
    </row>
    <row r="792">
      <c r="A792" s="3"/>
      <c r="H792" s="3"/>
      <c r="J792" s="4"/>
      <c r="K792" s="5"/>
      <c r="P792" s="3"/>
      <c r="Q792" s="3"/>
      <c r="R792" s="3"/>
    </row>
    <row r="793">
      <c r="A793" s="3"/>
      <c r="H793" s="3"/>
      <c r="J793" s="4"/>
      <c r="K793" s="5"/>
      <c r="P793" s="3"/>
      <c r="Q793" s="3"/>
      <c r="R793" s="3"/>
    </row>
    <row r="794">
      <c r="A794" s="3"/>
      <c r="H794" s="3"/>
      <c r="J794" s="4"/>
      <c r="K794" s="5"/>
      <c r="P794" s="3"/>
      <c r="Q794" s="3"/>
      <c r="R794" s="3"/>
    </row>
    <row r="795">
      <c r="A795" s="3"/>
      <c r="H795" s="3"/>
      <c r="J795" s="4"/>
      <c r="K795" s="5"/>
      <c r="P795" s="3"/>
      <c r="Q795" s="3"/>
      <c r="R795" s="3"/>
    </row>
    <row r="796">
      <c r="A796" s="3"/>
      <c r="H796" s="3"/>
      <c r="J796" s="4"/>
      <c r="K796" s="5"/>
      <c r="P796" s="3"/>
      <c r="Q796" s="3"/>
      <c r="R796" s="3"/>
    </row>
    <row r="797">
      <c r="A797" s="3"/>
      <c r="H797" s="3"/>
      <c r="J797" s="4"/>
      <c r="K797" s="5"/>
      <c r="P797" s="3"/>
      <c r="Q797" s="3"/>
      <c r="R797" s="3"/>
    </row>
    <row r="798">
      <c r="A798" s="3"/>
      <c r="H798" s="3"/>
      <c r="J798" s="4"/>
      <c r="K798" s="5"/>
      <c r="P798" s="3"/>
      <c r="Q798" s="3"/>
      <c r="R798" s="3"/>
    </row>
    <row r="799">
      <c r="A799" s="3"/>
      <c r="H799" s="3"/>
      <c r="J799" s="4"/>
      <c r="K799" s="5"/>
      <c r="P799" s="3"/>
      <c r="Q799" s="3"/>
      <c r="R799" s="3"/>
    </row>
    <row r="800">
      <c r="A800" s="3"/>
      <c r="H800" s="3"/>
      <c r="J800" s="4"/>
      <c r="K800" s="5"/>
      <c r="P800" s="3"/>
      <c r="Q800" s="3"/>
      <c r="R800" s="3"/>
    </row>
    <row r="801">
      <c r="A801" s="3"/>
      <c r="H801" s="3"/>
      <c r="J801" s="4"/>
      <c r="K801" s="5"/>
      <c r="P801" s="3"/>
      <c r="Q801" s="3"/>
      <c r="R801" s="3"/>
    </row>
    <row r="802">
      <c r="A802" s="3"/>
      <c r="H802" s="3"/>
      <c r="J802" s="4"/>
      <c r="K802" s="5"/>
      <c r="P802" s="3"/>
      <c r="Q802" s="3"/>
      <c r="R802" s="3"/>
    </row>
    <row r="803">
      <c r="A803" s="3"/>
      <c r="H803" s="3"/>
      <c r="J803" s="4"/>
      <c r="K803" s="5"/>
      <c r="P803" s="3"/>
      <c r="Q803" s="3"/>
      <c r="R803" s="3"/>
    </row>
    <row r="804">
      <c r="A804" s="3"/>
      <c r="H804" s="3"/>
      <c r="J804" s="4"/>
      <c r="K804" s="5"/>
      <c r="P804" s="3"/>
      <c r="Q804" s="3"/>
      <c r="R804" s="3"/>
    </row>
    <row r="805">
      <c r="A805" s="3"/>
      <c r="H805" s="3"/>
      <c r="J805" s="4"/>
      <c r="K805" s="5"/>
      <c r="P805" s="3"/>
      <c r="Q805" s="3"/>
      <c r="R805" s="3"/>
    </row>
    <row r="806">
      <c r="A806" s="3"/>
      <c r="H806" s="3"/>
      <c r="J806" s="4"/>
      <c r="K806" s="5"/>
      <c r="P806" s="3"/>
      <c r="Q806" s="3"/>
      <c r="R806" s="3"/>
    </row>
    <row r="807">
      <c r="A807" s="3"/>
      <c r="H807" s="3"/>
      <c r="J807" s="4"/>
      <c r="K807" s="5"/>
      <c r="P807" s="3"/>
      <c r="Q807" s="3"/>
      <c r="R807" s="3"/>
    </row>
    <row r="808">
      <c r="A808" s="3"/>
      <c r="H808" s="3"/>
      <c r="J808" s="4"/>
      <c r="K808" s="5"/>
      <c r="P808" s="3"/>
      <c r="Q808" s="3"/>
      <c r="R808" s="3"/>
    </row>
    <row r="809">
      <c r="A809" s="3"/>
      <c r="H809" s="3"/>
      <c r="J809" s="4"/>
      <c r="K809" s="5"/>
      <c r="P809" s="3"/>
      <c r="Q809" s="3"/>
      <c r="R809" s="3"/>
    </row>
    <row r="810">
      <c r="A810" s="3"/>
      <c r="H810" s="3"/>
      <c r="J810" s="4"/>
      <c r="K810" s="5"/>
      <c r="P810" s="3"/>
      <c r="Q810" s="3"/>
      <c r="R810" s="3"/>
    </row>
    <row r="811">
      <c r="A811" s="3"/>
      <c r="H811" s="3"/>
      <c r="J811" s="4"/>
      <c r="K811" s="5"/>
      <c r="P811" s="3"/>
      <c r="Q811" s="3"/>
      <c r="R811" s="3"/>
    </row>
    <row r="812">
      <c r="A812" s="3"/>
      <c r="H812" s="3"/>
      <c r="J812" s="4"/>
      <c r="K812" s="5"/>
      <c r="P812" s="3"/>
      <c r="Q812" s="3"/>
      <c r="R812" s="3"/>
    </row>
    <row r="813">
      <c r="A813" s="3"/>
      <c r="H813" s="3"/>
      <c r="J813" s="4"/>
      <c r="K813" s="5"/>
      <c r="P813" s="3"/>
      <c r="Q813" s="3"/>
      <c r="R813" s="3"/>
    </row>
    <row r="814">
      <c r="A814" s="3"/>
      <c r="H814" s="3"/>
      <c r="J814" s="4"/>
      <c r="K814" s="5"/>
      <c r="P814" s="3"/>
      <c r="Q814" s="3"/>
      <c r="R814" s="3"/>
    </row>
    <row r="815">
      <c r="A815" s="3"/>
      <c r="H815" s="3"/>
      <c r="J815" s="4"/>
      <c r="K815" s="5"/>
      <c r="P815" s="3"/>
      <c r="Q815" s="3"/>
      <c r="R815" s="3"/>
    </row>
    <row r="816">
      <c r="A816" s="3"/>
      <c r="H816" s="3"/>
      <c r="J816" s="4"/>
      <c r="K816" s="5"/>
      <c r="P816" s="3"/>
      <c r="Q816" s="3"/>
      <c r="R816" s="3"/>
    </row>
    <row r="817">
      <c r="A817" s="3"/>
      <c r="H817" s="3"/>
      <c r="J817" s="4"/>
      <c r="K817" s="5"/>
      <c r="P817" s="3"/>
      <c r="Q817" s="3"/>
      <c r="R817" s="3"/>
    </row>
    <row r="818">
      <c r="A818" s="3"/>
      <c r="H818" s="3"/>
      <c r="J818" s="4"/>
      <c r="K818" s="5"/>
      <c r="P818" s="3"/>
      <c r="Q818" s="3"/>
      <c r="R818" s="3"/>
    </row>
    <row r="819">
      <c r="A819" s="3"/>
      <c r="H819" s="3"/>
      <c r="J819" s="4"/>
      <c r="K819" s="5"/>
      <c r="P819" s="3"/>
      <c r="Q819" s="3"/>
      <c r="R819" s="3"/>
    </row>
    <row r="820">
      <c r="A820" s="3"/>
      <c r="H820" s="3"/>
      <c r="J820" s="4"/>
      <c r="K820" s="5"/>
      <c r="P820" s="3"/>
      <c r="Q820" s="3"/>
      <c r="R820" s="3"/>
    </row>
    <row r="821">
      <c r="A821" s="3"/>
      <c r="H821" s="3"/>
      <c r="J821" s="4"/>
      <c r="K821" s="5"/>
      <c r="P821" s="3"/>
      <c r="Q821" s="3"/>
      <c r="R821" s="3"/>
    </row>
    <row r="822">
      <c r="A822" s="3"/>
      <c r="H822" s="3"/>
      <c r="J822" s="4"/>
      <c r="K822" s="5"/>
      <c r="P822" s="3"/>
      <c r="Q822" s="3"/>
      <c r="R822" s="3"/>
    </row>
    <row r="823">
      <c r="A823" s="3"/>
      <c r="H823" s="3"/>
      <c r="J823" s="4"/>
      <c r="K823" s="5"/>
      <c r="P823" s="3"/>
      <c r="Q823" s="3"/>
      <c r="R823" s="3"/>
    </row>
    <row r="824">
      <c r="A824" s="3"/>
      <c r="H824" s="3"/>
      <c r="J824" s="4"/>
      <c r="K824" s="5"/>
      <c r="P824" s="3"/>
      <c r="Q824" s="3"/>
      <c r="R824" s="3"/>
    </row>
    <row r="825">
      <c r="A825" s="3"/>
      <c r="H825" s="3"/>
      <c r="J825" s="4"/>
      <c r="K825" s="5"/>
      <c r="P825" s="3"/>
      <c r="Q825" s="3"/>
      <c r="R825" s="3"/>
    </row>
    <row r="826">
      <c r="A826" s="3"/>
      <c r="H826" s="3"/>
      <c r="J826" s="4"/>
      <c r="K826" s="5"/>
      <c r="P826" s="3"/>
      <c r="Q826" s="3"/>
      <c r="R826" s="3"/>
    </row>
    <row r="827">
      <c r="A827" s="3"/>
      <c r="H827" s="3"/>
      <c r="J827" s="4"/>
      <c r="K827" s="5"/>
      <c r="P827" s="3"/>
      <c r="Q827" s="3"/>
      <c r="R827" s="3"/>
    </row>
    <row r="828">
      <c r="A828" s="3"/>
      <c r="H828" s="3"/>
      <c r="J828" s="4"/>
      <c r="K828" s="5"/>
      <c r="P828" s="3"/>
      <c r="Q828" s="3"/>
      <c r="R828" s="3"/>
    </row>
    <row r="829">
      <c r="A829" s="3"/>
      <c r="H829" s="3"/>
      <c r="J829" s="4"/>
      <c r="K829" s="5"/>
      <c r="P829" s="3"/>
      <c r="Q829" s="3"/>
      <c r="R829" s="3"/>
    </row>
    <row r="830">
      <c r="A830" s="3"/>
      <c r="H830" s="3"/>
      <c r="J830" s="4"/>
      <c r="K830" s="5"/>
      <c r="P830" s="3"/>
      <c r="Q830" s="3"/>
      <c r="R830" s="3"/>
    </row>
    <row r="831">
      <c r="A831" s="3"/>
      <c r="H831" s="3"/>
      <c r="J831" s="4"/>
      <c r="K831" s="5"/>
      <c r="P831" s="3"/>
      <c r="Q831" s="3"/>
      <c r="R831" s="3"/>
    </row>
    <row r="832">
      <c r="A832" s="3"/>
      <c r="H832" s="3"/>
      <c r="J832" s="4"/>
      <c r="K832" s="5"/>
      <c r="P832" s="3"/>
      <c r="Q832" s="3"/>
      <c r="R832" s="3"/>
    </row>
    <row r="833">
      <c r="A833" s="3"/>
      <c r="H833" s="3"/>
      <c r="J833" s="4"/>
      <c r="K833" s="5"/>
      <c r="P833" s="3"/>
      <c r="Q833" s="3"/>
      <c r="R833" s="3"/>
    </row>
    <row r="834">
      <c r="A834" s="3"/>
      <c r="H834" s="3"/>
      <c r="J834" s="4"/>
      <c r="K834" s="5"/>
      <c r="P834" s="3"/>
      <c r="Q834" s="3"/>
      <c r="R834" s="3"/>
    </row>
    <row r="835">
      <c r="A835" s="3"/>
      <c r="H835" s="3"/>
      <c r="J835" s="4"/>
      <c r="K835" s="5"/>
      <c r="P835" s="3"/>
      <c r="Q835" s="3"/>
      <c r="R835" s="3"/>
    </row>
    <row r="836">
      <c r="A836" s="3"/>
      <c r="H836" s="3"/>
      <c r="J836" s="4"/>
      <c r="K836" s="5"/>
      <c r="P836" s="3"/>
      <c r="Q836" s="3"/>
      <c r="R836" s="3"/>
    </row>
    <row r="837">
      <c r="A837" s="3"/>
      <c r="H837" s="3"/>
      <c r="J837" s="4"/>
      <c r="K837" s="5"/>
      <c r="P837" s="3"/>
      <c r="Q837" s="3"/>
      <c r="R837" s="3"/>
    </row>
    <row r="838">
      <c r="A838" s="3"/>
      <c r="H838" s="3"/>
      <c r="J838" s="4"/>
      <c r="K838" s="5"/>
      <c r="P838" s="3"/>
      <c r="Q838" s="3"/>
      <c r="R838" s="3"/>
    </row>
    <row r="839">
      <c r="A839" s="3"/>
      <c r="H839" s="3"/>
      <c r="J839" s="4"/>
      <c r="K839" s="5"/>
      <c r="P839" s="3"/>
      <c r="Q839" s="3"/>
      <c r="R839" s="3"/>
    </row>
    <row r="840">
      <c r="A840" s="3"/>
      <c r="H840" s="3"/>
      <c r="J840" s="4"/>
      <c r="K840" s="5"/>
      <c r="P840" s="3"/>
      <c r="Q840" s="3"/>
      <c r="R840" s="3"/>
    </row>
    <row r="841">
      <c r="A841" s="3"/>
      <c r="H841" s="3"/>
      <c r="J841" s="4"/>
      <c r="K841" s="5"/>
      <c r="P841" s="3"/>
      <c r="Q841" s="3"/>
      <c r="R841" s="3"/>
    </row>
    <row r="842">
      <c r="A842" s="3"/>
      <c r="H842" s="3"/>
      <c r="J842" s="4"/>
      <c r="K842" s="5"/>
      <c r="P842" s="3"/>
      <c r="Q842" s="3"/>
      <c r="R842" s="3"/>
    </row>
    <row r="843">
      <c r="A843" s="3"/>
      <c r="H843" s="3"/>
      <c r="J843" s="4"/>
      <c r="K843" s="5"/>
      <c r="P843" s="3"/>
      <c r="Q843" s="3"/>
      <c r="R843" s="3"/>
    </row>
    <row r="844">
      <c r="A844" s="3"/>
      <c r="H844" s="3"/>
      <c r="J844" s="4"/>
      <c r="K844" s="5"/>
      <c r="P844" s="3"/>
      <c r="Q844" s="3"/>
      <c r="R844" s="3"/>
    </row>
    <row r="845">
      <c r="A845" s="3"/>
      <c r="H845" s="3"/>
      <c r="J845" s="4"/>
      <c r="K845" s="5"/>
      <c r="P845" s="3"/>
      <c r="Q845" s="3"/>
      <c r="R845" s="3"/>
    </row>
    <row r="846">
      <c r="A846" s="3"/>
      <c r="H846" s="3"/>
      <c r="J846" s="4"/>
      <c r="K846" s="5"/>
      <c r="P846" s="3"/>
      <c r="Q846" s="3"/>
      <c r="R846" s="3"/>
    </row>
    <row r="847">
      <c r="A847" s="3"/>
      <c r="H847" s="3"/>
      <c r="J847" s="4"/>
      <c r="K847" s="5"/>
      <c r="P847" s="3"/>
      <c r="Q847" s="3"/>
      <c r="R847" s="3"/>
    </row>
    <row r="848">
      <c r="A848" s="3"/>
      <c r="H848" s="3"/>
      <c r="J848" s="4"/>
      <c r="K848" s="5"/>
      <c r="P848" s="3"/>
      <c r="Q848" s="3"/>
      <c r="R848" s="3"/>
    </row>
    <row r="849">
      <c r="A849" s="3"/>
      <c r="H849" s="3"/>
      <c r="J849" s="4"/>
      <c r="K849" s="5"/>
      <c r="P849" s="3"/>
      <c r="Q849" s="3"/>
      <c r="R849" s="3"/>
    </row>
    <row r="850">
      <c r="A850" s="3"/>
      <c r="H850" s="3"/>
      <c r="J850" s="4"/>
      <c r="K850" s="5"/>
      <c r="P850" s="3"/>
      <c r="Q850" s="3"/>
      <c r="R850" s="3"/>
    </row>
    <row r="851">
      <c r="A851" s="3"/>
      <c r="H851" s="3"/>
      <c r="J851" s="4"/>
      <c r="K851" s="5"/>
      <c r="P851" s="3"/>
      <c r="Q851" s="3"/>
      <c r="R851" s="3"/>
    </row>
    <row r="852">
      <c r="A852" s="3"/>
      <c r="H852" s="3"/>
      <c r="J852" s="4"/>
      <c r="K852" s="5"/>
      <c r="P852" s="3"/>
      <c r="Q852" s="3"/>
      <c r="R852" s="3"/>
    </row>
    <row r="853">
      <c r="A853" s="3"/>
      <c r="H853" s="3"/>
      <c r="J853" s="4"/>
      <c r="K853" s="5"/>
      <c r="P853" s="3"/>
      <c r="Q853" s="3"/>
      <c r="R853" s="3"/>
    </row>
    <row r="854">
      <c r="A854" s="3"/>
      <c r="H854" s="3"/>
      <c r="J854" s="4"/>
      <c r="K854" s="5"/>
      <c r="P854" s="3"/>
      <c r="Q854" s="3"/>
      <c r="R854" s="3"/>
    </row>
    <row r="855">
      <c r="A855" s="3"/>
      <c r="H855" s="3"/>
      <c r="J855" s="4"/>
      <c r="K855" s="5"/>
      <c r="P855" s="3"/>
      <c r="Q855" s="3"/>
      <c r="R855" s="3"/>
    </row>
    <row r="856">
      <c r="A856" s="3"/>
      <c r="H856" s="3"/>
      <c r="J856" s="4"/>
      <c r="K856" s="5"/>
      <c r="P856" s="3"/>
      <c r="Q856" s="3"/>
      <c r="R856" s="3"/>
    </row>
    <row r="857">
      <c r="A857" s="3"/>
      <c r="H857" s="3"/>
      <c r="J857" s="4"/>
      <c r="K857" s="5"/>
      <c r="P857" s="3"/>
      <c r="Q857" s="3"/>
      <c r="R857" s="3"/>
    </row>
    <row r="858">
      <c r="A858" s="3"/>
      <c r="H858" s="3"/>
      <c r="J858" s="4"/>
      <c r="K858" s="5"/>
      <c r="P858" s="3"/>
      <c r="Q858" s="3"/>
      <c r="R858" s="3"/>
    </row>
    <row r="859">
      <c r="A859" s="3"/>
      <c r="H859" s="3"/>
      <c r="J859" s="4"/>
      <c r="K859" s="5"/>
      <c r="P859" s="3"/>
      <c r="Q859" s="3"/>
      <c r="R859" s="3"/>
    </row>
    <row r="860">
      <c r="A860" s="3"/>
      <c r="H860" s="3"/>
      <c r="J860" s="4"/>
      <c r="K860" s="5"/>
      <c r="P860" s="3"/>
      <c r="Q860" s="3"/>
      <c r="R860" s="3"/>
    </row>
    <row r="861">
      <c r="A861" s="3"/>
      <c r="H861" s="3"/>
      <c r="J861" s="4"/>
      <c r="K861" s="5"/>
      <c r="P861" s="3"/>
      <c r="Q861" s="3"/>
      <c r="R861" s="3"/>
    </row>
    <row r="862">
      <c r="A862" s="3"/>
      <c r="H862" s="3"/>
      <c r="J862" s="4"/>
      <c r="K862" s="5"/>
      <c r="P862" s="3"/>
      <c r="Q862" s="3"/>
      <c r="R862" s="3"/>
    </row>
    <row r="863">
      <c r="A863" s="3"/>
      <c r="H863" s="3"/>
      <c r="J863" s="4"/>
      <c r="K863" s="5"/>
      <c r="P863" s="3"/>
      <c r="Q863" s="3"/>
      <c r="R863" s="3"/>
    </row>
    <row r="864">
      <c r="A864" s="3"/>
      <c r="H864" s="3"/>
      <c r="J864" s="4"/>
      <c r="K864" s="5"/>
      <c r="P864" s="3"/>
      <c r="Q864" s="3"/>
      <c r="R864" s="3"/>
    </row>
    <row r="865">
      <c r="A865" s="3"/>
      <c r="H865" s="3"/>
      <c r="J865" s="4"/>
      <c r="K865" s="5"/>
      <c r="P865" s="3"/>
      <c r="Q865" s="3"/>
      <c r="R865" s="3"/>
    </row>
    <row r="866">
      <c r="A866" s="3"/>
      <c r="H866" s="3"/>
      <c r="J866" s="4"/>
      <c r="K866" s="5"/>
      <c r="P866" s="3"/>
      <c r="Q866" s="3"/>
      <c r="R866" s="3"/>
    </row>
    <row r="867">
      <c r="A867" s="3"/>
      <c r="H867" s="3"/>
      <c r="J867" s="4"/>
      <c r="K867" s="5"/>
      <c r="P867" s="3"/>
      <c r="Q867" s="3"/>
      <c r="R867" s="3"/>
    </row>
    <row r="868">
      <c r="A868" s="3"/>
      <c r="H868" s="3"/>
      <c r="J868" s="4"/>
      <c r="K868" s="5"/>
      <c r="P868" s="3"/>
      <c r="Q868" s="3"/>
      <c r="R868" s="3"/>
    </row>
    <row r="869">
      <c r="A869" s="3"/>
      <c r="H869" s="3"/>
      <c r="J869" s="4"/>
      <c r="K869" s="5"/>
      <c r="P869" s="3"/>
      <c r="Q869" s="3"/>
      <c r="R869" s="3"/>
    </row>
    <row r="870">
      <c r="A870" s="3"/>
      <c r="H870" s="3"/>
      <c r="J870" s="4"/>
      <c r="K870" s="5"/>
      <c r="P870" s="3"/>
      <c r="Q870" s="3"/>
      <c r="R870" s="3"/>
    </row>
    <row r="871">
      <c r="A871" s="3"/>
      <c r="H871" s="3"/>
      <c r="J871" s="4"/>
      <c r="K871" s="5"/>
      <c r="P871" s="3"/>
      <c r="Q871" s="3"/>
      <c r="R871" s="3"/>
    </row>
    <row r="872">
      <c r="A872" s="3"/>
      <c r="H872" s="3"/>
      <c r="J872" s="4"/>
      <c r="K872" s="5"/>
      <c r="P872" s="3"/>
      <c r="Q872" s="3"/>
      <c r="R872" s="3"/>
    </row>
    <row r="873">
      <c r="A873" s="3"/>
      <c r="H873" s="3"/>
      <c r="J873" s="4"/>
      <c r="K873" s="5"/>
      <c r="P873" s="3"/>
      <c r="Q873" s="3"/>
      <c r="R873" s="3"/>
    </row>
    <row r="874">
      <c r="A874" s="3"/>
      <c r="H874" s="3"/>
      <c r="J874" s="4"/>
      <c r="K874" s="5"/>
      <c r="P874" s="3"/>
      <c r="Q874" s="3"/>
      <c r="R874" s="3"/>
    </row>
    <row r="875">
      <c r="A875" s="3"/>
      <c r="H875" s="3"/>
      <c r="J875" s="4"/>
      <c r="K875" s="5"/>
      <c r="P875" s="3"/>
      <c r="Q875" s="3"/>
      <c r="R875" s="3"/>
    </row>
    <row r="876">
      <c r="A876" s="3"/>
      <c r="H876" s="3"/>
      <c r="J876" s="4"/>
      <c r="K876" s="5"/>
      <c r="P876" s="3"/>
      <c r="Q876" s="3"/>
      <c r="R876" s="3"/>
    </row>
    <row r="877">
      <c r="A877" s="3"/>
      <c r="H877" s="3"/>
      <c r="J877" s="4"/>
      <c r="K877" s="5"/>
      <c r="P877" s="3"/>
      <c r="Q877" s="3"/>
      <c r="R877" s="3"/>
    </row>
    <row r="878">
      <c r="A878" s="3"/>
      <c r="H878" s="3"/>
      <c r="J878" s="4"/>
      <c r="K878" s="5"/>
      <c r="P878" s="3"/>
      <c r="Q878" s="3"/>
      <c r="R878" s="3"/>
    </row>
    <row r="879">
      <c r="A879" s="3"/>
      <c r="H879" s="3"/>
      <c r="J879" s="4"/>
      <c r="K879" s="5"/>
      <c r="P879" s="3"/>
      <c r="Q879" s="3"/>
      <c r="R879" s="3"/>
    </row>
    <row r="880">
      <c r="A880" s="3"/>
      <c r="H880" s="3"/>
      <c r="J880" s="4"/>
      <c r="K880" s="5"/>
      <c r="P880" s="3"/>
      <c r="Q880" s="3"/>
      <c r="R880" s="3"/>
    </row>
    <row r="881">
      <c r="A881" s="3"/>
      <c r="H881" s="3"/>
      <c r="J881" s="4"/>
      <c r="K881" s="5"/>
      <c r="P881" s="3"/>
      <c r="Q881" s="3"/>
      <c r="R881" s="3"/>
    </row>
    <row r="882">
      <c r="A882" s="3"/>
      <c r="H882" s="3"/>
      <c r="J882" s="4"/>
      <c r="K882" s="5"/>
      <c r="P882" s="3"/>
      <c r="Q882" s="3"/>
      <c r="R882" s="3"/>
    </row>
    <row r="883">
      <c r="A883" s="3"/>
      <c r="H883" s="3"/>
      <c r="J883" s="4"/>
      <c r="K883" s="5"/>
      <c r="P883" s="3"/>
      <c r="Q883" s="3"/>
      <c r="R883" s="3"/>
    </row>
    <row r="884">
      <c r="A884" s="3"/>
      <c r="H884" s="3"/>
      <c r="J884" s="4"/>
      <c r="K884" s="5"/>
      <c r="P884" s="3"/>
      <c r="Q884" s="3"/>
      <c r="R884" s="3"/>
    </row>
    <row r="885">
      <c r="A885" s="3"/>
      <c r="H885" s="3"/>
      <c r="J885" s="4"/>
      <c r="K885" s="5"/>
      <c r="P885" s="3"/>
      <c r="Q885" s="3"/>
      <c r="R885" s="3"/>
    </row>
    <row r="886">
      <c r="A886" s="3"/>
      <c r="H886" s="3"/>
      <c r="J886" s="4"/>
      <c r="K886" s="5"/>
      <c r="P886" s="3"/>
      <c r="Q886" s="3"/>
      <c r="R886" s="3"/>
    </row>
    <row r="887">
      <c r="A887" s="3"/>
      <c r="H887" s="3"/>
      <c r="J887" s="4"/>
      <c r="K887" s="5"/>
      <c r="P887" s="3"/>
      <c r="Q887" s="3"/>
      <c r="R887" s="3"/>
    </row>
    <row r="888">
      <c r="A888" s="3"/>
      <c r="H888" s="3"/>
      <c r="J888" s="4"/>
      <c r="K888" s="5"/>
      <c r="P888" s="3"/>
      <c r="Q888" s="3"/>
      <c r="R888" s="3"/>
    </row>
    <row r="889">
      <c r="A889" s="3"/>
      <c r="H889" s="3"/>
      <c r="J889" s="4"/>
      <c r="K889" s="5"/>
      <c r="P889" s="3"/>
      <c r="Q889" s="3"/>
      <c r="R889" s="3"/>
    </row>
    <row r="890">
      <c r="A890" s="3"/>
      <c r="H890" s="3"/>
      <c r="J890" s="4"/>
      <c r="K890" s="5"/>
      <c r="P890" s="3"/>
      <c r="Q890" s="3"/>
      <c r="R890" s="3"/>
    </row>
    <row r="891">
      <c r="A891" s="3"/>
      <c r="H891" s="3"/>
      <c r="J891" s="4"/>
      <c r="K891" s="5"/>
      <c r="P891" s="3"/>
      <c r="Q891" s="3"/>
      <c r="R891" s="3"/>
    </row>
    <row r="892">
      <c r="A892" s="3"/>
      <c r="H892" s="3"/>
      <c r="J892" s="4"/>
      <c r="K892" s="5"/>
      <c r="P892" s="3"/>
      <c r="Q892" s="3"/>
      <c r="R892" s="3"/>
    </row>
    <row r="893">
      <c r="A893" s="3"/>
      <c r="H893" s="3"/>
      <c r="J893" s="4"/>
      <c r="K893" s="5"/>
      <c r="P893" s="3"/>
      <c r="Q893" s="3"/>
      <c r="R893" s="3"/>
    </row>
    <row r="894">
      <c r="A894" s="3"/>
      <c r="H894" s="3"/>
      <c r="J894" s="4"/>
      <c r="K894" s="5"/>
      <c r="P894" s="3"/>
      <c r="Q894" s="3"/>
      <c r="R894" s="3"/>
    </row>
    <row r="895">
      <c r="A895" s="3"/>
      <c r="H895" s="3"/>
      <c r="J895" s="4"/>
      <c r="K895" s="5"/>
      <c r="P895" s="3"/>
      <c r="Q895" s="3"/>
      <c r="R895" s="3"/>
    </row>
    <row r="896">
      <c r="A896" s="3"/>
      <c r="H896" s="3"/>
      <c r="J896" s="4"/>
      <c r="K896" s="5"/>
      <c r="P896" s="3"/>
      <c r="Q896" s="3"/>
      <c r="R896" s="3"/>
    </row>
    <row r="897">
      <c r="A897" s="3"/>
      <c r="H897" s="3"/>
      <c r="J897" s="4"/>
      <c r="K897" s="5"/>
      <c r="P897" s="3"/>
      <c r="Q897" s="3"/>
      <c r="R897" s="3"/>
    </row>
    <row r="898">
      <c r="A898" s="3"/>
      <c r="H898" s="3"/>
      <c r="J898" s="4"/>
      <c r="K898" s="5"/>
      <c r="P898" s="3"/>
      <c r="Q898" s="3"/>
      <c r="R898" s="3"/>
    </row>
    <row r="899">
      <c r="A899" s="3"/>
      <c r="H899" s="3"/>
      <c r="J899" s="4"/>
      <c r="K899" s="5"/>
      <c r="P899" s="3"/>
      <c r="Q899" s="3"/>
      <c r="R899" s="3"/>
    </row>
    <row r="900">
      <c r="A900" s="3"/>
      <c r="H900" s="3"/>
      <c r="J900" s="4"/>
      <c r="K900" s="5"/>
      <c r="P900" s="3"/>
      <c r="Q900" s="3"/>
      <c r="R900" s="3"/>
    </row>
    <row r="901">
      <c r="A901" s="3"/>
      <c r="H901" s="3"/>
      <c r="J901" s="4"/>
      <c r="K901" s="5"/>
      <c r="P901" s="3"/>
      <c r="Q901" s="3"/>
      <c r="R901" s="3"/>
    </row>
    <row r="902">
      <c r="A902" s="3"/>
      <c r="H902" s="3"/>
      <c r="J902" s="4"/>
      <c r="K902" s="5"/>
      <c r="P902" s="3"/>
      <c r="Q902" s="3"/>
      <c r="R902" s="3"/>
    </row>
    <row r="903">
      <c r="A903" s="3"/>
      <c r="H903" s="3"/>
      <c r="J903" s="4"/>
      <c r="K903" s="5"/>
      <c r="P903" s="3"/>
      <c r="Q903" s="3"/>
      <c r="R903" s="3"/>
    </row>
    <row r="904">
      <c r="A904" s="3"/>
      <c r="H904" s="3"/>
      <c r="J904" s="4"/>
      <c r="K904" s="5"/>
      <c r="P904" s="3"/>
      <c r="Q904" s="3"/>
      <c r="R904" s="3"/>
    </row>
    <row r="905">
      <c r="A905" s="3"/>
      <c r="H905" s="3"/>
      <c r="J905" s="4"/>
      <c r="K905" s="5"/>
      <c r="P905" s="3"/>
      <c r="Q905" s="3"/>
      <c r="R905" s="3"/>
    </row>
    <row r="906">
      <c r="A906" s="3"/>
      <c r="H906" s="3"/>
      <c r="J906" s="4"/>
      <c r="K906" s="5"/>
      <c r="P906" s="3"/>
      <c r="Q906" s="3"/>
      <c r="R906" s="3"/>
    </row>
    <row r="907">
      <c r="A907" s="3"/>
      <c r="H907" s="3"/>
      <c r="J907" s="4"/>
      <c r="K907" s="5"/>
      <c r="P907" s="3"/>
      <c r="Q907" s="3"/>
      <c r="R907" s="3"/>
    </row>
    <row r="908">
      <c r="A908" s="3"/>
      <c r="H908" s="3"/>
      <c r="J908" s="4"/>
      <c r="K908" s="5"/>
      <c r="P908" s="3"/>
      <c r="Q908" s="3"/>
      <c r="R908" s="3"/>
    </row>
    <row r="909">
      <c r="A909" s="3"/>
      <c r="H909" s="3"/>
      <c r="J909" s="4"/>
      <c r="K909" s="5"/>
      <c r="P909" s="3"/>
      <c r="Q909" s="3"/>
      <c r="R909" s="3"/>
    </row>
    <row r="910">
      <c r="A910" s="3"/>
      <c r="H910" s="3"/>
      <c r="J910" s="4"/>
      <c r="K910" s="5"/>
      <c r="P910" s="3"/>
      <c r="Q910" s="3"/>
      <c r="R910" s="3"/>
    </row>
    <row r="911">
      <c r="A911" s="3"/>
      <c r="H911" s="3"/>
      <c r="J911" s="4"/>
      <c r="K911" s="5"/>
      <c r="P911" s="3"/>
      <c r="Q911" s="3"/>
      <c r="R911" s="3"/>
    </row>
    <row r="912">
      <c r="A912" s="3"/>
      <c r="H912" s="3"/>
      <c r="J912" s="4"/>
      <c r="K912" s="5"/>
      <c r="P912" s="3"/>
      <c r="Q912" s="3"/>
      <c r="R912" s="3"/>
    </row>
    <row r="913">
      <c r="A913" s="3"/>
      <c r="H913" s="3"/>
      <c r="J913" s="4"/>
      <c r="K913" s="5"/>
      <c r="P913" s="3"/>
      <c r="Q913" s="3"/>
      <c r="R913" s="3"/>
    </row>
    <row r="914">
      <c r="A914" s="3"/>
      <c r="H914" s="3"/>
      <c r="J914" s="4"/>
      <c r="K914" s="5"/>
      <c r="P914" s="3"/>
      <c r="Q914" s="3"/>
      <c r="R914" s="3"/>
    </row>
    <row r="915">
      <c r="A915" s="3"/>
      <c r="H915" s="3"/>
      <c r="J915" s="4"/>
      <c r="K915" s="5"/>
      <c r="P915" s="3"/>
      <c r="Q915" s="3"/>
      <c r="R915" s="3"/>
    </row>
    <row r="916">
      <c r="A916" s="3"/>
      <c r="H916" s="3"/>
      <c r="J916" s="4"/>
      <c r="K916" s="5"/>
      <c r="P916" s="3"/>
      <c r="Q916" s="3"/>
      <c r="R916" s="3"/>
    </row>
    <row r="917">
      <c r="A917" s="3"/>
      <c r="H917" s="3"/>
      <c r="J917" s="4"/>
      <c r="K917" s="5"/>
      <c r="P917" s="3"/>
      <c r="Q917" s="3"/>
      <c r="R917" s="3"/>
    </row>
    <row r="918">
      <c r="A918" s="3"/>
      <c r="H918" s="3"/>
      <c r="J918" s="4"/>
      <c r="K918" s="5"/>
      <c r="P918" s="3"/>
      <c r="Q918" s="3"/>
      <c r="R918" s="3"/>
    </row>
    <row r="919">
      <c r="A919" s="3"/>
      <c r="H919" s="3"/>
      <c r="J919" s="4"/>
      <c r="K919" s="5"/>
      <c r="P919" s="3"/>
      <c r="Q919" s="3"/>
      <c r="R919" s="3"/>
    </row>
    <row r="920">
      <c r="A920" s="3"/>
      <c r="H920" s="3"/>
      <c r="J920" s="4"/>
      <c r="K920" s="5"/>
      <c r="P920" s="3"/>
      <c r="Q920" s="3"/>
      <c r="R920" s="3"/>
    </row>
    <row r="921">
      <c r="A921" s="3"/>
      <c r="H921" s="3"/>
      <c r="J921" s="4"/>
      <c r="K921" s="5"/>
      <c r="P921" s="3"/>
      <c r="Q921" s="3"/>
      <c r="R921" s="3"/>
    </row>
    <row r="922">
      <c r="A922" s="3"/>
      <c r="H922" s="3"/>
      <c r="J922" s="4"/>
      <c r="K922" s="5"/>
      <c r="P922" s="3"/>
      <c r="Q922" s="3"/>
      <c r="R922" s="3"/>
    </row>
    <row r="923">
      <c r="A923" s="3"/>
      <c r="H923" s="3"/>
      <c r="J923" s="4"/>
      <c r="K923" s="5"/>
      <c r="P923" s="3"/>
      <c r="Q923" s="3"/>
      <c r="R923" s="3"/>
    </row>
    <row r="924">
      <c r="A924" s="3"/>
      <c r="H924" s="3"/>
      <c r="J924" s="4"/>
      <c r="K924" s="5"/>
      <c r="P924" s="3"/>
      <c r="Q924" s="3"/>
      <c r="R924" s="3"/>
    </row>
    <row r="925">
      <c r="A925" s="3"/>
      <c r="H925" s="3"/>
      <c r="J925" s="4"/>
      <c r="K925" s="5"/>
      <c r="P925" s="3"/>
      <c r="Q925" s="3"/>
      <c r="R925" s="3"/>
    </row>
    <row r="926">
      <c r="A926" s="3"/>
      <c r="H926" s="3"/>
      <c r="J926" s="4"/>
      <c r="K926" s="5"/>
      <c r="P926" s="3"/>
      <c r="Q926" s="3"/>
      <c r="R926" s="3"/>
    </row>
    <row r="927">
      <c r="A927" s="3"/>
      <c r="H927" s="3"/>
      <c r="J927" s="4"/>
      <c r="K927" s="5"/>
      <c r="P927" s="3"/>
      <c r="Q927" s="3"/>
      <c r="R927" s="3"/>
    </row>
    <row r="928">
      <c r="A928" s="3"/>
      <c r="H928" s="3"/>
      <c r="J928" s="4"/>
      <c r="K928" s="5"/>
      <c r="P928" s="3"/>
      <c r="Q928" s="3"/>
      <c r="R928" s="3"/>
    </row>
    <row r="929">
      <c r="A929" s="3"/>
      <c r="H929" s="3"/>
      <c r="J929" s="4"/>
      <c r="K929" s="5"/>
      <c r="P929" s="3"/>
      <c r="Q929" s="3"/>
      <c r="R929" s="3"/>
    </row>
    <row r="930">
      <c r="A930" s="3"/>
      <c r="H930" s="3"/>
      <c r="J930" s="4"/>
      <c r="K930" s="5"/>
      <c r="P930" s="3"/>
      <c r="Q930" s="3"/>
      <c r="R930" s="3"/>
    </row>
    <row r="931">
      <c r="A931" s="3"/>
      <c r="H931" s="3"/>
      <c r="J931" s="4"/>
      <c r="K931" s="5"/>
      <c r="P931" s="3"/>
      <c r="Q931" s="3"/>
      <c r="R931" s="3"/>
    </row>
    <row r="932">
      <c r="A932" s="3"/>
      <c r="H932" s="3"/>
      <c r="J932" s="4"/>
      <c r="K932" s="5"/>
      <c r="P932" s="3"/>
      <c r="Q932" s="3"/>
      <c r="R932" s="3"/>
    </row>
    <row r="933">
      <c r="A933" s="3"/>
      <c r="H933" s="3"/>
      <c r="J933" s="4"/>
      <c r="K933" s="5"/>
      <c r="P933" s="3"/>
      <c r="Q933" s="3"/>
      <c r="R933" s="3"/>
    </row>
    <row r="934">
      <c r="A934" s="3"/>
      <c r="H934" s="3"/>
      <c r="J934" s="4"/>
      <c r="K934" s="5"/>
      <c r="P934" s="3"/>
      <c r="Q934" s="3"/>
      <c r="R934" s="3"/>
    </row>
    <row r="935">
      <c r="A935" s="3"/>
      <c r="H935" s="3"/>
      <c r="J935" s="4"/>
      <c r="K935" s="5"/>
      <c r="P935" s="3"/>
      <c r="Q935" s="3"/>
      <c r="R935" s="3"/>
    </row>
    <row r="936">
      <c r="A936" s="3"/>
      <c r="H936" s="3"/>
      <c r="J936" s="4"/>
      <c r="K936" s="5"/>
      <c r="P936" s="3"/>
      <c r="Q936" s="3"/>
      <c r="R936" s="3"/>
    </row>
    <row r="937">
      <c r="A937" s="3"/>
      <c r="H937" s="3"/>
      <c r="J937" s="4"/>
      <c r="K937" s="5"/>
      <c r="P937" s="3"/>
      <c r="Q937" s="3"/>
      <c r="R937" s="3"/>
    </row>
    <row r="938">
      <c r="A938" s="3"/>
      <c r="H938" s="3"/>
      <c r="J938" s="4"/>
      <c r="K938" s="5"/>
      <c r="P938" s="3"/>
      <c r="Q938" s="3"/>
      <c r="R938" s="3"/>
    </row>
    <row r="939">
      <c r="A939" s="3"/>
      <c r="H939" s="3"/>
      <c r="J939" s="4"/>
      <c r="K939" s="5"/>
      <c r="P939" s="3"/>
      <c r="Q939" s="3"/>
      <c r="R939" s="3"/>
    </row>
    <row r="940">
      <c r="A940" s="3"/>
      <c r="H940" s="3"/>
      <c r="J940" s="4"/>
      <c r="K940" s="5"/>
      <c r="P940" s="3"/>
      <c r="Q940" s="3"/>
      <c r="R940" s="3"/>
    </row>
    <row r="941">
      <c r="A941" s="3"/>
      <c r="H941" s="3"/>
      <c r="J941" s="4"/>
      <c r="K941" s="5"/>
      <c r="P941" s="3"/>
      <c r="Q941" s="3"/>
      <c r="R941" s="3"/>
    </row>
    <row r="942">
      <c r="A942" s="3"/>
      <c r="H942" s="3"/>
      <c r="J942" s="4"/>
      <c r="K942" s="5"/>
      <c r="P942" s="3"/>
      <c r="Q942" s="3"/>
      <c r="R942" s="3"/>
    </row>
    <row r="943">
      <c r="A943" s="3"/>
      <c r="H943" s="3"/>
      <c r="J943" s="4"/>
      <c r="K943" s="5"/>
      <c r="P943" s="3"/>
      <c r="Q943" s="3"/>
      <c r="R943" s="3"/>
    </row>
    <row r="944">
      <c r="A944" s="3"/>
      <c r="H944" s="3"/>
      <c r="J944" s="4"/>
      <c r="K944" s="5"/>
      <c r="P944" s="3"/>
      <c r="Q944" s="3"/>
      <c r="R944" s="3"/>
    </row>
    <row r="945">
      <c r="A945" s="3"/>
      <c r="H945" s="3"/>
      <c r="J945" s="4"/>
      <c r="K945" s="5"/>
      <c r="P945" s="3"/>
      <c r="Q945" s="3"/>
      <c r="R945" s="3"/>
    </row>
    <row r="946">
      <c r="A946" s="3"/>
      <c r="H946" s="3"/>
      <c r="J946" s="4"/>
      <c r="K946" s="5"/>
      <c r="P946" s="3"/>
      <c r="Q946" s="3"/>
      <c r="R946" s="3"/>
    </row>
    <row r="947">
      <c r="A947" s="3"/>
      <c r="H947" s="3"/>
      <c r="J947" s="4"/>
      <c r="K947" s="5"/>
      <c r="P947" s="3"/>
      <c r="Q947" s="3"/>
      <c r="R947" s="3"/>
    </row>
    <row r="948">
      <c r="A948" s="3"/>
      <c r="H948" s="3"/>
      <c r="J948" s="4"/>
      <c r="K948" s="5"/>
      <c r="P948" s="3"/>
      <c r="Q948" s="3"/>
      <c r="R948" s="3"/>
    </row>
    <row r="949">
      <c r="A949" s="3"/>
      <c r="H949" s="3"/>
      <c r="J949" s="4"/>
      <c r="K949" s="5"/>
      <c r="P949" s="3"/>
      <c r="Q949" s="3"/>
      <c r="R949" s="3"/>
    </row>
    <row r="950">
      <c r="A950" s="3"/>
      <c r="H950" s="3"/>
      <c r="J950" s="4"/>
      <c r="K950" s="5"/>
      <c r="P950" s="3"/>
      <c r="Q950" s="3"/>
      <c r="R950" s="3"/>
    </row>
    <row r="951">
      <c r="A951" s="3"/>
      <c r="H951" s="3"/>
      <c r="J951" s="4"/>
      <c r="K951" s="5"/>
      <c r="P951" s="3"/>
      <c r="Q951" s="3"/>
      <c r="R951" s="3"/>
    </row>
    <row r="952">
      <c r="A952" s="3"/>
      <c r="H952" s="3"/>
      <c r="J952" s="4"/>
      <c r="K952" s="5"/>
      <c r="P952" s="3"/>
      <c r="Q952" s="3"/>
      <c r="R952" s="3"/>
    </row>
    <row r="953">
      <c r="A953" s="3"/>
      <c r="H953" s="3"/>
      <c r="J953" s="4"/>
      <c r="K953" s="5"/>
      <c r="P953" s="3"/>
      <c r="Q953" s="3"/>
      <c r="R953" s="3"/>
    </row>
    <row r="954">
      <c r="A954" s="3"/>
      <c r="H954" s="3"/>
      <c r="J954" s="4"/>
      <c r="K954" s="5"/>
      <c r="P954" s="3"/>
      <c r="Q954" s="3"/>
      <c r="R954" s="3"/>
    </row>
    <row r="955">
      <c r="A955" s="3"/>
      <c r="H955" s="3"/>
      <c r="J955" s="4"/>
      <c r="K955" s="5"/>
      <c r="P955" s="3"/>
      <c r="Q955" s="3"/>
      <c r="R955" s="3"/>
    </row>
    <row r="956">
      <c r="A956" s="3"/>
      <c r="H956" s="3"/>
      <c r="J956" s="4"/>
      <c r="K956" s="5"/>
      <c r="P956" s="3"/>
      <c r="Q956" s="3"/>
      <c r="R956" s="3"/>
    </row>
    <row r="957">
      <c r="A957" s="3"/>
      <c r="H957" s="3"/>
      <c r="J957" s="4"/>
      <c r="K957" s="5"/>
      <c r="P957" s="3"/>
      <c r="Q957" s="3"/>
      <c r="R957" s="3"/>
    </row>
    <row r="958">
      <c r="A958" s="3"/>
      <c r="H958" s="3"/>
      <c r="J958" s="4"/>
      <c r="K958" s="5"/>
      <c r="P958" s="3"/>
      <c r="Q958" s="3"/>
      <c r="R958" s="3"/>
    </row>
    <row r="959">
      <c r="A959" s="3"/>
      <c r="H959" s="3"/>
      <c r="J959" s="4"/>
      <c r="K959" s="5"/>
      <c r="P959" s="3"/>
      <c r="Q959" s="3"/>
      <c r="R959" s="3"/>
    </row>
    <row r="960">
      <c r="A960" s="3"/>
      <c r="H960" s="3"/>
      <c r="J960" s="4"/>
      <c r="K960" s="5"/>
      <c r="P960" s="3"/>
      <c r="Q960" s="3"/>
      <c r="R960" s="3"/>
    </row>
    <row r="961">
      <c r="A961" s="3"/>
      <c r="H961" s="3"/>
      <c r="J961" s="4"/>
      <c r="K961" s="5"/>
      <c r="P961" s="3"/>
      <c r="Q961" s="3"/>
      <c r="R961" s="3"/>
    </row>
    <row r="962">
      <c r="A962" s="3"/>
      <c r="H962" s="3"/>
      <c r="J962" s="4"/>
      <c r="K962" s="5"/>
      <c r="P962" s="3"/>
      <c r="Q962" s="3"/>
      <c r="R962" s="3"/>
    </row>
    <row r="963">
      <c r="A963" s="3"/>
      <c r="H963" s="3"/>
      <c r="J963" s="4"/>
      <c r="K963" s="5"/>
      <c r="P963" s="3"/>
      <c r="Q963" s="3"/>
      <c r="R963" s="3"/>
    </row>
    <row r="964">
      <c r="A964" s="3"/>
      <c r="H964" s="3"/>
      <c r="J964" s="4"/>
      <c r="K964" s="5"/>
      <c r="P964" s="3"/>
      <c r="Q964" s="3"/>
      <c r="R964" s="3"/>
    </row>
    <row r="965">
      <c r="A965" s="3"/>
      <c r="H965" s="3"/>
      <c r="J965" s="4"/>
      <c r="K965" s="5"/>
      <c r="P965" s="3"/>
      <c r="Q965" s="3"/>
      <c r="R965" s="3"/>
    </row>
    <row r="966">
      <c r="A966" s="3"/>
      <c r="H966" s="3"/>
      <c r="J966" s="4"/>
      <c r="K966" s="5"/>
      <c r="P966" s="3"/>
      <c r="Q966" s="3"/>
      <c r="R966" s="3"/>
    </row>
    <row r="967">
      <c r="A967" s="3"/>
      <c r="H967" s="3"/>
      <c r="J967" s="4"/>
      <c r="K967" s="5"/>
      <c r="P967" s="3"/>
      <c r="Q967" s="3"/>
      <c r="R967" s="3"/>
    </row>
    <row r="968">
      <c r="A968" s="3"/>
      <c r="H968" s="3"/>
      <c r="J968" s="4"/>
      <c r="K968" s="5"/>
      <c r="P968" s="3"/>
      <c r="Q968" s="3"/>
      <c r="R968" s="3"/>
    </row>
    <row r="969">
      <c r="A969" s="3"/>
      <c r="H969" s="3"/>
      <c r="J969" s="4"/>
      <c r="K969" s="5"/>
      <c r="P969" s="3"/>
      <c r="Q969" s="3"/>
      <c r="R969" s="3"/>
    </row>
    <row r="970">
      <c r="A970" s="3"/>
      <c r="H970" s="3"/>
      <c r="J970" s="4"/>
      <c r="K970" s="5"/>
      <c r="P970" s="3"/>
      <c r="Q970" s="3"/>
      <c r="R970" s="3"/>
    </row>
    <row r="971">
      <c r="A971" s="3"/>
      <c r="H971" s="3"/>
      <c r="J971" s="4"/>
      <c r="K971" s="5"/>
      <c r="P971" s="3"/>
      <c r="Q971" s="3"/>
      <c r="R971" s="3"/>
    </row>
    <row r="972">
      <c r="A972" s="3"/>
      <c r="H972" s="3"/>
      <c r="J972" s="4"/>
      <c r="K972" s="5"/>
      <c r="P972" s="3"/>
      <c r="Q972" s="3"/>
      <c r="R972" s="3"/>
    </row>
    <row r="973">
      <c r="A973" s="3"/>
      <c r="H973" s="3"/>
      <c r="J973" s="4"/>
      <c r="K973" s="5"/>
      <c r="P973" s="3"/>
      <c r="Q973" s="3"/>
      <c r="R973" s="3"/>
    </row>
    <row r="974">
      <c r="A974" s="3"/>
      <c r="H974" s="3"/>
      <c r="J974" s="4"/>
      <c r="K974" s="5"/>
      <c r="P974" s="3"/>
      <c r="Q974" s="3"/>
      <c r="R974" s="3"/>
    </row>
    <row r="975">
      <c r="A975" s="3"/>
      <c r="H975" s="3"/>
      <c r="J975" s="4"/>
      <c r="K975" s="5"/>
      <c r="P975" s="3"/>
      <c r="Q975" s="3"/>
      <c r="R975" s="3"/>
    </row>
    <row r="976">
      <c r="A976" s="3"/>
      <c r="H976" s="3"/>
      <c r="J976" s="4"/>
      <c r="K976" s="5"/>
      <c r="P976" s="3"/>
      <c r="Q976" s="3"/>
      <c r="R976" s="3"/>
    </row>
    <row r="977">
      <c r="A977" s="3"/>
      <c r="H977" s="3"/>
      <c r="J977" s="4"/>
      <c r="K977" s="5"/>
      <c r="P977" s="3"/>
      <c r="Q977" s="3"/>
      <c r="R977" s="3"/>
    </row>
    <row r="978">
      <c r="A978" s="3"/>
      <c r="H978" s="3"/>
      <c r="J978" s="4"/>
      <c r="K978" s="5"/>
      <c r="P978" s="3"/>
      <c r="Q978" s="3"/>
      <c r="R978" s="3"/>
    </row>
    <row r="979">
      <c r="A979" s="3"/>
      <c r="H979" s="3"/>
      <c r="J979" s="4"/>
      <c r="K979" s="5"/>
      <c r="P979" s="3"/>
      <c r="Q979" s="3"/>
      <c r="R979" s="3"/>
    </row>
    <row r="980">
      <c r="A980" s="3"/>
      <c r="H980" s="3"/>
      <c r="J980" s="4"/>
      <c r="K980" s="5"/>
      <c r="P980" s="3"/>
      <c r="Q980" s="3"/>
      <c r="R980" s="3"/>
    </row>
    <row r="981">
      <c r="A981" s="3"/>
      <c r="H981" s="3"/>
      <c r="J981" s="4"/>
      <c r="K981" s="5"/>
      <c r="P981" s="3"/>
      <c r="Q981" s="3"/>
      <c r="R981" s="3"/>
    </row>
    <row r="982">
      <c r="A982" s="3"/>
      <c r="H982" s="3"/>
      <c r="J982" s="4"/>
      <c r="K982" s="5"/>
      <c r="P982" s="3"/>
      <c r="Q982" s="3"/>
      <c r="R982" s="3"/>
    </row>
    <row r="983">
      <c r="A983" s="3"/>
      <c r="H983" s="3"/>
      <c r="J983" s="4"/>
      <c r="K983" s="5"/>
      <c r="P983" s="3"/>
      <c r="Q983" s="3"/>
      <c r="R983" s="3"/>
    </row>
    <row r="984">
      <c r="A984" s="3"/>
      <c r="H984" s="3"/>
      <c r="J984" s="4"/>
      <c r="K984" s="5"/>
      <c r="P984" s="3"/>
      <c r="Q984" s="3"/>
      <c r="R984" s="3"/>
    </row>
    <row r="985">
      <c r="A985" s="3"/>
      <c r="H985" s="3"/>
      <c r="J985" s="4"/>
      <c r="K985" s="5"/>
      <c r="P985" s="3"/>
      <c r="Q985" s="3"/>
      <c r="R985" s="3"/>
    </row>
    <row r="986">
      <c r="A986" s="3"/>
      <c r="H986" s="3"/>
      <c r="J986" s="4"/>
      <c r="K986" s="5"/>
      <c r="P986" s="3"/>
      <c r="Q986" s="3"/>
      <c r="R986" s="3"/>
    </row>
    <row r="987">
      <c r="A987" s="3"/>
      <c r="H987" s="3"/>
      <c r="J987" s="4"/>
      <c r="K987" s="5"/>
      <c r="P987" s="3"/>
      <c r="Q987" s="3"/>
      <c r="R987" s="3"/>
    </row>
    <row r="988">
      <c r="A988" s="3"/>
      <c r="H988" s="3"/>
      <c r="J988" s="4"/>
      <c r="K988" s="5"/>
      <c r="P988" s="3"/>
      <c r="Q988" s="3"/>
      <c r="R988" s="3"/>
    </row>
    <row r="989">
      <c r="A989" s="3"/>
      <c r="H989" s="3"/>
      <c r="J989" s="4"/>
      <c r="K989" s="5"/>
      <c r="P989" s="3"/>
      <c r="Q989" s="3"/>
      <c r="R989" s="3"/>
    </row>
    <row r="990">
      <c r="A990" s="3"/>
      <c r="H990" s="3"/>
      <c r="J990" s="4"/>
      <c r="K990" s="5"/>
      <c r="P990" s="3"/>
      <c r="Q990" s="3"/>
      <c r="R990" s="3"/>
    </row>
    <row r="991">
      <c r="A991" s="3"/>
      <c r="H991" s="3"/>
      <c r="J991" s="4"/>
      <c r="K991" s="5"/>
      <c r="P991" s="3"/>
      <c r="Q991" s="3"/>
      <c r="R991" s="3"/>
    </row>
    <row r="992">
      <c r="A992" s="3"/>
      <c r="H992" s="3"/>
      <c r="J992" s="4"/>
      <c r="K992" s="5"/>
      <c r="P992" s="3"/>
      <c r="Q992" s="3"/>
      <c r="R992" s="3"/>
    </row>
    <row r="993">
      <c r="A993" s="3"/>
      <c r="H993" s="3"/>
      <c r="J993" s="4"/>
      <c r="K993" s="5"/>
      <c r="P993" s="3"/>
      <c r="Q993" s="3"/>
      <c r="R993" s="3"/>
    </row>
    <row r="994">
      <c r="A994" s="3"/>
      <c r="H994" s="3"/>
      <c r="J994" s="4"/>
      <c r="K994" s="5"/>
      <c r="P994" s="3"/>
      <c r="Q994" s="3"/>
      <c r="R994" s="3"/>
    </row>
    <row r="995">
      <c r="A995" s="3"/>
      <c r="H995" s="3"/>
      <c r="J995" s="4"/>
      <c r="K995" s="5"/>
      <c r="P995" s="3"/>
      <c r="Q995" s="3"/>
      <c r="R995" s="3"/>
    </row>
    <row r="996">
      <c r="A996" s="3"/>
      <c r="H996" s="3"/>
      <c r="J996" s="4"/>
      <c r="K996" s="5"/>
      <c r="P996" s="3"/>
      <c r="Q996" s="3"/>
      <c r="R996" s="3"/>
    </row>
    <row r="997">
      <c r="A997" s="3"/>
      <c r="H997" s="3"/>
      <c r="J997" s="4"/>
      <c r="K997" s="5"/>
      <c r="P997" s="3"/>
      <c r="Q997" s="3"/>
      <c r="R997" s="3"/>
    </row>
    <row r="998">
      <c r="A998" s="3"/>
      <c r="H998" s="3"/>
      <c r="J998" s="4"/>
      <c r="K998" s="5"/>
      <c r="P998" s="3"/>
      <c r="Q998" s="3"/>
      <c r="R998" s="3"/>
    </row>
    <row r="999">
      <c r="A999" s="3"/>
      <c r="H999" s="3"/>
      <c r="J999" s="4"/>
      <c r="K999" s="5"/>
      <c r="P999" s="3"/>
      <c r="Q999" s="3"/>
      <c r="R999" s="3"/>
    </row>
    <row r="1000">
      <c r="A1000" s="3"/>
      <c r="H1000" s="3"/>
      <c r="J1000" s="4"/>
      <c r="K1000" s="5"/>
      <c r="P1000" s="3"/>
      <c r="Q1000" s="3"/>
      <c r="R1000" s="3"/>
    </row>
    <row r="1001">
      <c r="A1001" s="3"/>
      <c r="H1001" s="3"/>
      <c r="J1001" s="4"/>
      <c r="K1001" s="5"/>
      <c r="P1001" s="3"/>
      <c r="Q1001" s="3"/>
      <c r="R1001" s="3"/>
    </row>
    <row r="1002">
      <c r="A1002" s="3"/>
      <c r="H1002" s="3"/>
      <c r="J1002" s="4"/>
      <c r="K1002" s="5"/>
      <c r="P1002" s="3"/>
      <c r="Q1002" s="3"/>
      <c r="R1002" s="3"/>
    </row>
    <row r="1003">
      <c r="A1003" s="3"/>
      <c r="H1003" s="3"/>
      <c r="J1003" s="4"/>
      <c r="K1003" s="5"/>
      <c r="P1003" s="3"/>
      <c r="Q1003" s="3"/>
      <c r="R1003" s="3"/>
    </row>
    <row r="1004">
      <c r="A1004" s="3"/>
      <c r="H1004" s="3"/>
      <c r="J1004" s="4"/>
      <c r="K1004" s="5"/>
      <c r="P1004" s="3"/>
      <c r="Q1004" s="3"/>
      <c r="R1004" s="3"/>
    </row>
    <row r="1005">
      <c r="A1005" s="3"/>
      <c r="H1005" s="3"/>
      <c r="J1005" s="4"/>
      <c r="K1005" s="5"/>
      <c r="P1005" s="3"/>
      <c r="Q1005" s="3"/>
      <c r="R1005" s="3"/>
    </row>
    <row r="1006">
      <c r="A1006" s="3"/>
      <c r="H1006" s="3"/>
      <c r="J1006" s="4"/>
      <c r="K1006" s="5"/>
      <c r="P1006" s="3"/>
      <c r="Q1006" s="3"/>
      <c r="R1006" s="3"/>
    </row>
    <row r="1007">
      <c r="A1007" s="3"/>
      <c r="H1007" s="3"/>
      <c r="J1007" s="4"/>
      <c r="K1007" s="5"/>
      <c r="P1007" s="3"/>
      <c r="Q1007" s="3"/>
      <c r="R1007" s="3"/>
    </row>
    <row r="1008">
      <c r="A1008" s="3"/>
      <c r="H1008" s="3"/>
      <c r="J1008" s="4"/>
      <c r="K1008" s="5"/>
      <c r="P1008" s="3"/>
      <c r="Q1008" s="3"/>
      <c r="R1008" s="3"/>
    </row>
    <row r="1009">
      <c r="A1009" s="3"/>
      <c r="H1009" s="3"/>
      <c r="J1009" s="4"/>
      <c r="K1009" s="5"/>
      <c r="P1009" s="3"/>
      <c r="Q1009" s="3"/>
      <c r="R1009" s="3"/>
    </row>
    <row r="1010">
      <c r="A1010" s="3"/>
      <c r="H1010" s="3"/>
      <c r="J1010" s="4"/>
      <c r="K1010" s="5"/>
      <c r="P1010" s="3"/>
      <c r="Q1010" s="3"/>
      <c r="R1010" s="3"/>
    </row>
    <row r="1011">
      <c r="A1011" s="3"/>
      <c r="H1011" s="3"/>
      <c r="J1011" s="4"/>
      <c r="K1011" s="5"/>
      <c r="P1011" s="3"/>
      <c r="Q1011" s="3"/>
      <c r="R1011" s="3"/>
    </row>
    <row r="1012">
      <c r="A1012" s="3"/>
      <c r="H1012" s="3"/>
      <c r="J1012" s="4"/>
      <c r="K1012" s="5"/>
      <c r="P1012" s="3"/>
      <c r="Q1012" s="3"/>
      <c r="R1012" s="3"/>
    </row>
    <row r="1013">
      <c r="A1013" s="3"/>
      <c r="H1013" s="3"/>
      <c r="J1013" s="4"/>
      <c r="K1013" s="5"/>
      <c r="P1013" s="3"/>
      <c r="Q1013" s="3"/>
      <c r="R1013" s="3"/>
    </row>
    <row r="1014">
      <c r="A1014" s="3"/>
      <c r="H1014" s="3"/>
      <c r="J1014" s="4"/>
      <c r="K1014" s="5"/>
      <c r="P1014" s="3"/>
      <c r="Q1014" s="3"/>
      <c r="R1014" s="3"/>
    </row>
    <row r="1015">
      <c r="A1015" s="3"/>
      <c r="H1015" s="3"/>
      <c r="J1015" s="4"/>
      <c r="K1015" s="5"/>
      <c r="P1015" s="3"/>
      <c r="Q1015" s="3"/>
      <c r="R1015" s="3"/>
    </row>
    <row r="1016">
      <c r="A1016" s="3"/>
      <c r="H1016" s="3"/>
      <c r="J1016" s="4"/>
      <c r="K1016" s="5"/>
      <c r="P1016" s="3"/>
      <c r="Q1016" s="3"/>
      <c r="R1016" s="3"/>
    </row>
    <row r="1017">
      <c r="A1017" s="3"/>
      <c r="H1017" s="3"/>
      <c r="J1017" s="4"/>
      <c r="K1017" s="5"/>
      <c r="P1017" s="3"/>
      <c r="Q1017" s="3"/>
      <c r="R1017" s="3"/>
    </row>
    <row r="1018">
      <c r="A1018" s="3"/>
      <c r="H1018" s="3"/>
      <c r="J1018" s="4"/>
      <c r="K1018" s="5"/>
      <c r="P1018" s="3"/>
      <c r="Q1018" s="3"/>
      <c r="R1018" s="3"/>
    </row>
    <row r="1019">
      <c r="A1019" s="3"/>
      <c r="H1019" s="3"/>
      <c r="J1019" s="4"/>
      <c r="K1019" s="5"/>
      <c r="P1019" s="3"/>
      <c r="Q1019" s="3"/>
      <c r="R1019" s="3"/>
    </row>
    <row r="1020">
      <c r="A1020" s="3"/>
      <c r="H1020" s="3"/>
      <c r="J1020" s="4"/>
      <c r="K1020" s="5"/>
      <c r="P1020" s="3"/>
      <c r="Q1020" s="3"/>
      <c r="R1020" s="3"/>
    </row>
    <row r="1021">
      <c r="A1021" s="3"/>
      <c r="H1021" s="3"/>
      <c r="J1021" s="4"/>
      <c r="K1021" s="5"/>
      <c r="P1021" s="3"/>
      <c r="Q1021" s="3"/>
      <c r="R1021" s="3"/>
    </row>
    <row r="1022">
      <c r="A1022" s="3"/>
      <c r="H1022" s="3"/>
      <c r="J1022" s="4"/>
      <c r="K1022" s="5"/>
      <c r="P1022" s="3"/>
      <c r="Q1022" s="3"/>
      <c r="R1022" s="3"/>
    </row>
    <row r="1023">
      <c r="A1023" s="3"/>
      <c r="H1023" s="3"/>
      <c r="J1023" s="4"/>
      <c r="K1023" s="5"/>
      <c r="P1023" s="3"/>
      <c r="Q1023" s="3"/>
      <c r="R1023" s="3"/>
    </row>
    <row r="1024">
      <c r="A1024" s="3"/>
      <c r="H1024" s="3"/>
      <c r="J1024" s="4"/>
      <c r="K1024" s="5"/>
      <c r="P1024" s="3"/>
      <c r="Q1024" s="3"/>
      <c r="R1024" s="3"/>
    </row>
    <row r="1025">
      <c r="A1025" s="3"/>
      <c r="H1025" s="3"/>
      <c r="J1025" s="4"/>
      <c r="K1025" s="5"/>
      <c r="P1025" s="3"/>
      <c r="Q1025" s="3"/>
      <c r="R1025" s="3"/>
    </row>
    <row r="1026">
      <c r="A1026" s="3"/>
      <c r="H1026" s="3"/>
      <c r="J1026" s="4"/>
      <c r="K1026" s="5"/>
      <c r="P1026" s="3"/>
      <c r="Q1026" s="3"/>
      <c r="R1026" s="3"/>
    </row>
    <row r="1027">
      <c r="A1027" s="3"/>
      <c r="H1027" s="3"/>
      <c r="J1027" s="4"/>
      <c r="K1027" s="5"/>
      <c r="P1027" s="3"/>
      <c r="Q1027" s="3"/>
      <c r="R1027" s="3"/>
    </row>
    <row r="1028">
      <c r="A1028" s="3"/>
      <c r="H1028" s="3"/>
      <c r="J1028" s="4"/>
      <c r="K1028" s="5"/>
      <c r="P1028" s="3"/>
      <c r="Q1028" s="3"/>
      <c r="R1028" s="3"/>
    </row>
    <row r="1029">
      <c r="A1029" s="3"/>
      <c r="H1029" s="3"/>
      <c r="J1029" s="4"/>
      <c r="K1029" s="5"/>
      <c r="P1029" s="3"/>
      <c r="Q1029" s="3"/>
      <c r="R1029" s="3"/>
    </row>
    <row r="1030">
      <c r="A1030" s="3"/>
      <c r="H1030" s="3"/>
      <c r="J1030" s="4"/>
      <c r="K1030" s="5"/>
      <c r="P1030" s="3"/>
      <c r="Q1030" s="3"/>
      <c r="R1030" s="3"/>
    </row>
    <row r="1031">
      <c r="A1031" s="3"/>
      <c r="H1031" s="3"/>
      <c r="J1031" s="4"/>
      <c r="K1031" s="5"/>
      <c r="P1031" s="3"/>
      <c r="Q1031" s="3"/>
      <c r="R1031" s="3"/>
    </row>
    <row r="1032">
      <c r="A1032" s="3"/>
      <c r="H1032" s="3"/>
      <c r="J1032" s="4"/>
      <c r="K1032" s="5"/>
      <c r="P1032" s="3"/>
      <c r="Q1032" s="3"/>
      <c r="R1032" s="3"/>
    </row>
    <row r="1033">
      <c r="A1033" s="3"/>
      <c r="H1033" s="3"/>
      <c r="J1033" s="4"/>
      <c r="K1033" s="5"/>
      <c r="P1033" s="3"/>
      <c r="Q1033" s="3"/>
      <c r="R1033" s="3"/>
    </row>
    <row r="1034">
      <c r="A1034" s="3"/>
      <c r="H1034" s="3"/>
      <c r="J1034" s="4"/>
      <c r="K1034" s="5"/>
      <c r="P1034" s="3"/>
      <c r="Q1034" s="3"/>
      <c r="R1034" s="3"/>
    </row>
    <row r="1035">
      <c r="A1035" s="3"/>
      <c r="H1035" s="3"/>
      <c r="J1035" s="4"/>
      <c r="K1035" s="5"/>
      <c r="P1035" s="3"/>
      <c r="Q1035" s="3"/>
      <c r="R1035" s="3"/>
    </row>
    <row r="1036">
      <c r="A1036" s="3"/>
      <c r="H1036" s="3"/>
      <c r="J1036" s="4"/>
      <c r="K1036" s="5"/>
      <c r="P1036" s="3"/>
      <c r="Q1036" s="3"/>
      <c r="R1036" s="3"/>
    </row>
    <row r="1037">
      <c r="A1037" s="3"/>
      <c r="H1037" s="3"/>
      <c r="J1037" s="4"/>
      <c r="K1037" s="5"/>
      <c r="P1037" s="3"/>
      <c r="Q1037" s="3"/>
      <c r="R1037" s="3"/>
    </row>
    <row r="1038">
      <c r="A1038" s="3"/>
      <c r="H1038" s="3"/>
      <c r="J1038" s="4"/>
      <c r="K1038" s="5"/>
      <c r="P1038" s="3"/>
      <c r="Q1038" s="3"/>
      <c r="R1038" s="3"/>
    </row>
    <row r="1039">
      <c r="A1039" s="3"/>
      <c r="H1039" s="3"/>
      <c r="J1039" s="4"/>
      <c r="K1039" s="5"/>
      <c r="P1039" s="3"/>
      <c r="Q1039" s="3"/>
      <c r="R1039" s="3"/>
    </row>
    <row r="1040">
      <c r="A1040" s="3"/>
      <c r="H1040" s="3"/>
      <c r="J1040" s="4"/>
      <c r="K1040" s="5"/>
      <c r="P1040" s="3"/>
      <c r="Q1040" s="3"/>
      <c r="R1040" s="3"/>
    </row>
    <row r="1041">
      <c r="A1041" s="3"/>
      <c r="H1041" s="3"/>
      <c r="J1041" s="4"/>
      <c r="K1041" s="5"/>
      <c r="P1041" s="3"/>
      <c r="Q1041" s="3"/>
      <c r="R1041" s="3"/>
    </row>
    <row r="1042">
      <c r="A1042" s="3"/>
      <c r="H1042" s="3"/>
      <c r="J1042" s="4"/>
      <c r="K1042" s="5"/>
      <c r="P1042" s="3"/>
      <c r="Q1042" s="3"/>
      <c r="R1042" s="3"/>
    </row>
    <row r="1043">
      <c r="A1043" s="3"/>
      <c r="H1043" s="3"/>
      <c r="J1043" s="4"/>
      <c r="K1043" s="5"/>
      <c r="P1043" s="3"/>
      <c r="Q1043" s="3"/>
      <c r="R1043" s="3"/>
    </row>
    <row r="1044">
      <c r="A1044" s="3"/>
      <c r="H1044" s="3"/>
      <c r="J1044" s="4"/>
      <c r="K1044" s="5"/>
      <c r="P1044" s="3"/>
      <c r="Q1044" s="3"/>
      <c r="R1044" s="3"/>
    </row>
    <row r="1045">
      <c r="A1045" s="3"/>
      <c r="H1045" s="3"/>
      <c r="J1045" s="4"/>
      <c r="K1045" s="5"/>
      <c r="P1045" s="3"/>
      <c r="Q1045" s="3"/>
      <c r="R1045" s="3"/>
    </row>
    <row r="1046">
      <c r="A1046" s="3"/>
      <c r="H1046" s="3"/>
      <c r="J1046" s="4"/>
      <c r="K1046" s="5"/>
      <c r="P1046" s="3"/>
      <c r="Q1046" s="3"/>
      <c r="R1046" s="3"/>
    </row>
    <row r="1047">
      <c r="A1047" s="3"/>
      <c r="H1047" s="3"/>
      <c r="J1047" s="4"/>
      <c r="K1047" s="5"/>
      <c r="P1047" s="3"/>
      <c r="Q1047" s="3"/>
      <c r="R1047" s="3"/>
    </row>
    <row r="1048">
      <c r="A1048" s="3"/>
      <c r="H1048" s="3"/>
      <c r="J1048" s="4"/>
      <c r="K1048" s="5"/>
      <c r="P1048" s="3"/>
      <c r="Q1048" s="3"/>
      <c r="R1048" s="3"/>
    </row>
    <row r="1049">
      <c r="A1049" s="3"/>
      <c r="H1049" s="3"/>
      <c r="J1049" s="4"/>
      <c r="K1049" s="5"/>
      <c r="P1049" s="3"/>
      <c r="Q1049" s="3"/>
      <c r="R1049" s="3"/>
    </row>
    <row r="1050">
      <c r="A1050" s="3"/>
      <c r="H1050" s="3"/>
      <c r="J1050" s="4"/>
      <c r="K1050" s="5"/>
      <c r="P1050" s="3"/>
      <c r="Q1050" s="3"/>
      <c r="R1050" s="3"/>
    </row>
    <row r="1051">
      <c r="A1051" s="3"/>
      <c r="H1051" s="3"/>
      <c r="J1051" s="4"/>
      <c r="K1051" s="5"/>
      <c r="P1051" s="3"/>
      <c r="Q1051" s="3"/>
      <c r="R1051" s="3"/>
    </row>
    <row r="1052">
      <c r="A1052" s="3"/>
      <c r="H1052" s="3"/>
      <c r="J1052" s="4"/>
      <c r="K1052" s="5"/>
      <c r="P1052" s="3"/>
      <c r="Q1052" s="3"/>
      <c r="R1052" s="3"/>
    </row>
    <row r="1053">
      <c r="A1053" s="3"/>
      <c r="H1053" s="3"/>
      <c r="J1053" s="4"/>
      <c r="K1053" s="5"/>
      <c r="P1053" s="3"/>
      <c r="Q1053" s="3"/>
      <c r="R1053" s="3"/>
    </row>
    <row r="1054">
      <c r="A1054" s="3"/>
      <c r="H1054" s="3"/>
      <c r="J1054" s="4"/>
      <c r="K1054" s="5"/>
      <c r="P1054" s="3"/>
      <c r="Q1054" s="3"/>
      <c r="R1054" s="3"/>
    </row>
    <row r="1055">
      <c r="A1055" s="3"/>
      <c r="H1055" s="3"/>
      <c r="J1055" s="4"/>
      <c r="K1055" s="5"/>
      <c r="P1055" s="3"/>
      <c r="Q1055" s="3"/>
      <c r="R1055" s="3"/>
    </row>
    <row r="1056">
      <c r="A1056" s="3"/>
      <c r="H1056" s="3"/>
      <c r="J1056" s="4"/>
      <c r="K1056" s="5"/>
      <c r="P1056" s="3"/>
      <c r="Q1056" s="3"/>
      <c r="R1056" s="3"/>
    </row>
    <row r="1057">
      <c r="A1057" s="3"/>
      <c r="H1057" s="3"/>
      <c r="J1057" s="4"/>
      <c r="K1057" s="5"/>
      <c r="P1057" s="3"/>
      <c r="Q1057" s="3"/>
      <c r="R1057" s="3"/>
    </row>
    <row r="1058">
      <c r="A1058" s="3"/>
      <c r="H1058" s="3"/>
      <c r="J1058" s="4"/>
      <c r="K1058" s="5"/>
      <c r="P1058" s="3"/>
      <c r="Q1058" s="3"/>
      <c r="R1058" s="3"/>
    </row>
    <row r="1059">
      <c r="A1059" s="3"/>
      <c r="H1059" s="3"/>
      <c r="J1059" s="4"/>
      <c r="K1059" s="5"/>
      <c r="P1059" s="3"/>
      <c r="Q1059" s="3"/>
      <c r="R1059" s="3"/>
    </row>
    <row r="1060">
      <c r="A1060" s="3"/>
      <c r="H1060" s="3"/>
      <c r="J1060" s="4"/>
      <c r="K1060" s="5"/>
      <c r="P1060" s="3"/>
      <c r="Q1060" s="3"/>
      <c r="R1060" s="3"/>
    </row>
    <row r="1061">
      <c r="A1061" s="3"/>
      <c r="H1061" s="3"/>
      <c r="J1061" s="4"/>
      <c r="K1061" s="5"/>
      <c r="P1061" s="3"/>
      <c r="Q1061" s="3"/>
      <c r="R1061" s="3"/>
    </row>
    <row r="1062">
      <c r="A1062" s="3"/>
      <c r="H1062" s="3"/>
      <c r="J1062" s="4"/>
      <c r="K1062" s="5"/>
      <c r="P1062" s="3"/>
      <c r="Q1062" s="3"/>
      <c r="R1062" s="3"/>
    </row>
    <row r="1063">
      <c r="A1063" s="3"/>
      <c r="H1063" s="3"/>
      <c r="J1063" s="4"/>
      <c r="K1063" s="5"/>
      <c r="P1063" s="3"/>
      <c r="Q1063" s="3"/>
      <c r="R1063" s="3"/>
    </row>
    <row r="1064">
      <c r="A1064" s="3"/>
      <c r="H1064" s="3"/>
      <c r="J1064" s="4"/>
      <c r="K1064" s="5"/>
      <c r="P1064" s="3"/>
      <c r="Q1064" s="3"/>
      <c r="R1064" s="3"/>
    </row>
    <row r="1065">
      <c r="A1065" s="3"/>
      <c r="H1065" s="3"/>
      <c r="J1065" s="4"/>
      <c r="K1065" s="5"/>
      <c r="P1065" s="3"/>
      <c r="Q1065" s="3"/>
      <c r="R1065" s="3"/>
    </row>
    <row r="1066">
      <c r="A1066" s="3"/>
      <c r="H1066" s="3"/>
      <c r="J1066" s="4"/>
      <c r="K1066" s="5"/>
      <c r="P1066" s="3"/>
      <c r="Q1066" s="3"/>
      <c r="R1066" s="3"/>
    </row>
    <row r="1067">
      <c r="A1067" s="3"/>
      <c r="H1067" s="3"/>
      <c r="J1067" s="4"/>
      <c r="K1067" s="5"/>
      <c r="P1067" s="3"/>
      <c r="Q1067" s="3"/>
      <c r="R1067" s="3"/>
    </row>
    <row r="1068">
      <c r="A1068" s="3"/>
      <c r="H1068" s="3"/>
      <c r="J1068" s="4"/>
      <c r="K1068" s="5"/>
      <c r="P1068" s="3"/>
      <c r="Q1068" s="3"/>
      <c r="R1068" s="3"/>
    </row>
    <row r="1069">
      <c r="A1069" s="3"/>
      <c r="H1069" s="3"/>
      <c r="J1069" s="4"/>
      <c r="K1069" s="5"/>
      <c r="P1069" s="3"/>
      <c r="Q1069" s="3"/>
      <c r="R1069" s="3"/>
    </row>
    <row r="1070">
      <c r="A1070" s="3"/>
      <c r="H1070" s="3"/>
      <c r="J1070" s="4"/>
      <c r="K1070" s="5"/>
      <c r="P1070" s="3"/>
      <c r="Q1070" s="3"/>
      <c r="R1070" s="3"/>
    </row>
    <row r="1071">
      <c r="A1071" s="3"/>
      <c r="H1071" s="3"/>
      <c r="J1071" s="4"/>
      <c r="K1071" s="5"/>
      <c r="P1071" s="3"/>
      <c r="Q1071" s="3"/>
      <c r="R1071" s="3"/>
    </row>
    <row r="1072">
      <c r="A1072" s="3"/>
      <c r="H1072" s="3"/>
      <c r="J1072" s="4"/>
      <c r="K1072" s="5"/>
      <c r="P1072" s="3"/>
      <c r="Q1072" s="3"/>
      <c r="R1072" s="3"/>
    </row>
    <row r="1073">
      <c r="A1073" s="3"/>
      <c r="H1073" s="3"/>
      <c r="J1073" s="4"/>
      <c r="K1073" s="5"/>
      <c r="P1073" s="3"/>
      <c r="Q1073" s="3"/>
      <c r="R1073" s="3"/>
    </row>
    <row r="1074">
      <c r="A1074" s="3"/>
      <c r="H1074" s="3"/>
      <c r="J1074" s="4"/>
      <c r="K1074" s="5"/>
      <c r="P1074" s="3"/>
      <c r="Q1074" s="3"/>
      <c r="R1074" s="3"/>
    </row>
    <row r="1075">
      <c r="A1075" s="3"/>
      <c r="H1075" s="3"/>
      <c r="J1075" s="4"/>
      <c r="K1075" s="5"/>
      <c r="P1075" s="3"/>
      <c r="Q1075" s="3"/>
      <c r="R1075" s="3"/>
    </row>
    <row r="1076">
      <c r="A1076" s="3"/>
      <c r="H1076" s="3"/>
      <c r="J1076" s="4"/>
      <c r="K1076" s="5"/>
      <c r="P1076" s="3"/>
      <c r="Q1076" s="3"/>
      <c r="R1076" s="3"/>
    </row>
    <row r="1077">
      <c r="A1077" s="3"/>
      <c r="H1077" s="3"/>
      <c r="J1077" s="4"/>
      <c r="K1077" s="5"/>
      <c r="P1077" s="3"/>
      <c r="Q1077" s="3"/>
      <c r="R1077" s="3"/>
    </row>
    <row r="1078">
      <c r="A1078" s="3"/>
      <c r="H1078" s="3"/>
      <c r="J1078" s="4"/>
      <c r="K1078" s="5"/>
      <c r="P1078" s="3"/>
      <c r="Q1078" s="3"/>
      <c r="R1078" s="3"/>
    </row>
    <row r="1079">
      <c r="A1079" s="3"/>
      <c r="H1079" s="3"/>
      <c r="J1079" s="4"/>
      <c r="K1079" s="5"/>
      <c r="P1079" s="3"/>
      <c r="Q1079" s="3"/>
      <c r="R1079" s="3"/>
    </row>
    <row r="1080">
      <c r="A1080" s="3"/>
      <c r="H1080" s="3"/>
      <c r="J1080" s="4"/>
      <c r="K1080" s="5"/>
      <c r="P1080" s="3"/>
      <c r="Q1080" s="3"/>
      <c r="R1080" s="3"/>
    </row>
    <row r="1081">
      <c r="A1081" s="3"/>
      <c r="H1081" s="3"/>
      <c r="J1081" s="4"/>
      <c r="K1081" s="5"/>
      <c r="P1081" s="3"/>
      <c r="Q1081" s="3"/>
      <c r="R1081" s="3"/>
    </row>
    <row r="1082">
      <c r="A1082" s="3"/>
      <c r="H1082" s="3"/>
      <c r="J1082" s="4"/>
      <c r="K1082" s="5"/>
      <c r="P1082" s="3"/>
      <c r="Q1082" s="3"/>
      <c r="R1082" s="3"/>
    </row>
    <row r="1083">
      <c r="A1083" s="3"/>
      <c r="H1083" s="3"/>
      <c r="J1083" s="4"/>
      <c r="K1083" s="5"/>
      <c r="P1083" s="3"/>
      <c r="Q1083" s="3"/>
      <c r="R1083" s="3"/>
    </row>
    <row r="1084">
      <c r="A1084" s="3"/>
      <c r="H1084" s="3"/>
      <c r="J1084" s="4"/>
      <c r="K1084" s="5"/>
      <c r="P1084" s="3"/>
      <c r="Q1084" s="3"/>
      <c r="R1084" s="3"/>
    </row>
    <row r="1085">
      <c r="A1085" s="3"/>
      <c r="H1085" s="3"/>
      <c r="J1085" s="4"/>
      <c r="K1085" s="5"/>
      <c r="P1085" s="3"/>
      <c r="Q1085" s="3"/>
      <c r="R1085" s="3"/>
    </row>
    <row r="1086">
      <c r="A1086" s="3"/>
      <c r="H1086" s="3"/>
      <c r="J1086" s="4"/>
      <c r="K1086" s="5"/>
      <c r="P1086" s="3"/>
      <c r="Q1086" s="3"/>
      <c r="R1086" s="3"/>
    </row>
    <row r="1087">
      <c r="A1087" s="3"/>
      <c r="H1087" s="3"/>
      <c r="J1087" s="4"/>
      <c r="K1087" s="5"/>
      <c r="P1087" s="3"/>
      <c r="Q1087" s="3"/>
      <c r="R1087" s="3"/>
    </row>
    <row r="1088">
      <c r="A1088" s="3"/>
      <c r="H1088" s="3"/>
      <c r="J1088" s="4"/>
      <c r="K1088" s="5"/>
      <c r="P1088" s="3"/>
      <c r="Q1088" s="3"/>
      <c r="R1088" s="3"/>
    </row>
    <row r="1089">
      <c r="A1089" s="3"/>
      <c r="H1089" s="3"/>
      <c r="J1089" s="4"/>
      <c r="K1089" s="5"/>
      <c r="P1089" s="3"/>
      <c r="Q1089" s="3"/>
      <c r="R1089" s="3"/>
    </row>
    <row r="1090">
      <c r="A1090" s="3"/>
      <c r="H1090" s="3"/>
      <c r="J1090" s="4"/>
      <c r="K1090" s="5"/>
      <c r="P1090" s="3"/>
      <c r="Q1090" s="3"/>
      <c r="R1090" s="3"/>
    </row>
    <row r="1091">
      <c r="A1091" s="3"/>
      <c r="H1091" s="3"/>
      <c r="J1091" s="4"/>
      <c r="K1091" s="5"/>
      <c r="P1091" s="3"/>
      <c r="Q1091" s="3"/>
      <c r="R1091" s="3"/>
    </row>
    <row r="1092">
      <c r="A1092" s="3"/>
      <c r="H1092" s="3"/>
      <c r="J1092" s="4"/>
      <c r="K1092" s="5"/>
      <c r="P1092" s="3"/>
      <c r="Q1092" s="3"/>
      <c r="R1092" s="3"/>
    </row>
    <row r="1093">
      <c r="A1093" s="3"/>
      <c r="H1093" s="3"/>
      <c r="J1093" s="4"/>
      <c r="K1093" s="5"/>
      <c r="P1093" s="3"/>
      <c r="Q1093" s="3"/>
      <c r="R1093" s="3"/>
    </row>
    <row r="1094">
      <c r="A1094" s="3"/>
      <c r="H1094" s="3"/>
      <c r="J1094" s="4"/>
      <c r="K1094" s="5"/>
      <c r="P1094" s="3"/>
      <c r="Q1094" s="3"/>
      <c r="R1094" s="3"/>
    </row>
    <row r="1095">
      <c r="A1095" s="3"/>
      <c r="H1095" s="3"/>
      <c r="J1095" s="4"/>
      <c r="K1095" s="5"/>
      <c r="P1095" s="3"/>
      <c r="Q1095" s="3"/>
      <c r="R1095" s="3"/>
    </row>
    <row r="1096">
      <c r="A1096" s="3"/>
      <c r="H1096" s="3"/>
      <c r="J1096" s="4"/>
      <c r="K1096" s="5"/>
      <c r="P1096" s="3"/>
      <c r="Q1096" s="3"/>
      <c r="R1096" s="3"/>
    </row>
    <row r="1097">
      <c r="A1097" s="3"/>
      <c r="H1097" s="3"/>
      <c r="J1097" s="4"/>
      <c r="K1097" s="5"/>
      <c r="P1097" s="3"/>
      <c r="Q1097" s="3"/>
      <c r="R1097" s="3"/>
    </row>
    <row r="1098">
      <c r="A1098" s="3"/>
      <c r="H1098" s="3"/>
      <c r="J1098" s="4"/>
      <c r="K1098" s="5"/>
      <c r="P1098" s="3"/>
      <c r="Q1098" s="3"/>
      <c r="R1098" s="3"/>
    </row>
    <row r="1099">
      <c r="A1099" s="3"/>
      <c r="H1099" s="3"/>
      <c r="J1099" s="4"/>
      <c r="K1099" s="5"/>
      <c r="P1099" s="3"/>
      <c r="Q1099" s="3"/>
      <c r="R1099" s="3"/>
    </row>
    <row r="1100">
      <c r="A1100" s="3"/>
      <c r="H1100" s="3"/>
      <c r="J1100" s="4"/>
      <c r="K1100" s="5"/>
      <c r="P1100" s="3"/>
      <c r="Q1100" s="3"/>
      <c r="R1100" s="3"/>
    </row>
    <row r="1101">
      <c r="A1101" s="3"/>
      <c r="H1101" s="3"/>
      <c r="J1101" s="4"/>
      <c r="K1101" s="5"/>
      <c r="P1101" s="3"/>
      <c r="Q1101" s="3"/>
      <c r="R1101" s="3"/>
    </row>
    <row r="1102">
      <c r="A1102" s="3"/>
      <c r="H1102" s="3"/>
      <c r="J1102" s="4"/>
      <c r="K1102" s="5"/>
      <c r="P1102" s="3"/>
      <c r="Q1102" s="3"/>
      <c r="R1102" s="3"/>
    </row>
    <row r="1103">
      <c r="A1103" s="3"/>
      <c r="H1103" s="3"/>
      <c r="J1103" s="4"/>
      <c r="K1103" s="5"/>
      <c r="P1103" s="3"/>
      <c r="Q1103" s="3"/>
      <c r="R1103" s="3"/>
    </row>
    <row r="1104">
      <c r="A1104" s="3"/>
      <c r="H1104" s="3"/>
      <c r="J1104" s="4"/>
      <c r="K1104" s="5"/>
      <c r="P1104" s="3"/>
      <c r="Q1104" s="3"/>
      <c r="R1104" s="3"/>
    </row>
    <row r="1105">
      <c r="A1105" s="3"/>
      <c r="H1105" s="3"/>
      <c r="J1105" s="4"/>
      <c r="K1105" s="5"/>
      <c r="P1105" s="3"/>
      <c r="Q1105" s="3"/>
      <c r="R1105" s="3"/>
    </row>
    <row r="1106">
      <c r="A1106" s="3"/>
      <c r="H1106" s="3"/>
      <c r="J1106" s="4"/>
      <c r="K1106" s="5"/>
      <c r="P1106" s="3"/>
      <c r="Q1106" s="3"/>
      <c r="R1106" s="3"/>
    </row>
    <row r="1107">
      <c r="A1107" s="3"/>
      <c r="H1107" s="3"/>
      <c r="J1107" s="4"/>
      <c r="K1107" s="5"/>
      <c r="P1107" s="3"/>
      <c r="Q1107" s="3"/>
      <c r="R1107" s="3"/>
    </row>
    <row r="1108">
      <c r="A1108" s="3"/>
      <c r="H1108" s="3"/>
      <c r="J1108" s="4"/>
      <c r="K1108" s="5"/>
      <c r="P1108" s="3"/>
      <c r="Q1108" s="3"/>
      <c r="R1108" s="3"/>
    </row>
    <row r="1109">
      <c r="A1109" s="3"/>
      <c r="H1109" s="3"/>
      <c r="J1109" s="4"/>
      <c r="K1109" s="5"/>
      <c r="P1109" s="3"/>
      <c r="Q1109" s="3"/>
      <c r="R1109" s="3"/>
    </row>
    <row r="1110">
      <c r="A1110" s="3"/>
      <c r="H1110" s="3"/>
      <c r="J1110" s="4"/>
      <c r="K1110" s="5"/>
      <c r="P1110" s="3"/>
      <c r="Q1110" s="3"/>
      <c r="R1110" s="3"/>
    </row>
    <row r="1111">
      <c r="A1111" s="3"/>
      <c r="H1111" s="3"/>
      <c r="J1111" s="4"/>
      <c r="K1111" s="5"/>
      <c r="P1111" s="3"/>
      <c r="Q1111" s="3"/>
      <c r="R1111" s="3"/>
    </row>
    <row r="1112">
      <c r="A1112" s="3"/>
      <c r="H1112" s="3"/>
      <c r="J1112" s="4"/>
      <c r="K1112" s="5"/>
      <c r="P1112" s="3"/>
      <c r="Q1112" s="3"/>
      <c r="R1112" s="3"/>
    </row>
    <row r="1113">
      <c r="A1113" s="3"/>
      <c r="H1113" s="3"/>
      <c r="J1113" s="4"/>
      <c r="K1113" s="5"/>
      <c r="P1113" s="3"/>
      <c r="Q1113" s="3"/>
      <c r="R1113" s="3"/>
    </row>
    <row r="1114">
      <c r="A1114" s="3"/>
      <c r="H1114" s="3"/>
      <c r="J1114" s="4"/>
      <c r="K1114" s="5"/>
      <c r="P1114" s="3"/>
      <c r="Q1114" s="3"/>
      <c r="R1114" s="3"/>
    </row>
    <row r="1115">
      <c r="A1115" s="3"/>
      <c r="H1115" s="3"/>
      <c r="J1115" s="4"/>
      <c r="K1115" s="5"/>
      <c r="P1115" s="3"/>
      <c r="Q1115" s="3"/>
      <c r="R1115" s="3"/>
    </row>
    <row r="1116">
      <c r="A1116" s="3"/>
      <c r="H1116" s="3"/>
      <c r="J1116" s="4"/>
      <c r="K1116" s="5"/>
      <c r="P1116" s="3"/>
      <c r="Q1116" s="3"/>
      <c r="R1116" s="3"/>
    </row>
    <row r="1117">
      <c r="A1117" s="3"/>
      <c r="H1117" s="3"/>
      <c r="J1117" s="4"/>
      <c r="K1117" s="5"/>
      <c r="P1117" s="3"/>
      <c r="Q1117" s="3"/>
      <c r="R1117" s="3"/>
    </row>
    <row r="1118">
      <c r="A1118" s="3"/>
      <c r="H1118" s="3"/>
      <c r="J1118" s="4"/>
      <c r="K1118" s="5"/>
      <c r="P1118" s="3"/>
      <c r="Q1118" s="3"/>
      <c r="R1118" s="3"/>
    </row>
    <row r="1119">
      <c r="A1119" s="3"/>
      <c r="H1119" s="3"/>
      <c r="J1119" s="4"/>
      <c r="K1119" s="5"/>
      <c r="P1119" s="3"/>
      <c r="Q1119" s="3"/>
      <c r="R1119" s="3"/>
    </row>
    <row r="1120">
      <c r="A1120" s="3"/>
      <c r="H1120" s="3"/>
      <c r="J1120" s="4"/>
      <c r="K1120" s="5"/>
      <c r="P1120" s="3"/>
      <c r="Q1120" s="3"/>
      <c r="R1120" s="3"/>
    </row>
    <row r="1121">
      <c r="A1121" s="3"/>
      <c r="H1121" s="3"/>
      <c r="J1121" s="4"/>
      <c r="K1121" s="5"/>
      <c r="P1121" s="3"/>
      <c r="Q1121" s="3"/>
      <c r="R1121" s="3"/>
    </row>
    <row r="1122">
      <c r="A1122" s="3"/>
      <c r="H1122" s="3"/>
      <c r="J1122" s="4"/>
      <c r="K1122" s="5"/>
      <c r="P1122" s="3"/>
      <c r="Q1122" s="3"/>
      <c r="R1122" s="3"/>
    </row>
    <row r="1123">
      <c r="A1123" s="3"/>
      <c r="H1123" s="3"/>
      <c r="J1123" s="4"/>
      <c r="K1123" s="5"/>
      <c r="P1123" s="3"/>
      <c r="Q1123" s="3"/>
      <c r="R1123" s="3"/>
    </row>
    <row r="1124">
      <c r="A1124" s="3"/>
      <c r="H1124" s="3"/>
      <c r="J1124" s="4"/>
      <c r="K1124" s="5"/>
      <c r="P1124" s="3"/>
      <c r="Q1124" s="3"/>
      <c r="R1124" s="3"/>
    </row>
    <row r="1125">
      <c r="A1125" s="3"/>
      <c r="H1125" s="3"/>
      <c r="J1125" s="4"/>
      <c r="K1125" s="5"/>
      <c r="P1125" s="3"/>
      <c r="Q1125" s="3"/>
      <c r="R1125" s="3"/>
    </row>
    <row r="1126">
      <c r="A1126" s="3"/>
      <c r="H1126" s="3"/>
      <c r="J1126" s="4"/>
      <c r="K1126" s="5"/>
      <c r="P1126" s="3"/>
      <c r="Q1126" s="3"/>
      <c r="R1126" s="3"/>
    </row>
    <row r="1127">
      <c r="A1127" s="3"/>
      <c r="H1127" s="3"/>
      <c r="J1127" s="4"/>
      <c r="K1127" s="5"/>
      <c r="P1127" s="3"/>
      <c r="Q1127" s="3"/>
      <c r="R1127" s="3"/>
    </row>
    <row r="1128">
      <c r="A1128" s="3"/>
      <c r="H1128" s="3"/>
      <c r="J1128" s="4"/>
      <c r="K1128" s="5"/>
      <c r="P1128" s="3"/>
      <c r="Q1128" s="3"/>
      <c r="R1128" s="3"/>
    </row>
    <row r="1129">
      <c r="A1129" s="3"/>
      <c r="H1129" s="3"/>
      <c r="J1129" s="4"/>
      <c r="K1129" s="5"/>
      <c r="P1129" s="3"/>
      <c r="Q1129" s="3"/>
      <c r="R1129" s="3"/>
    </row>
    <row r="1130">
      <c r="A1130" s="3"/>
      <c r="H1130" s="3"/>
      <c r="J1130" s="4"/>
      <c r="K1130" s="5"/>
      <c r="P1130" s="3"/>
      <c r="Q1130" s="3"/>
      <c r="R1130" s="3"/>
    </row>
    <row r="1131">
      <c r="A1131" s="3"/>
      <c r="H1131" s="3"/>
      <c r="J1131" s="4"/>
      <c r="K1131" s="5"/>
      <c r="P1131" s="3"/>
      <c r="Q1131" s="3"/>
      <c r="R1131" s="3"/>
    </row>
    <row r="1132">
      <c r="A1132" s="3"/>
      <c r="H1132" s="3"/>
      <c r="J1132" s="4"/>
      <c r="K1132" s="5"/>
      <c r="P1132" s="3"/>
      <c r="Q1132" s="3"/>
      <c r="R1132" s="3"/>
    </row>
    <row r="1133">
      <c r="A1133" s="3"/>
      <c r="H1133" s="3"/>
      <c r="J1133" s="4"/>
      <c r="K1133" s="5"/>
      <c r="P1133" s="3"/>
      <c r="Q1133" s="3"/>
      <c r="R1133" s="3"/>
    </row>
    <row r="1134">
      <c r="A1134" s="3"/>
      <c r="H1134" s="3"/>
      <c r="J1134" s="4"/>
      <c r="K1134" s="5"/>
      <c r="P1134" s="3"/>
      <c r="Q1134" s="3"/>
      <c r="R1134" s="3"/>
    </row>
    <row r="1135">
      <c r="A1135" s="3"/>
      <c r="H1135" s="3"/>
      <c r="J1135" s="4"/>
      <c r="K1135" s="5"/>
      <c r="P1135" s="3"/>
      <c r="Q1135" s="3"/>
      <c r="R1135" s="3"/>
    </row>
    <row r="1136">
      <c r="A1136" s="3"/>
      <c r="H1136" s="3"/>
      <c r="J1136" s="4"/>
      <c r="K1136" s="5"/>
      <c r="P1136" s="3"/>
      <c r="Q1136" s="3"/>
      <c r="R1136" s="3"/>
    </row>
    <row r="1137">
      <c r="A1137" s="3"/>
      <c r="H1137" s="3"/>
      <c r="J1137" s="4"/>
      <c r="K1137" s="5"/>
      <c r="P1137" s="3"/>
      <c r="Q1137" s="3"/>
      <c r="R1137" s="3"/>
    </row>
    <row r="1138">
      <c r="A1138" s="3"/>
      <c r="H1138" s="3"/>
      <c r="J1138" s="4"/>
      <c r="K1138" s="5"/>
      <c r="P1138" s="3"/>
      <c r="Q1138" s="3"/>
      <c r="R1138" s="3"/>
    </row>
    <row r="1139">
      <c r="A1139" s="3"/>
      <c r="H1139" s="3"/>
      <c r="J1139" s="4"/>
      <c r="K1139" s="5"/>
      <c r="P1139" s="3"/>
      <c r="Q1139" s="3"/>
      <c r="R1139" s="3"/>
    </row>
    <row r="1140">
      <c r="A1140" s="3"/>
      <c r="H1140" s="3"/>
      <c r="J1140" s="4"/>
      <c r="K1140" s="5"/>
      <c r="P1140" s="3"/>
      <c r="Q1140" s="3"/>
      <c r="R1140" s="3"/>
    </row>
    <row r="1141">
      <c r="A1141" s="3"/>
      <c r="H1141" s="3"/>
      <c r="J1141" s="4"/>
      <c r="K1141" s="5"/>
      <c r="P1141" s="3"/>
      <c r="Q1141" s="3"/>
      <c r="R1141" s="3"/>
    </row>
    <row r="1142">
      <c r="A1142" s="3"/>
      <c r="H1142" s="3"/>
      <c r="J1142" s="4"/>
      <c r="K1142" s="5"/>
      <c r="P1142" s="3"/>
      <c r="Q1142" s="3"/>
      <c r="R1142" s="3"/>
    </row>
    <row r="1143">
      <c r="A1143" s="3"/>
      <c r="H1143" s="3"/>
      <c r="J1143" s="4"/>
      <c r="K1143" s="5"/>
      <c r="P1143" s="3"/>
      <c r="Q1143" s="3"/>
      <c r="R1143" s="3"/>
    </row>
  </sheetData>
  <conditionalFormatting sqref="C513:C1143">
    <cfRule type="expression" dxfId="0" priority="1">
      <formula>COUNTIF($C$2:C513,C513)&gt;1</formula>
    </cfRule>
  </conditionalFormatting>
  <conditionalFormatting sqref="B2:B1143">
    <cfRule type="expression" dxfId="0" priority="2">
      <formula>COUNTIF(B2:B2000,B2)&gt;1</formula>
    </cfRule>
  </conditionalFormatting>
  <hyperlinks>
    <hyperlink r:id="rId1" ref="S2"/>
    <hyperlink r:id="rId2" ref="S3"/>
    <hyperlink r:id="rId3" ref="S4"/>
    <hyperlink r:id="rId4" ref="S5"/>
    <hyperlink r:id="rId5" ref="S6"/>
    <hyperlink r:id="rId6" ref="S7"/>
    <hyperlink r:id="rId7" ref="S8"/>
    <hyperlink r:id="rId8" ref="S9"/>
    <hyperlink r:id="rId9" ref="S10"/>
    <hyperlink r:id="rId10" ref="S11"/>
    <hyperlink r:id="rId11" ref="S12"/>
    <hyperlink r:id="rId12" ref="S13"/>
    <hyperlink r:id="rId13" ref="S14"/>
    <hyperlink r:id="rId14" ref="S15"/>
    <hyperlink r:id="rId15" ref="S16"/>
    <hyperlink r:id="rId16" ref="S17"/>
    <hyperlink r:id="rId17" ref="S18"/>
    <hyperlink r:id="rId18" ref="S19"/>
    <hyperlink r:id="rId19" ref="S20"/>
    <hyperlink r:id="rId20" ref="S21"/>
    <hyperlink r:id="rId21" ref="S22"/>
    <hyperlink r:id="rId22" ref="S23"/>
    <hyperlink r:id="rId23" ref="S24"/>
    <hyperlink r:id="rId24" ref="S25"/>
    <hyperlink r:id="rId25" ref="S26"/>
    <hyperlink r:id="rId26" ref="S27"/>
    <hyperlink r:id="rId27" ref="S28"/>
    <hyperlink r:id="rId28" ref="S29"/>
    <hyperlink r:id="rId29" ref="S30"/>
    <hyperlink r:id="rId30" ref="S31"/>
    <hyperlink r:id="rId31" ref="S32"/>
    <hyperlink r:id="rId32" ref="S33"/>
    <hyperlink r:id="rId33" ref="S34"/>
    <hyperlink r:id="rId34" ref="S35"/>
    <hyperlink r:id="rId35" ref="S36"/>
    <hyperlink r:id="rId36" ref="S37"/>
    <hyperlink r:id="rId37" ref="S38"/>
    <hyperlink r:id="rId38" ref="S39"/>
    <hyperlink r:id="rId39" ref="S40"/>
    <hyperlink r:id="rId40" ref="S41"/>
    <hyperlink r:id="rId41" ref="S42"/>
    <hyperlink r:id="rId42" ref="S43"/>
    <hyperlink r:id="rId43" ref="S44"/>
    <hyperlink r:id="rId44" ref="S45"/>
    <hyperlink r:id="rId45" ref="S46"/>
    <hyperlink r:id="rId46" ref="S47"/>
    <hyperlink r:id="rId47" ref="S48"/>
    <hyperlink r:id="rId48" ref="S49"/>
    <hyperlink r:id="rId49" ref="S50"/>
    <hyperlink r:id="rId50" ref="S51"/>
    <hyperlink r:id="rId51" ref="S52"/>
    <hyperlink r:id="rId52" ref="S53"/>
    <hyperlink r:id="rId53" ref="S54"/>
    <hyperlink r:id="rId54" ref="S55"/>
    <hyperlink r:id="rId55" ref="S56"/>
    <hyperlink r:id="rId56" ref="S57"/>
    <hyperlink r:id="rId57" ref="S58"/>
    <hyperlink r:id="rId58" ref="S59"/>
    <hyperlink r:id="rId59" ref="S60"/>
    <hyperlink r:id="rId60" ref="S61"/>
    <hyperlink r:id="rId61" ref="S62"/>
    <hyperlink r:id="rId62" ref="S63"/>
    <hyperlink r:id="rId63" ref="S64"/>
    <hyperlink r:id="rId64" ref="S65"/>
    <hyperlink r:id="rId65" ref="S66"/>
    <hyperlink r:id="rId66" ref="S67"/>
    <hyperlink r:id="rId67" ref="S68"/>
    <hyperlink r:id="rId68" ref="S69"/>
    <hyperlink r:id="rId69" ref="S70"/>
    <hyperlink r:id="rId70" ref="S71"/>
    <hyperlink r:id="rId71" ref="S72"/>
    <hyperlink r:id="rId72" ref="S73"/>
    <hyperlink r:id="rId73" ref="S74"/>
    <hyperlink r:id="rId74" ref="S75"/>
    <hyperlink r:id="rId75" ref="S76"/>
    <hyperlink r:id="rId76" ref="S77"/>
    <hyperlink r:id="rId77" ref="S78"/>
    <hyperlink r:id="rId78" ref="S79"/>
    <hyperlink r:id="rId79" ref="S80"/>
    <hyperlink r:id="rId80" ref="S81"/>
    <hyperlink r:id="rId81" ref="S82"/>
    <hyperlink r:id="rId82" ref="S83"/>
    <hyperlink r:id="rId83" ref="S84"/>
    <hyperlink r:id="rId84" ref="S85"/>
    <hyperlink r:id="rId85" ref="S86"/>
    <hyperlink r:id="rId86" ref="S87"/>
    <hyperlink r:id="rId87" ref="S88"/>
    <hyperlink r:id="rId88" ref="S89"/>
    <hyperlink r:id="rId89" ref="S90"/>
    <hyperlink r:id="rId90" ref="S91"/>
    <hyperlink r:id="rId91" ref="S92"/>
    <hyperlink r:id="rId92" ref="S93"/>
    <hyperlink r:id="rId93" ref="S94"/>
    <hyperlink r:id="rId94" ref="S95"/>
    <hyperlink r:id="rId95" ref="S96"/>
    <hyperlink r:id="rId96" ref="S97"/>
    <hyperlink r:id="rId97" ref="S98"/>
    <hyperlink r:id="rId98" ref="S99"/>
    <hyperlink r:id="rId99" ref="S100"/>
    <hyperlink r:id="rId100" ref="S101"/>
    <hyperlink r:id="rId101" ref="S102"/>
    <hyperlink r:id="rId102" ref="S103"/>
    <hyperlink r:id="rId103" ref="S104"/>
    <hyperlink r:id="rId104" ref="S105"/>
    <hyperlink r:id="rId105" ref="S106"/>
    <hyperlink r:id="rId106" ref="S107"/>
    <hyperlink r:id="rId107" ref="S108"/>
    <hyperlink r:id="rId108" ref="S109"/>
    <hyperlink r:id="rId109" ref="S110"/>
    <hyperlink r:id="rId110" ref="S111"/>
    <hyperlink r:id="rId111" ref="S112"/>
    <hyperlink r:id="rId112" ref="S113"/>
    <hyperlink r:id="rId113" ref="S114"/>
    <hyperlink r:id="rId114" ref="S115"/>
    <hyperlink r:id="rId115" ref="S116"/>
    <hyperlink r:id="rId116" ref="S117"/>
    <hyperlink r:id="rId117" ref="S118"/>
    <hyperlink r:id="rId118" ref="S119"/>
    <hyperlink r:id="rId119" ref="S120"/>
    <hyperlink r:id="rId120" ref="S121"/>
    <hyperlink r:id="rId121" ref="S122"/>
    <hyperlink r:id="rId122" ref="S123"/>
    <hyperlink r:id="rId123" ref="S124"/>
    <hyperlink r:id="rId124" ref="S125"/>
    <hyperlink r:id="rId125" ref="S126"/>
    <hyperlink r:id="rId126" ref="S127"/>
    <hyperlink r:id="rId127" ref="S128"/>
    <hyperlink r:id="rId128" ref="S129"/>
    <hyperlink r:id="rId129" ref="S130"/>
    <hyperlink r:id="rId130" ref="S131"/>
    <hyperlink r:id="rId131" ref="S132"/>
    <hyperlink r:id="rId132" ref="S133"/>
    <hyperlink r:id="rId133" ref="S134"/>
    <hyperlink r:id="rId134" ref="S135"/>
    <hyperlink r:id="rId135" ref="S136"/>
    <hyperlink r:id="rId136" ref="S137"/>
    <hyperlink r:id="rId137" ref="S138"/>
    <hyperlink r:id="rId138" ref="S139"/>
    <hyperlink r:id="rId139" ref="S140"/>
    <hyperlink r:id="rId140" ref="S141"/>
    <hyperlink r:id="rId141" ref="S142"/>
    <hyperlink r:id="rId142" ref="S143"/>
    <hyperlink r:id="rId143" ref="S144"/>
    <hyperlink r:id="rId144" ref="S145"/>
    <hyperlink r:id="rId145" ref="S146"/>
    <hyperlink r:id="rId146" ref="S147"/>
    <hyperlink r:id="rId147" ref="S148"/>
    <hyperlink r:id="rId148" ref="S149"/>
    <hyperlink r:id="rId149" ref="S150"/>
    <hyperlink r:id="rId150" ref="S151"/>
    <hyperlink r:id="rId151" ref="S152"/>
    <hyperlink r:id="rId152" ref="S153"/>
    <hyperlink r:id="rId153" ref="S154"/>
    <hyperlink r:id="rId154" ref="S155"/>
    <hyperlink r:id="rId155" ref="S156"/>
    <hyperlink r:id="rId156" ref="S157"/>
    <hyperlink r:id="rId157" ref="S158"/>
    <hyperlink r:id="rId158" ref="S159"/>
    <hyperlink r:id="rId159" ref="S160"/>
    <hyperlink r:id="rId160" ref="S161"/>
    <hyperlink r:id="rId161" ref="S162"/>
    <hyperlink r:id="rId162" ref="S163"/>
    <hyperlink r:id="rId163" ref="S164"/>
    <hyperlink r:id="rId164" ref="S165"/>
    <hyperlink r:id="rId165" ref="S166"/>
    <hyperlink r:id="rId166" ref="S167"/>
    <hyperlink r:id="rId167" ref="S168"/>
    <hyperlink r:id="rId168" ref="S169"/>
    <hyperlink r:id="rId169" ref="S170"/>
    <hyperlink r:id="rId170" ref="S171"/>
    <hyperlink r:id="rId171" ref="S172"/>
    <hyperlink r:id="rId172" ref="S173"/>
    <hyperlink r:id="rId173" ref="S174"/>
    <hyperlink r:id="rId174" ref="S175"/>
    <hyperlink r:id="rId175" ref="S176"/>
    <hyperlink r:id="rId176" ref="S177"/>
    <hyperlink r:id="rId177" ref="S178"/>
    <hyperlink r:id="rId178" ref="S179"/>
    <hyperlink r:id="rId179" ref="S180"/>
    <hyperlink r:id="rId180" ref="S181"/>
    <hyperlink r:id="rId181" ref="S182"/>
    <hyperlink r:id="rId182" ref="S183"/>
    <hyperlink r:id="rId183" ref="S184"/>
    <hyperlink r:id="rId184" ref="S185"/>
    <hyperlink r:id="rId185" ref="S186"/>
    <hyperlink r:id="rId186" ref="S187"/>
    <hyperlink r:id="rId187" ref="S188"/>
    <hyperlink r:id="rId188" ref="S189"/>
    <hyperlink r:id="rId189" ref="S190"/>
    <hyperlink r:id="rId190" ref="S191"/>
    <hyperlink r:id="rId191" ref="S192"/>
    <hyperlink r:id="rId192" ref="S193"/>
    <hyperlink r:id="rId193" ref="S194"/>
    <hyperlink r:id="rId194" ref="S195"/>
    <hyperlink r:id="rId195" ref="S196"/>
    <hyperlink r:id="rId196" ref="S197"/>
    <hyperlink r:id="rId197" ref="S198"/>
    <hyperlink r:id="rId198" ref="S199"/>
    <hyperlink r:id="rId199" ref="S200"/>
    <hyperlink r:id="rId200" ref="S201"/>
    <hyperlink r:id="rId201" ref="S202"/>
    <hyperlink r:id="rId202" ref="S203"/>
    <hyperlink r:id="rId203" ref="S204"/>
    <hyperlink r:id="rId204" ref="S205"/>
    <hyperlink r:id="rId205" ref="S206"/>
    <hyperlink r:id="rId206" ref="S207"/>
    <hyperlink r:id="rId207" ref="S208"/>
    <hyperlink r:id="rId208" ref="S209"/>
    <hyperlink r:id="rId209" ref="S210"/>
    <hyperlink r:id="rId210" ref="S211"/>
    <hyperlink r:id="rId211" ref="S212"/>
    <hyperlink r:id="rId212" ref="S213"/>
    <hyperlink r:id="rId213" ref="S214"/>
    <hyperlink r:id="rId214" ref="S215"/>
    <hyperlink r:id="rId215" ref="S216"/>
    <hyperlink r:id="rId216" ref="S217"/>
    <hyperlink r:id="rId217" ref="S218"/>
    <hyperlink r:id="rId218" ref="S219"/>
    <hyperlink r:id="rId219" ref="S220"/>
    <hyperlink r:id="rId220" ref="S221"/>
    <hyperlink r:id="rId221" ref="S222"/>
    <hyperlink r:id="rId222" ref="S223"/>
    <hyperlink r:id="rId223" ref="S224"/>
    <hyperlink r:id="rId224" ref="S225"/>
    <hyperlink r:id="rId225" ref="S226"/>
    <hyperlink r:id="rId226" ref="S227"/>
    <hyperlink r:id="rId227" ref="S228"/>
    <hyperlink r:id="rId228" ref="S229"/>
    <hyperlink r:id="rId229" ref="S230"/>
    <hyperlink r:id="rId230" ref="S231"/>
    <hyperlink r:id="rId231" ref="S232"/>
    <hyperlink r:id="rId232" ref="S233"/>
    <hyperlink r:id="rId233" ref="S234"/>
    <hyperlink r:id="rId234" ref="S235"/>
    <hyperlink r:id="rId235" ref="S236"/>
    <hyperlink r:id="rId236" ref="S237"/>
    <hyperlink r:id="rId237" ref="S238"/>
    <hyperlink r:id="rId238" ref="S239"/>
    <hyperlink r:id="rId239" ref="S240"/>
    <hyperlink r:id="rId240" ref="S241"/>
    <hyperlink r:id="rId241" ref="S242"/>
    <hyperlink r:id="rId242" ref="S243"/>
    <hyperlink r:id="rId243" ref="S244"/>
    <hyperlink r:id="rId244" ref="S245"/>
    <hyperlink r:id="rId245" ref="S246"/>
    <hyperlink r:id="rId246" ref="S247"/>
    <hyperlink r:id="rId247" ref="S248"/>
    <hyperlink r:id="rId248" ref="S249"/>
    <hyperlink r:id="rId249" ref="S250"/>
    <hyperlink r:id="rId250" ref="S251"/>
    <hyperlink r:id="rId251" ref="S252"/>
    <hyperlink r:id="rId252" ref="S253"/>
    <hyperlink r:id="rId253" ref="S254"/>
    <hyperlink r:id="rId254" ref="S255"/>
    <hyperlink r:id="rId255" ref="S256"/>
    <hyperlink r:id="rId256" ref="S257"/>
    <hyperlink r:id="rId257" ref="S258"/>
    <hyperlink r:id="rId258" ref="S259"/>
    <hyperlink r:id="rId259" ref="S260"/>
    <hyperlink r:id="rId260" ref="S261"/>
    <hyperlink r:id="rId261" ref="S262"/>
    <hyperlink r:id="rId262" ref="S263"/>
    <hyperlink r:id="rId263" ref="S264"/>
    <hyperlink r:id="rId264" ref="S265"/>
    <hyperlink r:id="rId265" ref="S266"/>
    <hyperlink r:id="rId266" ref="S267"/>
    <hyperlink r:id="rId267" ref="S268"/>
    <hyperlink r:id="rId268" ref="S269"/>
    <hyperlink r:id="rId269" ref="S270"/>
    <hyperlink r:id="rId270" ref="S271"/>
    <hyperlink r:id="rId271" ref="S272"/>
    <hyperlink r:id="rId272" ref="S273"/>
    <hyperlink r:id="rId273" ref="S274"/>
    <hyperlink r:id="rId274" ref="S275"/>
    <hyperlink r:id="rId275" ref="S276"/>
    <hyperlink r:id="rId276" ref="S277"/>
    <hyperlink r:id="rId277" ref="S278"/>
    <hyperlink r:id="rId278" ref="S279"/>
    <hyperlink r:id="rId279" ref="S280"/>
    <hyperlink r:id="rId280" ref="S281"/>
    <hyperlink r:id="rId281" ref="S282"/>
    <hyperlink r:id="rId282" ref="S283"/>
    <hyperlink r:id="rId283" ref="S284"/>
    <hyperlink r:id="rId284" ref="S285"/>
    <hyperlink r:id="rId285" ref="S286"/>
    <hyperlink r:id="rId286" ref="S287"/>
    <hyperlink r:id="rId287" ref="S288"/>
    <hyperlink r:id="rId288" ref="S289"/>
    <hyperlink r:id="rId289" ref="S290"/>
    <hyperlink r:id="rId290" ref="S291"/>
    <hyperlink r:id="rId291" ref="S292"/>
    <hyperlink r:id="rId292" ref="S293"/>
    <hyperlink r:id="rId293" ref="S294"/>
    <hyperlink r:id="rId294" ref="S295"/>
    <hyperlink r:id="rId295" ref="S296"/>
    <hyperlink r:id="rId296" ref="S297"/>
    <hyperlink r:id="rId297" ref="S298"/>
    <hyperlink r:id="rId298" ref="S299"/>
    <hyperlink r:id="rId299" ref="S300"/>
    <hyperlink r:id="rId300" ref="S301"/>
    <hyperlink r:id="rId301" ref="S302"/>
    <hyperlink r:id="rId302" ref="S303"/>
    <hyperlink r:id="rId303" ref="S304"/>
    <hyperlink r:id="rId304" ref="S305"/>
    <hyperlink r:id="rId305" ref="S306"/>
    <hyperlink r:id="rId306" ref="S307"/>
    <hyperlink r:id="rId307" ref="S308"/>
    <hyperlink r:id="rId308" ref="S309"/>
    <hyperlink r:id="rId309" ref="S310"/>
    <hyperlink r:id="rId310" ref="S311"/>
    <hyperlink r:id="rId311" ref="S312"/>
    <hyperlink r:id="rId312" ref="S313"/>
    <hyperlink r:id="rId313" ref="S314"/>
    <hyperlink r:id="rId314" ref="S315"/>
    <hyperlink r:id="rId315" ref="S316"/>
    <hyperlink r:id="rId316" ref="S317"/>
    <hyperlink r:id="rId317" ref="S318"/>
    <hyperlink r:id="rId318" ref="S319"/>
    <hyperlink r:id="rId319" ref="S320"/>
    <hyperlink r:id="rId320" ref="S321"/>
    <hyperlink r:id="rId321" ref="S322"/>
    <hyperlink r:id="rId322" ref="S323"/>
    <hyperlink r:id="rId323" ref="S324"/>
    <hyperlink r:id="rId324" ref="S325"/>
    <hyperlink r:id="rId325" ref="S326"/>
    <hyperlink r:id="rId326" ref="S327"/>
    <hyperlink r:id="rId327" ref="S328"/>
    <hyperlink r:id="rId328" ref="S329"/>
    <hyperlink r:id="rId329" ref="S330"/>
    <hyperlink r:id="rId330" ref="S331"/>
    <hyperlink r:id="rId331" ref="S332"/>
    <hyperlink r:id="rId332" ref="S333"/>
    <hyperlink r:id="rId333" ref="S334"/>
    <hyperlink r:id="rId334" ref="S335"/>
    <hyperlink r:id="rId335" ref="S336"/>
    <hyperlink r:id="rId336" ref="S337"/>
    <hyperlink r:id="rId337" ref="S338"/>
    <hyperlink r:id="rId338" ref="S339"/>
    <hyperlink r:id="rId339" ref="S340"/>
    <hyperlink r:id="rId340" ref="S341"/>
    <hyperlink r:id="rId341" ref="S342"/>
    <hyperlink r:id="rId342" ref="S343"/>
    <hyperlink r:id="rId343" ref="S344"/>
    <hyperlink r:id="rId344" ref="S345"/>
    <hyperlink r:id="rId345" ref="S346"/>
    <hyperlink r:id="rId346" ref="S347"/>
    <hyperlink r:id="rId347" ref="S348"/>
    <hyperlink r:id="rId348" ref="S349"/>
    <hyperlink r:id="rId349" ref="S350"/>
    <hyperlink r:id="rId350" ref="S351"/>
    <hyperlink r:id="rId351" ref="S352"/>
    <hyperlink r:id="rId352" ref="S353"/>
    <hyperlink r:id="rId353" ref="S354"/>
    <hyperlink r:id="rId354" ref="S355"/>
    <hyperlink r:id="rId355" ref="S356"/>
    <hyperlink r:id="rId356" ref="S357"/>
    <hyperlink r:id="rId357" ref="S358"/>
    <hyperlink r:id="rId358" ref="S359"/>
    <hyperlink r:id="rId359" ref="S360"/>
    <hyperlink r:id="rId360" ref="S361"/>
    <hyperlink r:id="rId361" ref="S362"/>
    <hyperlink r:id="rId362" ref="S363"/>
    <hyperlink r:id="rId363" ref="S364"/>
    <hyperlink r:id="rId364" ref="S365"/>
    <hyperlink r:id="rId365" ref="S366"/>
    <hyperlink r:id="rId366" ref="S367"/>
    <hyperlink r:id="rId367" ref="S368"/>
    <hyperlink r:id="rId368" ref="S369"/>
    <hyperlink r:id="rId369" ref="S370"/>
    <hyperlink r:id="rId370" ref="S371"/>
    <hyperlink r:id="rId371" ref="S372"/>
    <hyperlink r:id="rId372" ref="S373"/>
    <hyperlink r:id="rId373" ref="S374"/>
    <hyperlink r:id="rId374" ref="S375"/>
    <hyperlink r:id="rId375" ref="S376"/>
    <hyperlink r:id="rId376" ref="S377"/>
    <hyperlink r:id="rId377" ref="S378"/>
    <hyperlink r:id="rId378" ref="S379"/>
    <hyperlink r:id="rId379" ref="S380"/>
    <hyperlink r:id="rId380" ref="S381"/>
    <hyperlink r:id="rId381" ref="S382"/>
    <hyperlink r:id="rId382" ref="S383"/>
    <hyperlink r:id="rId383" ref="S384"/>
    <hyperlink r:id="rId384" ref="S385"/>
    <hyperlink r:id="rId385" ref="S386"/>
    <hyperlink r:id="rId386" ref="S387"/>
    <hyperlink r:id="rId387" ref="S388"/>
    <hyperlink r:id="rId388" ref="S389"/>
    <hyperlink r:id="rId389" ref="S390"/>
    <hyperlink r:id="rId390" ref="S391"/>
    <hyperlink r:id="rId391" ref="S392"/>
    <hyperlink r:id="rId392" ref="S393"/>
    <hyperlink r:id="rId393" ref="S394"/>
    <hyperlink r:id="rId394" ref="S395"/>
    <hyperlink r:id="rId395" ref="S396"/>
    <hyperlink r:id="rId396" ref="S397"/>
    <hyperlink r:id="rId397" ref="S398"/>
    <hyperlink r:id="rId398" ref="S399"/>
    <hyperlink r:id="rId399" ref="S400"/>
    <hyperlink r:id="rId400" ref="S401"/>
    <hyperlink r:id="rId401" ref="S402"/>
    <hyperlink r:id="rId402" ref="S403"/>
    <hyperlink r:id="rId403" ref="S404"/>
    <hyperlink r:id="rId404" ref="S405"/>
    <hyperlink r:id="rId405" ref="S406"/>
    <hyperlink r:id="rId406" ref="S407"/>
    <hyperlink r:id="rId407" ref="S408"/>
    <hyperlink r:id="rId408" ref="S409"/>
    <hyperlink r:id="rId409" ref="S410"/>
    <hyperlink r:id="rId410" ref="S411"/>
    <hyperlink r:id="rId411" ref="S412"/>
    <hyperlink r:id="rId412" ref="S413"/>
    <hyperlink r:id="rId413" ref="S414"/>
    <hyperlink r:id="rId414" ref="S415"/>
    <hyperlink r:id="rId415" ref="S416"/>
    <hyperlink r:id="rId416" ref="S417"/>
    <hyperlink r:id="rId417" ref="S418"/>
    <hyperlink r:id="rId418" ref="S419"/>
    <hyperlink r:id="rId419" ref="S420"/>
    <hyperlink r:id="rId420" ref="S421"/>
    <hyperlink r:id="rId421" ref="S422"/>
    <hyperlink r:id="rId422" ref="S423"/>
    <hyperlink r:id="rId423" ref="S424"/>
    <hyperlink r:id="rId424" ref="S425"/>
    <hyperlink r:id="rId425" ref="S426"/>
    <hyperlink r:id="rId426" ref="S427"/>
    <hyperlink r:id="rId427" ref="S428"/>
    <hyperlink r:id="rId428" ref="S429"/>
    <hyperlink r:id="rId429" ref="S430"/>
    <hyperlink r:id="rId430" ref="S431"/>
    <hyperlink r:id="rId431" ref="S432"/>
    <hyperlink r:id="rId432" ref="S433"/>
    <hyperlink r:id="rId433" ref="S434"/>
    <hyperlink r:id="rId434" ref="S435"/>
    <hyperlink r:id="rId435" ref="S436"/>
    <hyperlink r:id="rId436" ref="S437"/>
    <hyperlink r:id="rId437" ref="S438"/>
    <hyperlink r:id="rId438" ref="S439"/>
    <hyperlink r:id="rId439" ref="S440"/>
    <hyperlink r:id="rId440" ref="S441"/>
    <hyperlink r:id="rId441" ref="S442"/>
    <hyperlink r:id="rId442" ref="S443"/>
    <hyperlink r:id="rId443" ref="S444"/>
    <hyperlink r:id="rId444" ref="S445"/>
    <hyperlink r:id="rId445" ref="S446"/>
    <hyperlink r:id="rId446" ref="S447"/>
    <hyperlink r:id="rId447" ref="S448"/>
    <hyperlink r:id="rId448" ref="S449"/>
    <hyperlink r:id="rId449" ref="S450"/>
    <hyperlink r:id="rId450" ref="S451"/>
    <hyperlink r:id="rId451" ref="S452"/>
    <hyperlink r:id="rId452" ref="S453"/>
    <hyperlink r:id="rId453" ref="S454"/>
    <hyperlink r:id="rId454" ref="S455"/>
    <hyperlink r:id="rId455" ref="S456"/>
    <hyperlink r:id="rId456" ref="S457"/>
    <hyperlink r:id="rId457" ref="S458"/>
    <hyperlink r:id="rId458" ref="S459"/>
    <hyperlink r:id="rId459" ref="S460"/>
    <hyperlink r:id="rId460" ref="S461"/>
    <hyperlink r:id="rId461" ref="S462"/>
    <hyperlink r:id="rId462" ref="S463"/>
    <hyperlink r:id="rId463" ref="S464"/>
    <hyperlink r:id="rId464" ref="S465"/>
    <hyperlink r:id="rId465" ref="S466"/>
    <hyperlink r:id="rId466" ref="S467"/>
    <hyperlink r:id="rId467" ref="S468"/>
    <hyperlink r:id="rId468" ref="S469"/>
    <hyperlink r:id="rId469" ref="S470"/>
    <hyperlink r:id="rId470" ref="S471"/>
    <hyperlink r:id="rId471" ref="S472"/>
    <hyperlink r:id="rId472" ref="S473"/>
    <hyperlink r:id="rId473" ref="S474"/>
    <hyperlink r:id="rId474" ref="S475"/>
    <hyperlink r:id="rId475" ref="S476"/>
    <hyperlink r:id="rId476" ref="S477"/>
    <hyperlink r:id="rId477" ref="S478"/>
    <hyperlink r:id="rId478" ref="S479"/>
    <hyperlink r:id="rId479" ref="S480"/>
    <hyperlink r:id="rId480" ref="S481"/>
    <hyperlink r:id="rId481" ref="S482"/>
    <hyperlink r:id="rId482" ref="S483"/>
    <hyperlink r:id="rId483" ref="S484"/>
    <hyperlink r:id="rId484" ref="S485"/>
    <hyperlink r:id="rId485" ref="S486"/>
    <hyperlink r:id="rId486" ref="S487"/>
    <hyperlink r:id="rId487" ref="S488"/>
    <hyperlink r:id="rId488" ref="S489"/>
    <hyperlink r:id="rId489" ref="S490"/>
    <hyperlink r:id="rId490" ref="S491"/>
    <hyperlink r:id="rId491" ref="S492"/>
    <hyperlink r:id="rId492" ref="S493"/>
    <hyperlink r:id="rId493" ref="S494"/>
    <hyperlink r:id="rId494" ref="S495"/>
    <hyperlink r:id="rId495" ref="S496"/>
    <hyperlink r:id="rId496" ref="S497"/>
    <hyperlink r:id="rId497" ref="S498"/>
    <hyperlink r:id="rId498" ref="S499"/>
    <hyperlink r:id="rId499" ref="S500"/>
    <hyperlink r:id="rId500" ref="S501"/>
    <hyperlink r:id="rId501" ref="S502"/>
    <hyperlink r:id="rId502" ref="S503"/>
    <hyperlink r:id="rId503" ref="S504"/>
    <hyperlink r:id="rId504" ref="S505"/>
    <hyperlink r:id="rId505" ref="S506"/>
    <hyperlink r:id="rId506" ref="S507"/>
    <hyperlink r:id="rId507" ref="S508"/>
    <hyperlink r:id="rId508" ref="S509"/>
    <hyperlink r:id="rId509" ref="S510"/>
    <hyperlink r:id="rId510" ref="S511"/>
    <hyperlink r:id="rId511" ref="S512"/>
    <hyperlink r:id="rId512" ref="S534"/>
    <hyperlink r:id="rId513" ref="S535"/>
    <hyperlink r:id="rId514" ref="S536"/>
    <hyperlink r:id="rId515" ref="S537"/>
    <hyperlink r:id="rId516" ref="S538"/>
    <hyperlink r:id="rId517" ref="S555"/>
    <hyperlink r:id="rId518" ref="S556"/>
    <hyperlink r:id="rId519" ref="S557"/>
    <hyperlink r:id="rId520" ref="S558"/>
    <hyperlink r:id="rId521" ref="S559"/>
    <hyperlink r:id="rId522" ref="S560"/>
    <hyperlink r:id="rId523" ref="S561"/>
    <hyperlink r:id="rId524" ref="S562"/>
    <hyperlink r:id="rId525" ref="S563"/>
    <hyperlink r:id="rId526" ref="S564"/>
    <hyperlink r:id="rId527" ref="S565"/>
    <hyperlink r:id="rId528" ref="S566"/>
    <hyperlink r:id="rId529" ref="S567"/>
    <hyperlink r:id="rId530" ref="S568"/>
    <hyperlink r:id="rId531" ref="S569"/>
    <hyperlink r:id="rId532" ref="S570"/>
    <hyperlink r:id="rId533" ref="S571"/>
    <hyperlink r:id="rId534" ref="S572"/>
    <hyperlink r:id="rId535" ref="S573"/>
    <hyperlink r:id="rId536" ref="S574"/>
  </hyperlinks>
  <drawing r:id="rId53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5"/>
  </cols>
  <sheetData>
    <row r="2">
      <c r="B2" s="2" t="s">
        <v>1888</v>
      </c>
      <c r="C2" s="8">
        <f>SUM(Global!K2:K1011)</f>
        <v>36108019</v>
      </c>
    </row>
    <row r="4">
      <c r="A4" s="2" t="s">
        <v>1889</v>
      </c>
    </row>
    <row r="5">
      <c r="A5" s="2" t="s">
        <v>1890</v>
      </c>
      <c r="B5" s="9">
        <f t="shared" ref="B5:B7" si="1">260-52</f>
        <v>208</v>
      </c>
      <c r="C5" s="2">
        <v>14113.0</v>
      </c>
      <c r="D5" s="9">
        <f t="shared" ref="D5:D7" si="2">B5*C5*1.19</f>
        <v>3493249.76</v>
      </c>
    </row>
    <row r="6">
      <c r="A6" s="2" t="s">
        <v>1890</v>
      </c>
      <c r="B6" s="9">
        <f t="shared" si="1"/>
        <v>208</v>
      </c>
      <c r="C6" s="2">
        <v>15290.0</v>
      </c>
      <c r="D6" s="9">
        <f t="shared" si="2"/>
        <v>3784580.8</v>
      </c>
    </row>
    <row r="7">
      <c r="A7" s="2" t="s">
        <v>1890</v>
      </c>
      <c r="B7" s="9">
        <f t="shared" si="1"/>
        <v>208</v>
      </c>
      <c r="C7" s="2">
        <v>15290.0</v>
      </c>
      <c r="D7" s="9">
        <f t="shared" si="2"/>
        <v>3784580.8</v>
      </c>
    </row>
    <row r="8">
      <c r="A8" s="2" t="s">
        <v>1891</v>
      </c>
      <c r="D8" s="2">
        <v>657554.0</v>
      </c>
    </row>
    <row r="9">
      <c r="A9" s="2" t="s">
        <v>1892</v>
      </c>
      <c r="D9" s="2">
        <v>2105967.0</v>
      </c>
    </row>
    <row r="10">
      <c r="A10" s="2" t="s">
        <v>1890</v>
      </c>
      <c r="B10" s="2">
        <v>260.0</v>
      </c>
      <c r="D10" s="2">
        <v>5081338.0</v>
      </c>
    </row>
    <row r="12">
      <c r="B12" s="2" t="s">
        <v>1893</v>
      </c>
      <c r="C12" s="2" t="s">
        <v>1894</v>
      </c>
      <c r="D12" s="8">
        <f>SUM(D5:D10)+C2</f>
        <v>55015289.36</v>
      </c>
    </row>
    <row r="13">
      <c r="C13" s="2" t="s">
        <v>1895</v>
      </c>
      <c r="D13" s="10">
        <v>8303411.0</v>
      </c>
    </row>
    <row r="14">
      <c r="C14" s="2" t="s">
        <v>1896</v>
      </c>
      <c r="D14" s="10">
        <v>6496096.0</v>
      </c>
    </row>
    <row r="16">
      <c r="B16" s="2" t="s">
        <v>1897</v>
      </c>
      <c r="C16" s="2" t="s">
        <v>1898</v>
      </c>
      <c r="D16" s="10">
        <v>4.1523355E7</v>
      </c>
    </row>
    <row r="17">
      <c r="C17" s="2" t="s">
        <v>1899</v>
      </c>
      <c r="D17" s="10">
        <v>1.438904E7</v>
      </c>
    </row>
    <row r="19">
      <c r="B19" s="2" t="s">
        <v>1900</v>
      </c>
      <c r="D19" s="8">
        <f>D12+D13+D14-D16-D17</f>
        <v>13902401.36</v>
      </c>
    </row>
    <row r="21">
      <c r="B21" s="2" t="s">
        <v>1901</v>
      </c>
      <c r="D21" s="8">
        <f>D19/9</f>
        <v>1544711.262</v>
      </c>
    </row>
    <row r="22">
      <c r="E22" s="2" t="s">
        <v>1902</v>
      </c>
      <c r="F22" s="2" t="s">
        <v>1903</v>
      </c>
      <c r="G22" s="2" t="s">
        <v>1904</v>
      </c>
      <c r="H22" s="2" t="s">
        <v>1905</v>
      </c>
      <c r="I22" s="2" t="s">
        <v>1906</v>
      </c>
      <c r="J22" s="2" t="s">
        <v>1907</v>
      </c>
      <c r="K22" s="2" t="s">
        <v>1908</v>
      </c>
      <c r="L22" s="2" t="s">
        <v>1909</v>
      </c>
      <c r="M22" s="2" t="s">
        <v>1910</v>
      </c>
    </row>
    <row r="23">
      <c r="E23" s="2">
        <v>1.0</v>
      </c>
      <c r="F23" s="2">
        <v>2.0</v>
      </c>
      <c r="G23" s="2">
        <v>3.0</v>
      </c>
      <c r="H23" s="2">
        <v>4.0</v>
      </c>
      <c r="I23" s="2">
        <v>5.0</v>
      </c>
      <c r="J23" s="2">
        <v>6.0</v>
      </c>
      <c r="K23" s="2">
        <v>7.0</v>
      </c>
      <c r="L23" s="2">
        <v>8.0</v>
      </c>
      <c r="M23" s="2">
        <v>9.0</v>
      </c>
      <c r="N23" s="2">
        <v>12.0</v>
      </c>
    </row>
    <row r="24">
      <c r="D24" s="11"/>
      <c r="E24" s="10">
        <v>300000.0</v>
      </c>
      <c r="F24" s="10">
        <v>2000000.0</v>
      </c>
      <c r="G24" s="10">
        <v>3500000.0</v>
      </c>
      <c r="H24" s="10">
        <v>4000000.0</v>
      </c>
      <c r="I24" s="10">
        <v>5000000.0</v>
      </c>
      <c r="J24" s="10">
        <v>5000000.0</v>
      </c>
      <c r="K24" s="10">
        <v>5000000.0</v>
      </c>
      <c r="L24" s="10">
        <v>5000000.0</v>
      </c>
      <c r="M24" s="10">
        <v>5000000.0</v>
      </c>
    </row>
    <row r="25">
      <c r="D25" s="2" t="s">
        <v>1911</v>
      </c>
      <c r="E25" s="10">
        <v>-2000000.0</v>
      </c>
      <c r="F25" s="11"/>
      <c r="G25" s="11"/>
      <c r="H25" s="11"/>
      <c r="I25" s="11"/>
      <c r="J25" s="11"/>
      <c r="K25" s="11"/>
      <c r="L25" s="11"/>
      <c r="M25" s="11"/>
      <c r="N25" s="11"/>
    </row>
    <row r="26">
      <c r="D26" s="2" t="s">
        <v>1912</v>
      </c>
      <c r="E26" s="10">
        <f>-170000-20000</f>
        <v>-190000</v>
      </c>
      <c r="F26" s="11">
        <f t="shared" ref="F26:H26" si="3">E26</f>
        <v>-190000</v>
      </c>
      <c r="G26" s="11">
        <f t="shared" si="3"/>
        <v>-190000</v>
      </c>
      <c r="H26" s="11">
        <f t="shared" si="3"/>
        <v>-190000</v>
      </c>
      <c r="I26" s="11">
        <f>H26-150000</f>
        <v>-340000</v>
      </c>
      <c r="J26" s="11">
        <f>I26</f>
        <v>-340000</v>
      </c>
      <c r="K26" s="11">
        <f t="shared" ref="K26:M26" si="4">J26-50000</f>
        <v>-390000</v>
      </c>
      <c r="L26" s="11">
        <f t="shared" si="4"/>
        <v>-440000</v>
      </c>
      <c r="M26" s="11">
        <f t="shared" si="4"/>
        <v>-490000</v>
      </c>
      <c r="N26" s="11"/>
    </row>
    <row r="27">
      <c r="D27" s="2" t="s">
        <v>1913</v>
      </c>
      <c r="E27" s="10">
        <v>-20000.0</v>
      </c>
      <c r="F27" s="10">
        <v>-20000.0</v>
      </c>
      <c r="G27" s="10">
        <v>-20000.0</v>
      </c>
      <c r="H27" s="10">
        <v>-20000.0</v>
      </c>
      <c r="I27" s="10">
        <v>-20000.0</v>
      </c>
      <c r="J27" s="10">
        <v>-20000.0</v>
      </c>
      <c r="K27" s="10">
        <v>-20000.0</v>
      </c>
      <c r="L27" s="10">
        <v>-20000.0</v>
      </c>
      <c r="M27" s="10">
        <v>-20000.0</v>
      </c>
    </row>
    <row r="28">
      <c r="D28" s="2" t="s">
        <v>1914</v>
      </c>
      <c r="E28" s="10">
        <v>-20000.0</v>
      </c>
      <c r="F28" s="10">
        <v>-20000.0</v>
      </c>
      <c r="G28" s="10">
        <v>-20000.0</v>
      </c>
      <c r="H28" s="10">
        <v>-20000.0</v>
      </c>
      <c r="I28" s="10">
        <v>-20000.0</v>
      </c>
      <c r="J28" s="10">
        <v>-20000.0</v>
      </c>
      <c r="K28" s="10">
        <v>-20000.0</v>
      </c>
      <c r="L28" s="10">
        <v>-20000.0</v>
      </c>
      <c r="M28" s="10">
        <v>-20000.0</v>
      </c>
    </row>
    <row r="29">
      <c r="D29" s="2" t="s">
        <v>1915</v>
      </c>
      <c r="F29" s="10">
        <v>-150000.0</v>
      </c>
    </row>
    <row r="30">
      <c r="D30" s="2" t="s">
        <v>1916</v>
      </c>
      <c r="G30" s="10">
        <v>-420000.0</v>
      </c>
    </row>
    <row r="31">
      <c r="D31" s="2" t="s">
        <v>1917</v>
      </c>
      <c r="L31" s="10">
        <f>-420000-690000</f>
        <v>-1110000</v>
      </c>
    </row>
    <row r="32">
      <c r="D32" s="2" t="s">
        <v>1918</v>
      </c>
      <c r="E32" s="10">
        <v>-100000.0</v>
      </c>
      <c r="F32" s="10">
        <v>-300000.0</v>
      </c>
      <c r="G32" s="10">
        <v>-500000.0</v>
      </c>
      <c r="H32" s="10">
        <v>-500000.0</v>
      </c>
      <c r="I32" s="10">
        <v>-600000.0</v>
      </c>
      <c r="J32" s="10">
        <v>-600000.0</v>
      </c>
      <c r="K32" s="10">
        <v>-600000.0</v>
      </c>
      <c r="L32" s="10">
        <v>-600000.0</v>
      </c>
      <c r="M32" s="10">
        <v>-600000.0</v>
      </c>
    </row>
    <row r="33">
      <c r="D33" s="2" t="s">
        <v>1919</v>
      </c>
      <c r="E33" s="11">
        <f t="shared" ref="E33:M33" si="5">SUM(E24:E32)</f>
        <v>-2030000</v>
      </c>
      <c r="F33" s="11">
        <f t="shared" si="5"/>
        <v>1320000</v>
      </c>
      <c r="G33" s="11">
        <f t="shared" si="5"/>
        <v>2350000</v>
      </c>
      <c r="H33" s="11">
        <f t="shared" si="5"/>
        <v>3270000</v>
      </c>
      <c r="I33" s="11">
        <f t="shared" si="5"/>
        <v>4020000</v>
      </c>
      <c r="J33" s="11">
        <f t="shared" si="5"/>
        <v>4020000</v>
      </c>
      <c r="K33" s="11">
        <f t="shared" si="5"/>
        <v>3970000</v>
      </c>
      <c r="L33" s="11">
        <f t="shared" si="5"/>
        <v>2810000</v>
      </c>
      <c r="M33" s="11">
        <f t="shared" si="5"/>
        <v>3870000</v>
      </c>
    </row>
    <row r="36">
      <c r="D36" s="11">
        <f>SUM(E24:M24)</f>
        <v>34800000</v>
      </c>
      <c r="E36" s="11">
        <f>SUM(E24:M32)+F36+G36+H36</f>
        <v>22414000</v>
      </c>
      <c r="F36" s="10">
        <v>-550000.0</v>
      </c>
      <c r="G36" s="2">
        <v>-11000.0</v>
      </c>
      <c r="H36" s="11">
        <f>-2500000/12*3</f>
        <v>-625000</v>
      </c>
    </row>
    <row r="37">
      <c r="D37" s="11">
        <f>D36+E36</f>
        <v>57214000</v>
      </c>
    </row>
    <row r="41">
      <c r="D41" s="2" t="s">
        <v>1920</v>
      </c>
      <c r="G41" s="10">
        <v>-100000.0</v>
      </c>
      <c r="H41" s="10">
        <v>-100000.0</v>
      </c>
      <c r="I41" s="10">
        <v>-100000.0</v>
      </c>
      <c r="J41" s="10">
        <v>-100000.0</v>
      </c>
      <c r="K41" s="10">
        <v>-100000.0</v>
      </c>
      <c r="L41" s="10">
        <v>-100000.0</v>
      </c>
      <c r="M41" s="10">
        <v>-100000.0</v>
      </c>
    </row>
    <row r="42">
      <c r="D42" s="2" t="s">
        <v>1921</v>
      </c>
      <c r="J42" s="10">
        <v>-150000.0</v>
      </c>
      <c r="K42" s="10">
        <v>-150000.0</v>
      </c>
      <c r="L42" s="10">
        <v>-150000.0</v>
      </c>
      <c r="M42" s="10">
        <v>-150000.0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38"/>
    <col customWidth="1" min="3" max="3" width="51.13"/>
  </cols>
  <sheetData>
    <row r="1">
      <c r="A1" s="12" t="s">
        <v>0</v>
      </c>
      <c r="B1" s="13" t="s">
        <v>1922</v>
      </c>
      <c r="C1" s="14" t="s">
        <v>2</v>
      </c>
      <c r="D1" s="13" t="s">
        <v>1923</v>
      </c>
      <c r="E1" s="13" t="s">
        <v>1924</v>
      </c>
      <c r="F1" s="15" t="s">
        <v>1925</v>
      </c>
      <c r="G1" s="15" t="s">
        <v>1926</v>
      </c>
      <c r="H1" s="15" t="s">
        <v>1927</v>
      </c>
      <c r="I1" s="16" t="s">
        <v>1928</v>
      </c>
      <c r="J1" s="17" t="s">
        <v>9</v>
      </c>
      <c r="K1" s="16" t="s">
        <v>1929</v>
      </c>
      <c r="L1" s="16" t="s">
        <v>1930</v>
      </c>
      <c r="M1" s="18" t="s">
        <v>1931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1932</v>
      </c>
      <c r="B2" s="20" t="s">
        <v>535</v>
      </c>
      <c r="C2" s="21">
        <v>7.45853477929E11</v>
      </c>
      <c r="D2" s="20" t="s">
        <v>536</v>
      </c>
      <c r="E2" s="22" t="s">
        <v>1933</v>
      </c>
      <c r="F2" s="23">
        <v>0.1</v>
      </c>
      <c r="G2" s="22" t="s">
        <v>1934</v>
      </c>
      <c r="H2" s="22" t="s">
        <v>1935</v>
      </c>
      <c r="I2" s="22" t="s">
        <v>1936</v>
      </c>
      <c r="J2" s="24">
        <v>12977.0</v>
      </c>
      <c r="K2" s="22" t="s">
        <v>1937</v>
      </c>
      <c r="L2" s="22" t="s">
        <v>1938</v>
      </c>
      <c r="M2" s="22">
        <v>1.0</v>
      </c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5" t="s">
        <v>1932</v>
      </c>
      <c r="B3" s="25" t="s">
        <v>1939</v>
      </c>
      <c r="C3" s="21">
        <v>7.45853477929E11</v>
      </c>
      <c r="D3" s="25" t="s">
        <v>536</v>
      </c>
      <c r="E3" s="26" t="s">
        <v>1940</v>
      </c>
      <c r="F3" s="27">
        <v>0.15</v>
      </c>
      <c r="G3" s="26" t="s">
        <v>1941</v>
      </c>
      <c r="H3" s="26" t="s">
        <v>1942</v>
      </c>
      <c r="I3" s="26" t="s">
        <v>1943</v>
      </c>
      <c r="J3" s="28">
        <v>12977.0</v>
      </c>
      <c r="K3" s="26" t="s">
        <v>1944</v>
      </c>
      <c r="L3" s="26" t="s">
        <v>1945</v>
      </c>
      <c r="M3" s="26">
        <v>1.0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0" t="s">
        <v>1932</v>
      </c>
      <c r="B4" s="20" t="s">
        <v>848</v>
      </c>
      <c r="C4" s="21" t="s">
        <v>849</v>
      </c>
      <c r="D4" s="20" t="s">
        <v>850</v>
      </c>
      <c r="E4" s="20"/>
      <c r="F4" s="20"/>
      <c r="G4" s="22" t="s">
        <v>1942</v>
      </c>
      <c r="H4" s="20"/>
      <c r="I4" s="22" t="s">
        <v>1942</v>
      </c>
      <c r="J4" s="24">
        <v>12977.0</v>
      </c>
      <c r="K4" s="22" t="s">
        <v>1946</v>
      </c>
      <c r="L4" s="22" t="s">
        <v>1947</v>
      </c>
      <c r="M4" s="22">
        <v>1.0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5" t="s">
        <v>1932</v>
      </c>
      <c r="B5" s="25" t="s">
        <v>844</v>
      </c>
      <c r="C5" s="29" t="s">
        <v>845</v>
      </c>
      <c r="D5" s="25" t="s">
        <v>846</v>
      </c>
      <c r="E5" s="25"/>
      <c r="F5" s="25"/>
      <c r="G5" s="26" t="s">
        <v>1942</v>
      </c>
      <c r="H5" s="25"/>
      <c r="I5" s="26" t="s">
        <v>1942</v>
      </c>
      <c r="J5" s="28">
        <v>12977.0</v>
      </c>
      <c r="K5" s="26" t="s">
        <v>1946</v>
      </c>
      <c r="L5" s="26" t="s">
        <v>1947</v>
      </c>
      <c r="M5" s="26">
        <v>1.0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0" t="s">
        <v>1932</v>
      </c>
      <c r="B6" s="20" t="s">
        <v>1881</v>
      </c>
      <c r="C6" s="21" t="s">
        <v>849</v>
      </c>
      <c r="D6" s="20" t="s">
        <v>850</v>
      </c>
      <c r="E6" s="20"/>
      <c r="F6" s="20"/>
      <c r="G6" s="20"/>
      <c r="H6" s="20"/>
      <c r="I6" s="20"/>
      <c r="J6" s="24">
        <v>12977.0</v>
      </c>
      <c r="K6" s="20"/>
      <c r="L6" s="20"/>
      <c r="M6" s="22">
        <v>1.0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5" t="s">
        <v>1948</v>
      </c>
      <c r="B7" s="25" t="s">
        <v>545</v>
      </c>
      <c r="C7" s="29" t="s">
        <v>546</v>
      </c>
      <c r="D7" s="25" t="s">
        <v>547</v>
      </c>
      <c r="E7" s="26" t="s">
        <v>1949</v>
      </c>
      <c r="F7" s="27">
        <v>0.1</v>
      </c>
      <c r="G7" s="26" t="s">
        <v>1950</v>
      </c>
      <c r="H7" s="26" t="s">
        <v>1942</v>
      </c>
      <c r="I7" s="26" t="s">
        <v>1951</v>
      </c>
      <c r="J7" s="28">
        <v>8033.0</v>
      </c>
      <c r="K7" s="26" t="s">
        <v>1952</v>
      </c>
      <c r="L7" s="26" t="s">
        <v>1953</v>
      </c>
      <c r="M7" s="26">
        <v>1.0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0" t="s">
        <v>1948</v>
      </c>
      <c r="B8" s="20" t="s">
        <v>531</v>
      </c>
      <c r="C8" s="30" t="s">
        <v>532</v>
      </c>
      <c r="D8" s="20" t="s">
        <v>533</v>
      </c>
      <c r="E8" s="22" t="s">
        <v>1949</v>
      </c>
      <c r="F8" s="23">
        <v>0.15</v>
      </c>
      <c r="G8" s="22" t="s">
        <v>1954</v>
      </c>
      <c r="H8" s="22" t="s">
        <v>1942</v>
      </c>
      <c r="I8" s="22" t="s">
        <v>1955</v>
      </c>
      <c r="J8" s="24">
        <v>8033.0</v>
      </c>
      <c r="K8" s="22" t="s">
        <v>1956</v>
      </c>
      <c r="L8" s="22" t="s">
        <v>1957</v>
      </c>
      <c r="M8" s="22">
        <v>1.0</v>
      </c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25" t="s">
        <v>1948</v>
      </c>
      <c r="B9" s="25" t="s">
        <v>672</v>
      </c>
      <c r="C9" s="29" t="s">
        <v>1958</v>
      </c>
      <c r="D9" s="25" t="s">
        <v>1959</v>
      </c>
      <c r="E9" s="26" t="s">
        <v>1960</v>
      </c>
      <c r="F9" s="27">
        <v>0.15</v>
      </c>
      <c r="G9" s="26" t="s">
        <v>1961</v>
      </c>
      <c r="H9" s="26" t="s">
        <v>1942</v>
      </c>
      <c r="I9" s="26" t="s">
        <v>1962</v>
      </c>
      <c r="J9" s="28">
        <v>12054.0</v>
      </c>
      <c r="K9" s="26" t="s">
        <v>1963</v>
      </c>
      <c r="L9" s="26" t="s">
        <v>1964</v>
      </c>
      <c r="M9" s="26">
        <v>1.0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0" t="s">
        <v>1948</v>
      </c>
      <c r="B10" s="20" t="s">
        <v>743</v>
      </c>
      <c r="C10" s="21" t="s">
        <v>1194</v>
      </c>
      <c r="D10" s="20" t="s">
        <v>745</v>
      </c>
      <c r="E10" s="20"/>
      <c r="F10" s="20"/>
      <c r="G10" s="22" t="s">
        <v>1942</v>
      </c>
      <c r="H10" s="20"/>
      <c r="I10" s="22" t="s">
        <v>1942</v>
      </c>
      <c r="J10" s="24">
        <v>10043.0</v>
      </c>
      <c r="K10" s="22" t="s">
        <v>1965</v>
      </c>
      <c r="L10" s="22" t="s">
        <v>1947</v>
      </c>
      <c r="M10" s="22">
        <v>1.0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25" t="s">
        <v>1948</v>
      </c>
      <c r="B11" s="25" t="s">
        <v>993</v>
      </c>
      <c r="C11" s="29" t="s">
        <v>994</v>
      </c>
      <c r="D11" s="25" t="s">
        <v>995</v>
      </c>
      <c r="E11" s="25"/>
      <c r="F11" s="25"/>
      <c r="G11" s="26" t="s">
        <v>1942</v>
      </c>
      <c r="H11" s="25"/>
      <c r="I11" s="26" t="s">
        <v>1942</v>
      </c>
      <c r="J11" s="28">
        <v>8033.0</v>
      </c>
      <c r="K11" s="26" t="s">
        <v>1966</v>
      </c>
      <c r="L11" s="26" t="s">
        <v>1947</v>
      </c>
      <c r="M11" s="26">
        <v>1.0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0" t="s">
        <v>1948</v>
      </c>
      <c r="B12" s="20" t="s">
        <v>1033</v>
      </c>
      <c r="C12" s="30" t="s">
        <v>1034</v>
      </c>
      <c r="D12" s="20" t="s">
        <v>1035</v>
      </c>
      <c r="E12" s="20"/>
      <c r="F12" s="20"/>
      <c r="G12" s="22" t="s">
        <v>1942</v>
      </c>
      <c r="H12" s="20"/>
      <c r="I12" s="22" t="s">
        <v>1942</v>
      </c>
      <c r="J12" s="24">
        <v>6024.0</v>
      </c>
      <c r="K12" s="22" t="s">
        <v>1967</v>
      </c>
      <c r="L12" s="22" t="s">
        <v>1947</v>
      </c>
      <c r="M12" s="22">
        <v>1.0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5" t="s">
        <v>1948</v>
      </c>
      <c r="B13" s="25" t="s">
        <v>1009</v>
      </c>
      <c r="C13" s="29" t="s">
        <v>1010</v>
      </c>
      <c r="D13" s="25" t="s">
        <v>1011</v>
      </c>
      <c r="E13" s="25"/>
      <c r="F13" s="25"/>
      <c r="G13" s="26" t="s">
        <v>1942</v>
      </c>
      <c r="H13" s="25"/>
      <c r="I13" s="26" t="s">
        <v>1942</v>
      </c>
      <c r="J13" s="28">
        <v>10042.0</v>
      </c>
      <c r="K13" s="26" t="s">
        <v>1968</v>
      </c>
      <c r="L13" s="26" t="s">
        <v>1947</v>
      </c>
      <c r="M13" s="26">
        <v>1.0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20" t="s">
        <v>1948</v>
      </c>
      <c r="B14" s="20" t="s">
        <v>1029</v>
      </c>
      <c r="C14" s="30" t="s">
        <v>1030</v>
      </c>
      <c r="D14" s="20" t="s">
        <v>1031</v>
      </c>
      <c r="E14" s="20"/>
      <c r="F14" s="20"/>
      <c r="G14" s="22" t="s">
        <v>1942</v>
      </c>
      <c r="H14" s="20"/>
      <c r="I14" s="22" t="s">
        <v>1942</v>
      </c>
      <c r="J14" s="24">
        <v>6694.0</v>
      </c>
      <c r="K14" s="22" t="s">
        <v>1969</v>
      </c>
      <c r="L14" s="22" t="s">
        <v>1947</v>
      </c>
      <c r="M14" s="22">
        <v>1.0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25" t="s">
        <v>1948</v>
      </c>
      <c r="B15" s="25" t="s">
        <v>945</v>
      </c>
      <c r="C15" s="29" t="s">
        <v>946</v>
      </c>
      <c r="D15" s="25" t="s">
        <v>947</v>
      </c>
      <c r="E15" s="25"/>
      <c r="F15" s="25"/>
      <c r="G15" s="26" t="s">
        <v>1942</v>
      </c>
      <c r="H15" s="25"/>
      <c r="I15" s="26" t="s">
        <v>1942</v>
      </c>
      <c r="J15" s="28">
        <v>5354.0</v>
      </c>
      <c r="K15" s="26" t="s">
        <v>1970</v>
      </c>
      <c r="L15" s="26" t="s">
        <v>1947</v>
      </c>
      <c r="M15" s="26">
        <v>1.0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0" t="s">
        <v>1948</v>
      </c>
      <c r="B16" s="20" t="s">
        <v>965</v>
      </c>
      <c r="C16" s="30" t="s">
        <v>966</v>
      </c>
      <c r="D16" s="20" t="s">
        <v>967</v>
      </c>
      <c r="E16" s="20"/>
      <c r="F16" s="20"/>
      <c r="G16" s="22" t="s">
        <v>1942</v>
      </c>
      <c r="H16" s="20"/>
      <c r="I16" s="22" t="s">
        <v>1942</v>
      </c>
      <c r="J16" s="24">
        <v>8033.0</v>
      </c>
      <c r="K16" s="22" t="s">
        <v>1966</v>
      </c>
      <c r="L16" s="22" t="s">
        <v>1947</v>
      </c>
      <c r="M16" s="22">
        <v>1.0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25" t="s">
        <v>1948</v>
      </c>
      <c r="B17" s="25" t="s">
        <v>953</v>
      </c>
      <c r="C17" s="29" t="s">
        <v>954</v>
      </c>
      <c r="D17" s="25" t="s">
        <v>955</v>
      </c>
      <c r="E17" s="25"/>
      <c r="F17" s="25"/>
      <c r="G17" s="26" t="s">
        <v>1942</v>
      </c>
      <c r="H17" s="25"/>
      <c r="I17" s="26" t="s">
        <v>1942</v>
      </c>
      <c r="J17" s="28">
        <v>10042.0</v>
      </c>
      <c r="K17" s="26" t="s">
        <v>1968</v>
      </c>
      <c r="L17" s="26" t="s">
        <v>1947</v>
      </c>
      <c r="M17" s="26">
        <v>1.0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20" t="s">
        <v>1948</v>
      </c>
      <c r="B18" s="20" t="s">
        <v>985</v>
      </c>
      <c r="C18" s="30" t="s">
        <v>986</v>
      </c>
      <c r="D18" s="20" t="s">
        <v>987</v>
      </c>
      <c r="E18" s="20"/>
      <c r="F18" s="20"/>
      <c r="G18" s="22" t="s">
        <v>1942</v>
      </c>
      <c r="H18" s="20"/>
      <c r="I18" s="22" t="s">
        <v>1942</v>
      </c>
      <c r="J18" s="24">
        <v>6694.0</v>
      </c>
      <c r="K18" s="22" t="s">
        <v>1969</v>
      </c>
      <c r="L18" s="22" t="s">
        <v>1947</v>
      </c>
      <c r="M18" s="22">
        <v>1.0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25" t="s">
        <v>1948</v>
      </c>
      <c r="B19" s="25" t="s">
        <v>1025</v>
      </c>
      <c r="C19" s="29" t="s">
        <v>1026</v>
      </c>
      <c r="D19" s="25" t="s">
        <v>1027</v>
      </c>
      <c r="E19" s="25"/>
      <c r="F19" s="25"/>
      <c r="G19" s="26" t="s">
        <v>1942</v>
      </c>
      <c r="H19" s="25"/>
      <c r="I19" s="26" t="s">
        <v>1942</v>
      </c>
      <c r="J19" s="28">
        <v>5354.0</v>
      </c>
      <c r="K19" s="26" t="s">
        <v>1970</v>
      </c>
      <c r="L19" s="26" t="s">
        <v>1947</v>
      </c>
      <c r="M19" s="26">
        <v>1.0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20" t="s">
        <v>1948</v>
      </c>
      <c r="B20" s="20" t="s">
        <v>961</v>
      </c>
      <c r="C20" s="30" t="s">
        <v>962</v>
      </c>
      <c r="D20" s="20" t="s">
        <v>963</v>
      </c>
      <c r="E20" s="20"/>
      <c r="F20" s="20"/>
      <c r="G20" s="22" t="s">
        <v>1942</v>
      </c>
      <c r="H20" s="20"/>
      <c r="I20" s="22" t="s">
        <v>1942</v>
      </c>
      <c r="J20" s="24">
        <v>8033.0</v>
      </c>
      <c r="K20" s="22" t="s">
        <v>1966</v>
      </c>
      <c r="L20" s="22" t="s">
        <v>1947</v>
      </c>
      <c r="M20" s="22">
        <v>1.0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25" t="s">
        <v>1948</v>
      </c>
      <c r="B21" s="25" t="s">
        <v>981</v>
      </c>
      <c r="C21" s="29" t="s">
        <v>982</v>
      </c>
      <c r="D21" s="25" t="s">
        <v>983</v>
      </c>
      <c r="E21" s="25"/>
      <c r="F21" s="25"/>
      <c r="G21" s="26" t="s">
        <v>1942</v>
      </c>
      <c r="H21" s="25"/>
      <c r="I21" s="26" t="s">
        <v>1942</v>
      </c>
      <c r="J21" s="28">
        <v>10042.0</v>
      </c>
      <c r="K21" s="26" t="s">
        <v>1968</v>
      </c>
      <c r="L21" s="26" t="s">
        <v>1947</v>
      </c>
      <c r="M21" s="26">
        <v>1.0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20" t="s">
        <v>1948</v>
      </c>
      <c r="B22" s="20" t="s">
        <v>1021</v>
      </c>
      <c r="C22" s="30" t="s">
        <v>1022</v>
      </c>
      <c r="D22" s="20" t="s">
        <v>1023</v>
      </c>
      <c r="E22" s="20"/>
      <c r="F22" s="20"/>
      <c r="G22" s="22" t="s">
        <v>1942</v>
      </c>
      <c r="H22" s="20"/>
      <c r="I22" s="22" t="s">
        <v>1942</v>
      </c>
      <c r="J22" s="24">
        <v>6694.0</v>
      </c>
      <c r="K22" s="22" t="s">
        <v>1969</v>
      </c>
      <c r="L22" s="22" t="s">
        <v>1947</v>
      </c>
      <c r="M22" s="22">
        <v>1.0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25" t="s">
        <v>1948</v>
      </c>
      <c r="B23" s="25" t="s">
        <v>989</v>
      </c>
      <c r="C23" s="29" t="s">
        <v>990</v>
      </c>
      <c r="D23" s="25" t="s">
        <v>991</v>
      </c>
      <c r="E23" s="25"/>
      <c r="F23" s="25"/>
      <c r="G23" s="26" t="s">
        <v>1942</v>
      </c>
      <c r="H23" s="25"/>
      <c r="I23" s="26" t="s">
        <v>1942</v>
      </c>
      <c r="J23" s="28">
        <v>6693.0</v>
      </c>
      <c r="K23" s="26" t="s">
        <v>1971</v>
      </c>
      <c r="L23" s="26" t="s">
        <v>1947</v>
      </c>
      <c r="M23" s="26">
        <v>1.0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20" t="s">
        <v>1948</v>
      </c>
      <c r="B24" s="20" t="s">
        <v>957</v>
      </c>
      <c r="C24" s="30" t="s">
        <v>958</v>
      </c>
      <c r="D24" s="20" t="s">
        <v>959</v>
      </c>
      <c r="E24" s="20"/>
      <c r="F24" s="20"/>
      <c r="G24" s="22" t="s">
        <v>1942</v>
      </c>
      <c r="H24" s="20"/>
      <c r="I24" s="22" t="s">
        <v>1942</v>
      </c>
      <c r="J24" s="24">
        <v>8704.0</v>
      </c>
      <c r="K24" s="22" t="s">
        <v>1972</v>
      </c>
      <c r="L24" s="22" t="s">
        <v>1947</v>
      </c>
      <c r="M24" s="22">
        <v>1.0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25" t="s">
        <v>1948</v>
      </c>
      <c r="B25" s="25" t="s">
        <v>937</v>
      </c>
      <c r="C25" s="29" t="s">
        <v>938</v>
      </c>
      <c r="D25" s="25" t="s">
        <v>939</v>
      </c>
      <c r="E25" s="25"/>
      <c r="F25" s="25"/>
      <c r="G25" s="26" t="s">
        <v>1942</v>
      </c>
      <c r="H25" s="25"/>
      <c r="I25" s="26" t="s">
        <v>1942</v>
      </c>
      <c r="J25" s="28">
        <v>10714.0</v>
      </c>
      <c r="K25" s="26" t="s">
        <v>1973</v>
      </c>
      <c r="L25" s="26" t="s">
        <v>1947</v>
      </c>
      <c r="M25" s="26">
        <v>1.0</v>
      </c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20" t="s">
        <v>1948</v>
      </c>
      <c r="B26" s="20" t="s">
        <v>1017</v>
      </c>
      <c r="C26" s="30" t="s">
        <v>1018</v>
      </c>
      <c r="D26" s="20" t="s">
        <v>1019</v>
      </c>
      <c r="E26" s="20"/>
      <c r="F26" s="20"/>
      <c r="G26" s="22" t="s">
        <v>1942</v>
      </c>
      <c r="H26" s="20"/>
      <c r="I26" s="22" t="s">
        <v>1942</v>
      </c>
      <c r="J26" s="24">
        <v>5354.0</v>
      </c>
      <c r="K26" s="22" t="s">
        <v>1970</v>
      </c>
      <c r="L26" s="22" t="s">
        <v>1947</v>
      </c>
      <c r="M26" s="22">
        <v>1.0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25" t="s">
        <v>1948</v>
      </c>
      <c r="B27" s="25" t="s">
        <v>933</v>
      </c>
      <c r="C27" s="29" t="s">
        <v>934</v>
      </c>
      <c r="D27" s="25" t="s">
        <v>935</v>
      </c>
      <c r="E27" s="25"/>
      <c r="F27" s="25"/>
      <c r="G27" s="26" t="s">
        <v>1942</v>
      </c>
      <c r="H27" s="25"/>
      <c r="I27" s="26" t="s">
        <v>1942</v>
      </c>
      <c r="J27" s="28">
        <v>5354.0</v>
      </c>
      <c r="K27" s="26" t="s">
        <v>1970</v>
      </c>
      <c r="L27" s="26" t="s">
        <v>1947</v>
      </c>
      <c r="M27" s="26">
        <v>1.0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20" t="s">
        <v>1948</v>
      </c>
      <c r="B28" s="20" t="s">
        <v>949</v>
      </c>
      <c r="C28" s="30" t="s">
        <v>950</v>
      </c>
      <c r="D28" s="20" t="s">
        <v>951</v>
      </c>
      <c r="E28" s="20"/>
      <c r="F28" s="20"/>
      <c r="G28" s="22" t="s">
        <v>1942</v>
      </c>
      <c r="H28" s="20"/>
      <c r="I28" s="22" t="s">
        <v>1942</v>
      </c>
      <c r="J28" s="24">
        <v>8033.0</v>
      </c>
      <c r="K28" s="22" t="s">
        <v>1966</v>
      </c>
      <c r="L28" s="22" t="s">
        <v>1947</v>
      </c>
      <c r="M28" s="22">
        <v>1.0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25" t="s">
        <v>1948</v>
      </c>
      <c r="B29" s="25" t="s">
        <v>977</v>
      </c>
      <c r="C29" s="29" t="s">
        <v>978</v>
      </c>
      <c r="D29" s="25" t="s">
        <v>979</v>
      </c>
      <c r="E29" s="25"/>
      <c r="F29" s="25"/>
      <c r="G29" s="26" t="s">
        <v>1942</v>
      </c>
      <c r="H29" s="25"/>
      <c r="I29" s="26" t="s">
        <v>1942</v>
      </c>
      <c r="J29" s="28">
        <v>10042.0</v>
      </c>
      <c r="K29" s="26" t="s">
        <v>1968</v>
      </c>
      <c r="L29" s="26" t="s">
        <v>1947</v>
      </c>
      <c r="M29" s="26">
        <v>1.0</v>
      </c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20" t="s">
        <v>1948</v>
      </c>
      <c r="B30" s="20" t="s">
        <v>973</v>
      </c>
      <c r="C30" s="30" t="s">
        <v>974</v>
      </c>
      <c r="D30" s="20" t="s">
        <v>975</v>
      </c>
      <c r="E30" s="20"/>
      <c r="F30" s="20"/>
      <c r="G30" s="22" t="s">
        <v>1942</v>
      </c>
      <c r="H30" s="20"/>
      <c r="I30" s="22" t="s">
        <v>1942</v>
      </c>
      <c r="J30" s="24">
        <v>6694.0</v>
      </c>
      <c r="K30" s="22" t="s">
        <v>1969</v>
      </c>
      <c r="L30" s="22" t="s">
        <v>1947</v>
      </c>
      <c r="M30" s="22">
        <v>1.0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25" t="s">
        <v>1948</v>
      </c>
      <c r="B31" s="25" t="s">
        <v>969</v>
      </c>
      <c r="C31" s="29" t="s">
        <v>970</v>
      </c>
      <c r="D31" s="25" t="s">
        <v>971</v>
      </c>
      <c r="E31" s="25"/>
      <c r="F31" s="25"/>
      <c r="G31" s="26" t="s">
        <v>1942</v>
      </c>
      <c r="H31" s="25"/>
      <c r="I31" s="26" t="s">
        <v>1942</v>
      </c>
      <c r="J31" s="28">
        <v>5354.0</v>
      </c>
      <c r="K31" s="26" t="s">
        <v>1970</v>
      </c>
      <c r="L31" s="26" t="s">
        <v>1947</v>
      </c>
      <c r="M31" s="26">
        <v>1.0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20" t="s">
        <v>1948</v>
      </c>
      <c r="B32" s="20" t="s">
        <v>1005</v>
      </c>
      <c r="C32" s="30" t="s">
        <v>1006</v>
      </c>
      <c r="D32" s="20" t="s">
        <v>1007</v>
      </c>
      <c r="E32" s="20"/>
      <c r="F32" s="20"/>
      <c r="G32" s="22" t="s">
        <v>1942</v>
      </c>
      <c r="H32" s="20"/>
      <c r="I32" s="22" t="s">
        <v>1942</v>
      </c>
      <c r="J32" s="24">
        <v>8033.0</v>
      </c>
      <c r="K32" s="22" t="s">
        <v>1966</v>
      </c>
      <c r="L32" s="22" t="s">
        <v>1947</v>
      </c>
      <c r="M32" s="22">
        <v>1.0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25" t="s">
        <v>1948</v>
      </c>
      <c r="B33" s="25" t="s">
        <v>941</v>
      </c>
      <c r="C33" s="29" t="s">
        <v>942</v>
      </c>
      <c r="D33" s="25" t="s">
        <v>943</v>
      </c>
      <c r="E33" s="25"/>
      <c r="F33" s="25"/>
      <c r="G33" s="26" t="s">
        <v>1942</v>
      </c>
      <c r="H33" s="25"/>
      <c r="I33" s="26" t="s">
        <v>1942</v>
      </c>
      <c r="J33" s="28">
        <v>10042.0</v>
      </c>
      <c r="K33" s="26" t="s">
        <v>1968</v>
      </c>
      <c r="L33" s="26" t="s">
        <v>1947</v>
      </c>
      <c r="M33" s="26">
        <v>1.0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20" t="s">
        <v>1948</v>
      </c>
      <c r="B34" s="20" t="s">
        <v>1013</v>
      </c>
      <c r="C34" s="30" t="s">
        <v>1014</v>
      </c>
      <c r="D34" s="20" t="s">
        <v>1015</v>
      </c>
      <c r="E34" s="20"/>
      <c r="F34" s="20"/>
      <c r="G34" s="22" t="s">
        <v>1942</v>
      </c>
      <c r="H34" s="20"/>
      <c r="I34" s="22" t="s">
        <v>1942</v>
      </c>
      <c r="J34" s="24">
        <v>6694.0</v>
      </c>
      <c r="K34" s="22" t="s">
        <v>1969</v>
      </c>
      <c r="L34" s="22" t="s">
        <v>1947</v>
      </c>
      <c r="M34" s="22">
        <v>1.0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25" t="s">
        <v>1948</v>
      </c>
      <c r="B35" s="25" t="s">
        <v>1001</v>
      </c>
      <c r="C35" s="29" t="s">
        <v>1002</v>
      </c>
      <c r="D35" s="25" t="s">
        <v>1003</v>
      </c>
      <c r="E35" s="25"/>
      <c r="F35" s="25"/>
      <c r="G35" s="26" t="s">
        <v>1942</v>
      </c>
      <c r="H35" s="25"/>
      <c r="I35" s="26" t="s">
        <v>1942</v>
      </c>
      <c r="J35" s="28">
        <v>8704.0</v>
      </c>
      <c r="K35" s="26" t="s">
        <v>1972</v>
      </c>
      <c r="L35" s="26" t="s">
        <v>1947</v>
      </c>
      <c r="M35" s="26">
        <v>1.0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20" t="s">
        <v>1948</v>
      </c>
      <c r="B36" s="20" t="s">
        <v>1057</v>
      </c>
      <c r="C36" s="30" t="s">
        <v>1058</v>
      </c>
      <c r="D36" s="20" t="s">
        <v>1059</v>
      </c>
      <c r="E36" s="20"/>
      <c r="F36" s="20"/>
      <c r="G36" s="22" t="s">
        <v>1942</v>
      </c>
      <c r="H36" s="20"/>
      <c r="I36" s="22" t="s">
        <v>1942</v>
      </c>
      <c r="J36" s="24">
        <v>10714.0</v>
      </c>
      <c r="K36" s="22" t="s">
        <v>1973</v>
      </c>
      <c r="L36" s="22" t="s">
        <v>1947</v>
      </c>
      <c r="M36" s="22">
        <v>1.0</v>
      </c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25" t="s">
        <v>1948</v>
      </c>
      <c r="B37" s="25" t="s">
        <v>997</v>
      </c>
      <c r="C37" s="29" t="s">
        <v>998</v>
      </c>
      <c r="D37" s="25" t="s">
        <v>999</v>
      </c>
      <c r="E37" s="25"/>
      <c r="F37" s="25"/>
      <c r="G37" s="26" t="s">
        <v>1942</v>
      </c>
      <c r="H37" s="25"/>
      <c r="I37" s="26" t="s">
        <v>1942</v>
      </c>
      <c r="J37" s="28">
        <v>5354.0</v>
      </c>
      <c r="K37" s="26" t="s">
        <v>1970</v>
      </c>
      <c r="L37" s="26" t="s">
        <v>1947</v>
      </c>
      <c r="M37" s="26">
        <v>1.0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20" t="s">
        <v>1948</v>
      </c>
      <c r="B38" s="20" t="s">
        <v>1053</v>
      </c>
      <c r="C38" s="30" t="s">
        <v>1054</v>
      </c>
      <c r="D38" s="20" t="s">
        <v>1055</v>
      </c>
      <c r="E38" s="20"/>
      <c r="F38" s="20"/>
      <c r="G38" s="22" t="s">
        <v>1942</v>
      </c>
      <c r="H38" s="20"/>
      <c r="I38" s="22" t="s">
        <v>1942</v>
      </c>
      <c r="J38" s="24">
        <v>6694.0</v>
      </c>
      <c r="K38" s="22" t="s">
        <v>1969</v>
      </c>
      <c r="L38" s="22" t="s">
        <v>1947</v>
      </c>
      <c r="M38" s="22">
        <v>1.0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25" t="s">
        <v>1948</v>
      </c>
      <c r="B39" s="25" t="s">
        <v>1049</v>
      </c>
      <c r="C39" s="29" t="s">
        <v>1050</v>
      </c>
      <c r="D39" s="25" t="s">
        <v>1051</v>
      </c>
      <c r="E39" s="25"/>
      <c r="F39" s="25"/>
      <c r="G39" s="26" t="s">
        <v>1942</v>
      </c>
      <c r="H39" s="25"/>
      <c r="I39" s="26" t="s">
        <v>1942</v>
      </c>
      <c r="J39" s="28">
        <v>4683.0</v>
      </c>
      <c r="K39" s="26" t="s">
        <v>1974</v>
      </c>
      <c r="L39" s="26" t="s">
        <v>1947</v>
      </c>
      <c r="M39" s="26">
        <v>1.0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20" t="s">
        <v>1948</v>
      </c>
      <c r="B40" s="20" t="s">
        <v>1041</v>
      </c>
      <c r="C40" s="30" t="s">
        <v>1042</v>
      </c>
      <c r="D40" s="20" t="s">
        <v>1043</v>
      </c>
      <c r="E40" s="20"/>
      <c r="F40" s="20"/>
      <c r="G40" s="22" t="s">
        <v>1942</v>
      </c>
      <c r="H40" s="20"/>
      <c r="I40" s="22" t="s">
        <v>1942</v>
      </c>
      <c r="J40" s="24">
        <v>6694.0</v>
      </c>
      <c r="K40" s="22" t="s">
        <v>1969</v>
      </c>
      <c r="L40" s="22" t="s">
        <v>1947</v>
      </c>
      <c r="M40" s="22">
        <v>1.0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25" t="s">
        <v>1948</v>
      </c>
      <c r="B41" s="25" t="s">
        <v>1037</v>
      </c>
      <c r="C41" s="29" t="s">
        <v>1038</v>
      </c>
      <c r="D41" s="25" t="s">
        <v>1039</v>
      </c>
      <c r="E41" s="25"/>
      <c r="F41" s="25"/>
      <c r="G41" s="26" t="s">
        <v>1942</v>
      </c>
      <c r="H41" s="25"/>
      <c r="I41" s="26" t="s">
        <v>1942</v>
      </c>
      <c r="J41" s="28">
        <v>8033.0</v>
      </c>
      <c r="K41" s="26" t="s">
        <v>1966</v>
      </c>
      <c r="L41" s="26" t="s">
        <v>1947</v>
      </c>
      <c r="M41" s="26">
        <v>1.0</v>
      </c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20" t="s">
        <v>1948</v>
      </c>
      <c r="B42" s="20" t="s">
        <v>1045</v>
      </c>
      <c r="C42" s="30" t="s">
        <v>1046</v>
      </c>
      <c r="D42" s="20" t="s">
        <v>1047</v>
      </c>
      <c r="E42" s="20"/>
      <c r="F42" s="20"/>
      <c r="G42" s="22" t="s">
        <v>1942</v>
      </c>
      <c r="H42" s="20"/>
      <c r="I42" s="22" t="s">
        <v>1942</v>
      </c>
      <c r="J42" s="24">
        <v>4683.0</v>
      </c>
      <c r="K42" s="22" t="s">
        <v>1974</v>
      </c>
      <c r="L42" s="22" t="s">
        <v>1947</v>
      </c>
      <c r="M42" s="22">
        <v>1.0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25" t="s">
        <v>1948</v>
      </c>
      <c r="B43" s="25" t="s">
        <v>1073</v>
      </c>
      <c r="C43" s="29" t="s">
        <v>1074</v>
      </c>
      <c r="D43" s="25" t="s">
        <v>1075</v>
      </c>
      <c r="E43" s="25"/>
      <c r="F43" s="25"/>
      <c r="G43" s="26" t="s">
        <v>1942</v>
      </c>
      <c r="H43" s="25"/>
      <c r="I43" s="26" t="s">
        <v>1942</v>
      </c>
      <c r="J43" s="28">
        <v>4683.0</v>
      </c>
      <c r="K43" s="26" t="s">
        <v>1974</v>
      </c>
      <c r="L43" s="26" t="s">
        <v>1947</v>
      </c>
      <c r="M43" s="26">
        <v>1.0</v>
      </c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20" t="s">
        <v>1948</v>
      </c>
      <c r="B44" s="20" t="s">
        <v>1081</v>
      </c>
      <c r="C44" s="30" t="s">
        <v>1082</v>
      </c>
      <c r="D44" s="20" t="s">
        <v>1083</v>
      </c>
      <c r="E44" s="20"/>
      <c r="F44" s="20"/>
      <c r="G44" s="22" t="s">
        <v>1942</v>
      </c>
      <c r="H44" s="20"/>
      <c r="I44" s="22" t="s">
        <v>1942</v>
      </c>
      <c r="J44" s="24">
        <v>6694.0</v>
      </c>
      <c r="K44" s="22" t="s">
        <v>1969</v>
      </c>
      <c r="L44" s="22" t="s">
        <v>1947</v>
      </c>
      <c r="M44" s="22">
        <v>1.0</v>
      </c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25" t="s">
        <v>1948</v>
      </c>
      <c r="B45" s="25" t="s">
        <v>1065</v>
      </c>
      <c r="C45" s="29" t="s">
        <v>1066</v>
      </c>
      <c r="D45" s="25" t="s">
        <v>1067</v>
      </c>
      <c r="E45" s="25"/>
      <c r="F45" s="25"/>
      <c r="G45" s="26" t="s">
        <v>1942</v>
      </c>
      <c r="H45" s="25"/>
      <c r="I45" s="26" t="s">
        <v>1942</v>
      </c>
      <c r="J45" s="28">
        <v>4683.0</v>
      </c>
      <c r="K45" s="26" t="s">
        <v>1974</v>
      </c>
      <c r="L45" s="26" t="s">
        <v>1947</v>
      </c>
      <c r="M45" s="26">
        <v>1.0</v>
      </c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20" t="s">
        <v>1948</v>
      </c>
      <c r="B46" s="20" t="s">
        <v>1093</v>
      </c>
      <c r="C46" s="30" t="s">
        <v>1094</v>
      </c>
      <c r="D46" s="20" t="s">
        <v>1095</v>
      </c>
      <c r="E46" s="20"/>
      <c r="F46" s="20"/>
      <c r="G46" s="22" t="s">
        <v>1942</v>
      </c>
      <c r="H46" s="20"/>
      <c r="I46" s="22" t="s">
        <v>1942</v>
      </c>
      <c r="J46" s="24">
        <v>5354.0</v>
      </c>
      <c r="K46" s="22" t="s">
        <v>1970</v>
      </c>
      <c r="L46" s="22" t="s">
        <v>1947</v>
      </c>
      <c r="M46" s="22">
        <v>1.0</v>
      </c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25" t="s">
        <v>1948</v>
      </c>
      <c r="B47" s="25" t="s">
        <v>1061</v>
      </c>
      <c r="C47" s="29" t="s">
        <v>1062</v>
      </c>
      <c r="D47" s="25" t="s">
        <v>1063</v>
      </c>
      <c r="E47" s="25"/>
      <c r="F47" s="25"/>
      <c r="G47" s="26" t="s">
        <v>1942</v>
      </c>
      <c r="H47" s="25"/>
      <c r="I47" s="26" t="s">
        <v>1942</v>
      </c>
      <c r="J47" s="28">
        <v>8033.0</v>
      </c>
      <c r="K47" s="26" t="s">
        <v>1966</v>
      </c>
      <c r="L47" s="26" t="s">
        <v>1947</v>
      </c>
      <c r="M47" s="26">
        <v>1.0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20" t="s">
        <v>1948</v>
      </c>
      <c r="B48" s="20" t="s">
        <v>1069</v>
      </c>
      <c r="C48" s="30" t="s">
        <v>1070</v>
      </c>
      <c r="D48" s="20" t="s">
        <v>1071</v>
      </c>
      <c r="E48" s="20"/>
      <c r="F48" s="20"/>
      <c r="G48" s="22" t="s">
        <v>1942</v>
      </c>
      <c r="H48" s="20"/>
      <c r="I48" s="22" t="s">
        <v>1942</v>
      </c>
      <c r="J48" s="24">
        <v>6694.0</v>
      </c>
      <c r="K48" s="22" t="s">
        <v>1969</v>
      </c>
      <c r="L48" s="22" t="s">
        <v>1947</v>
      </c>
      <c r="M48" s="22">
        <v>1.0</v>
      </c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25" t="s">
        <v>1948</v>
      </c>
      <c r="B49" s="25" t="s">
        <v>1097</v>
      </c>
      <c r="C49" s="29" t="s">
        <v>1098</v>
      </c>
      <c r="D49" s="25" t="s">
        <v>1099</v>
      </c>
      <c r="E49" s="25"/>
      <c r="F49" s="25"/>
      <c r="G49" s="26" t="s">
        <v>1942</v>
      </c>
      <c r="H49" s="25"/>
      <c r="I49" s="26" t="s">
        <v>1942</v>
      </c>
      <c r="J49" s="28">
        <v>4683.0</v>
      </c>
      <c r="K49" s="26" t="s">
        <v>1974</v>
      </c>
      <c r="L49" s="26" t="s">
        <v>1947</v>
      </c>
      <c r="M49" s="26">
        <v>1.0</v>
      </c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20" t="s">
        <v>1948</v>
      </c>
      <c r="B50" s="20" t="s">
        <v>1089</v>
      </c>
      <c r="C50" s="30" t="s">
        <v>1090</v>
      </c>
      <c r="D50" s="20" t="s">
        <v>1091</v>
      </c>
      <c r="E50" s="20"/>
      <c r="F50" s="20"/>
      <c r="G50" s="22" t="s">
        <v>1942</v>
      </c>
      <c r="H50" s="20"/>
      <c r="I50" s="22" t="s">
        <v>1942</v>
      </c>
      <c r="J50" s="24">
        <v>6694.0</v>
      </c>
      <c r="K50" s="22" t="s">
        <v>1969</v>
      </c>
      <c r="L50" s="22" t="s">
        <v>1947</v>
      </c>
      <c r="M50" s="22">
        <v>1.0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25" t="s">
        <v>1948</v>
      </c>
      <c r="B51" s="25" t="s">
        <v>1077</v>
      </c>
      <c r="C51" s="29" t="s">
        <v>1078</v>
      </c>
      <c r="D51" s="25" t="s">
        <v>1079</v>
      </c>
      <c r="E51" s="25"/>
      <c r="F51" s="25"/>
      <c r="G51" s="26" t="s">
        <v>1942</v>
      </c>
      <c r="H51" s="25"/>
      <c r="I51" s="26" t="s">
        <v>1942</v>
      </c>
      <c r="J51" s="28">
        <v>4683.0</v>
      </c>
      <c r="K51" s="26" t="s">
        <v>1974</v>
      </c>
      <c r="L51" s="26" t="s">
        <v>1947</v>
      </c>
      <c r="M51" s="26">
        <v>1.0</v>
      </c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20" t="s">
        <v>1948</v>
      </c>
      <c r="B52" s="20" t="s">
        <v>1085</v>
      </c>
      <c r="C52" s="30" t="s">
        <v>1086</v>
      </c>
      <c r="D52" s="20" t="s">
        <v>1087</v>
      </c>
      <c r="E52" s="20"/>
      <c r="F52" s="20"/>
      <c r="G52" s="22" t="s">
        <v>1942</v>
      </c>
      <c r="H52" s="20"/>
      <c r="I52" s="22" t="s">
        <v>1942</v>
      </c>
      <c r="J52" s="24">
        <v>6694.0</v>
      </c>
      <c r="K52" s="22" t="s">
        <v>1969</v>
      </c>
      <c r="L52" s="22" t="s">
        <v>1947</v>
      </c>
      <c r="M52" s="22">
        <v>1.0</v>
      </c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25" t="s">
        <v>1948</v>
      </c>
      <c r="B53" s="25" t="s">
        <v>1149</v>
      </c>
      <c r="C53" s="29" t="s">
        <v>1150</v>
      </c>
      <c r="D53" s="25" t="s">
        <v>1151</v>
      </c>
      <c r="E53" s="25"/>
      <c r="F53" s="25"/>
      <c r="G53" s="26" t="s">
        <v>1942</v>
      </c>
      <c r="H53" s="25"/>
      <c r="I53" s="26" t="s">
        <v>1942</v>
      </c>
      <c r="J53" s="28">
        <v>8033.0</v>
      </c>
      <c r="K53" s="26" t="s">
        <v>1966</v>
      </c>
      <c r="L53" s="26" t="s">
        <v>1947</v>
      </c>
      <c r="M53" s="26">
        <v>1.0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20" t="s">
        <v>1948</v>
      </c>
      <c r="B54" s="20" t="s">
        <v>1185</v>
      </c>
      <c r="C54" s="30" t="s">
        <v>1186</v>
      </c>
      <c r="D54" s="20" t="s">
        <v>1187</v>
      </c>
      <c r="E54" s="20"/>
      <c r="F54" s="20"/>
      <c r="G54" s="22" t="s">
        <v>1942</v>
      </c>
      <c r="H54" s="20"/>
      <c r="I54" s="22" t="s">
        <v>1942</v>
      </c>
      <c r="J54" s="24">
        <v>4683.0</v>
      </c>
      <c r="K54" s="22" t="s">
        <v>1974</v>
      </c>
      <c r="L54" s="22" t="s">
        <v>1947</v>
      </c>
      <c r="M54" s="22">
        <v>1.0</v>
      </c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25" t="s">
        <v>1948</v>
      </c>
      <c r="B55" s="25" t="s">
        <v>1157</v>
      </c>
      <c r="C55" s="29" t="s">
        <v>1158</v>
      </c>
      <c r="D55" s="25" t="s">
        <v>1159</v>
      </c>
      <c r="E55" s="25"/>
      <c r="F55" s="25"/>
      <c r="G55" s="26" t="s">
        <v>1942</v>
      </c>
      <c r="H55" s="25"/>
      <c r="I55" s="26" t="s">
        <v>1942</v>
      </c>
      <c r="J55" s="28">
        <v>4683.0</v>
      </c>
      <c r="K55" s="26" t="s">
        <v>1974</v>
      </c>
      <c r="L55" s="26" t="s">
        <v>1947</v>
      </c>
      <c r="M55" s="26">
        <v>1.0</v>
      </c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20" t="s">
        <v>1948</v>
      </c>
      <c r="B56" s="20" t="s">
        <v>1153</v>
      </c>
      <c r="C56" s="30" t="s">
        <v>1154</v>
      </c>
      <c r="D56" s="20" t="s">
        <v>1155</v>
      </c>
      <c r="E56" s="20"/>
      <c r="F56" s="20"/>
      <c r="G56" s="22" t="s">
        <v>1942</v>
      </c>
      <c r="H56" s="20"/>
      <c r="I56" s="22" t="s">
        <v>1942</v>
      </c>
      <c r="J56" s="24">
        <v>6694.0</v>
      </c>
      <c r="K56" s="22" t="s">
        <v>1969</v>
      </c>
      <c r="L56" s="22" t="s">
        <v>1947</v>
      </c>
      <c r="M56" s="22">
        <v>1.0</v>
      </c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25" t="s">
        <v>1948</v>
      </c>
      <c r="B57" s="25" t="s">
        <v>1113</v>
      </c>
      <c r="C57" s="29" t="s">
        <v>1114</v>
      </c>
      <c r="D57" s="25" t="s">
        <v>1115</v>
      </c>
      <c r="E57" s="25"/>
      <c r="F57" s="25"/>
      <c r="G57" s="26" t="s">
        <v>1942</v>
      </c>
      <c r="H57" s="25"/>
      <c r="I57" s="26" t="s">
        <v>1942</v>
      </c>
      <c r="J57" s="28">
        <v>8033.0</v>
      </c>
      <c r="K57" s="26" t="s">
        <v>1966</v>
      </c>
      <c r="L57" s="26" t="s">
        <v>1947</v>
      </c>
      <c r="M57" s="26">
        <v>1.0</v>
      </c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20" t="s">
        <v>1948</v>
      </c>
      <c r="B58" s="20" t="s">
        <v>1117</v>
      </c>
      <c r="C58" s="30" t="s">
        <v>1118</v>
      </c>
      <c r="D58" s="20" t="s">
        <v>1119</v>
      </c>
      <c r="E58" s="20"/>
      <c r="F58" s="20"/>
      <c r="G58" s="22" t="s">
        <v>1942</v>
      </c>
      <c r="H58" s="20"/>
      <c r="I58" s="22" t="s">
        <v>1942</v>
      </c>
      <c r="J58" s="24">
        <v>4683.0</v>
      </c>
      <c r="K58" s="22" t="s">
        <v>1974</v>
      </c>
      <c r="L58" s="22" t="s">
        <v>1947</v>
      </c>
      <c r="M58" s="22">
        <v>1.0</v>
      </c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25" t="s">
        <v>1948</v>
      </c>
      <c r="B59" s="25" t="s">
        <v>1137</v>
      </c>
      <c r="C59" s="29" t="s">
        <v>1138</v>
      </c>
      <c r="D59" s="25" t="s">
        <v>1139</v>
      </c>
      <c r="E59" s="25"/>
      <c r="F59" s="25"/>
      <c r="G59" s="26" t="s">
        <v>1942</v>
      </c>
      <c r="H59" s="25"/>
      <c r="I59" s="26" t="s">
        <v>1942</v>
      </c>
      <c r="J59" s="28">
        <v>4683.0</v>
      </c>
      <c r="K59" s="26" t="s">
        <v>1974</v>
      </c>
      <c r="L59" s="26" t="s">
        <v>1947</v>
      </c>
      <c r="M59" s="26">
        <v>1.0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20" t="s">
        <v>1948</v>
      </c>
      <c r="B60" s="20" t="s">
        <v>1181</v>
      </c>
      <c r="C60" s="30" t="s">
        <v>1182</v>
      </c>
      <c r="D60" s="20" t="s">
        <v>1183</v>
      </c>
      <c r="E60" s="20"/>
      <c r="F60" s="20"/>
      <c r="G60" s="22" t="s">
        <v>1942</v>
      </c>
      <c r="H60" s="20"/>
      <c r="I60" s="22" t="s">
        <v>1942</v>
      </c>
      <c r="J60" s="24">
        <v>6694.0</v>
      </c>
      <c r="K60" s="22" t="s">
        <v>1969</v>
      </c>
      <c r="L60" s="22" t="s">
        <v>1947</v>
      </c>
      <c r="M60" s="22">
        <v>1.0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25" t="s">
        <v>1948</v>
      </c>
      <c r="B61" s="25" t="s">
        <v>1173</v>
      </c>
      <c r="C61" s="29" t="s">
        <v>1174</v>
      </c>
      <c r="D61" s="25" t="s">
        <v>1175</v>
      </c>
      <c r="E61" s="25"/>
      <c r="F61" s="25"/>
      <c r="G61" s="26" t="s">
        <v>1942</v>
      </c>
      <c r="H61" s="25"/>
      <c r="I61" s="26" t="s">
        <v>1942</v>
      </c>
      <c r="J61" s="28">
        <v>4683.0</v>
      </c>
      <c r="K61" s="26" t="s">
        <v>1974</v>
      </c>
      <c r="L61" s="26" t="s">
        <v>1947</v>
      </c>
      <c r="M61" s="26">
        <v>1.0</v>
      </c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 t="s">
        <v>1948</v>
      </c>
      <c r="B62" s="20" t="s">
        <v>1129</v>
      </c>
      <c r="C62" s="30" t="s">
        <v>1130</v>
      </c>
      <c r="D62" s="20" t="s">
        <v>1131</v>
      </c>
      <c r="E62" s="20"/>
      <c r="F62" s="20"/>
      <c r="G62" s="22" t="s">
        <v>1942</v>
      </c>
      <c r="H62" s="20"/>
      <c r="I62" s="22" t="s">
        <v>1942</v>
      </c>
      <c r="J62" s="24">
        <v>6694.0</v>
      </c>
      <c r="K62" s="22" t="s">
        <v>1969</v>
      </c>
      <c r="L62" s="22" t="s">
        <v>1947</v>
      </c>
      <c r="M62" s="22">
        <v>1.0</v>
      </c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25" t="s">
        <v>1948</v>
      </c>
      <c r="B63" s="25" t="s">
        <v>1145</v>
      </c>
      <c r="C63" s="29" t="s">
        <v>1146</v>
      </c>
      <c r="D63" s="25" t="s">
        <v>1147</v>
      </c>
      <c r="E63" s="25"/>
      <c r="F63" s="25"/>
      <c r="G63" s="26" t="s">
        <v>1942</v>
      </c>
      <c r="H63" s="25"/>
      <c r="I63" s="26" t="s">
        <v>1942</v>
      </c>
      <c r="J63" s="28">
        <v>8033.0</v>
      </c>
      <c r="K63" s="26" t="s">
        <v>1966</v>
      </c>
      <c r="L63" s="26" t="s">
        <v>1947</v>
      </c>
      <c r="M63" s="26">
        <v>1.0</v>
      </c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20" t="s">
        <v>1948</v>
      </c>
      <c r="B64" s="20" t="s">
        <v>1169</v>
      </c>
      <c r="C64" s="30" t="s">
        <v>1170</v>
      </c>
      <c r="D64" s="20" t="s">
        <v>1171</v>
      </c>
      <c r="E64" s="20"/>
      <c r="F64" s="20"/>
      <c r="G64" s="22" t="s">
        <v>1942</v>
      </c>
      <c r="H64" s="20"/>
      <c r="I64" s="22" t="s">
        <v>1942</v>
      </c>
      <c r="J64" s="24">
        <v>4683.0</v>
      </c>
      <c r="K64" s="22" t="s">
        <v>1974</v>
      </c>
      <c r="L64" s="22" t="s">
        <v>1947</v>
      </c>
      <c r="M64" s="22">
        <v>1.0</v>
      </c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25" t="s">
        <v>1948</v>
      </c>
      <c r="B65" s="25" t="s">
        <v>1109</v>
      </c>
      <c r="C65" s="29" t="s">
        <v>1110</v>
      </c>
      <c r="D65" s="25" t="s">
        <v>1111</v>
      </c>
      <c r="E65" s="25"/>
      <c r="F65" s="25"/>
      <c r="G65" s="26" t="s">
        <v>1942</v>
      </c>
      <c r="H65" s="25"/>
      <c r="I65" s="26" t="s">
        <v>1942</v>
      </c>
      <c r="J65" s="28">
        <v>6944.0</v>
      </c>
      <c r="K65" s="26" t="s">
        <v>1975</v>
      </c>
      <c r="L65" s="26" t="s">
        <v>1947</v>
      </c>
      <c r="M65" s="26">
        <v>1.0</v>
      </c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20" t="s">
        <v>1948</v>
      </c>
      <c r="B66" s="20" t="s">
        <v>1133</v>
      </c>
      <c r="C66" s="30" t="s">
        <v>1134</v>
      </c>
      <c r="D66" s="20" t="s">
        <v>1135</v>
      </c>
      <c r="E66" s="20"/>
      <c r="F66" s="20"/>
      <c r="G66" s="22" t="s">
        <v>1942</v>
      </c>
      <c r="H66" s="20"/>
      <c r="I66" s="22" t="s">
        <v>1942</v>
      </c>
      <c r="J66" s="24">
        <v>8033.0</v>
      </c>
      <c r="K66" s="22" t="s">
        <v>1966</v>
      </c>
      <c r="L66" s="22" t="s">
        <v>1947</v>
      </c>
      <c r="M66" s="22">
        <v>1.0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25" t="s">
        <v>1948</v>
      </c>
      <c r="B67" s="25" t="s">
        <v>1165</v>
      </c>
      <c r="C67" s="29" t="s">
        <v>1166</v>
      </c>
      <c r="D67" s="25" t="s">
        <v>1167</v>
      </c>
      <c r="E67" s="25"/>
      <c r="F67" s="25"/>
      <c r="G67" s="26" t="s">
        <v>1942</v>
      </c>
      <c r="H67" s="25"/>
      <c r="I67" s="26" t="s">
        <v>1942</v>
      </c>
      <c r="J67" s="28">
        <v>4683.0</v>
      </c>
      <c r="K67" s="26" t="s">
        <v>1974</v>
      </c>
      <c r="L67" s="26" t="s">
        <v>1947</v>
      </c>
      <c r="M67" s="26">
        <v>1.0</v>
      </c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20" t="s">
        <v>1948</v>
      </c>
      <c r="B68" s="20" t="s">
        <v>1121</v>
      </c>
      <c r="C68" s="30" t="s">
        <v>1122</v>
      </c>
      <c r="D68" s="20" t="s">
        <v>1123</v>
      </c>
      <c r="E68" s="20"/>
      <c r="F68" s="20"/>
      <c r="G68" s="22" t="s">
        <v>1942</v>
      </c>
      <c r="H68" s="20"/>
      <c r="I68" s="22" t="s">
        <v>1942</v>
      </c>
      <c r="J68" s="24">
        <v>4683.0</v>
      </c>
      <c r="K68" s="22" t="s">
        <v>1974</v>
      </c>
      <c r="L68" s="22" t="s">
        <v>1947</v>
      </c>
      <c r="M68" s="22">
        <v>1.0</v>
      </c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25" t="s">
        <v>1948</v>
      </c>
      <c r="B69" s="25" t="s">
        <v>1101</v>
      </c>
      <c r="C69" s="29" t="s">
        <v>1102</v>
      </c>
      <c r="D69" s="25" t="s">
        <v>1103</v>
      </c>
      <c r="E69" s="25"/>
      <c r="F69" s="25"/>
      <c r="G69" s="26" t="s">
        <v>1942</v>
      </c>
      <c r="H69" s="25"/>
      <c r="I69" s="26" t="s">
        <v>1942</v>
      </c>
      <c r="J69" s="28">
        <v>6694.0</v>
      </c>
      <c r="K69" s="26" t="s">
        <v>1969</v>
      </c>
      <c r="L69" s="26" t="s">
        <v>1947</v>
      </c>
      <c r="M69" s="26">
        <v>1.0</v>
      </c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20" t="s">
        <v>1948</v>
      </c>
      <c r="B70" s="20" t="s">
        <v>1125</v>
      </c>
      <c r="C70" s="30" t="s">
        <v>1126</v>
      </c>
      <c r="D70" s="20" t="s">
        <v>1127</v>
      </c>
      <c r="E70" s="20"/>
      <c r="F70" s="20"/>
      <c r="G70" s="22" t="s">
        <v>1942</v>
      </c>
      <c r="H70" s="20"/>
      <c r="I70" s="22" t="s">
        <v>1942</v>
      </c>
      <c r="J70" s="24">
        <v>8033.0</v>
      </c>
      <c r="K70" s="22" t="s">
        <v>1966</v>
      </c>
      <c r="L70" s="22" t="s">
        <v>1947</v>
      </c>
      <c r="M70" s="22">
        <v>1.0</v>
      </c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25" t="s">
        <v>1948</v>
      </c>
      <c r="B71" s="25" t="s">
        <v>1141</v>
      </c>
      <c r="C71" s="29" t="s">
        <v>1142</v>
      </c>
      <c r="D71" s="25" t="s">
        <v>1143</v>
      </c>
      <c r="E71" s="25"/>
      <c r="F71" s="25"/>
      <c r="G71" s="26" t="s">
        <v>1942</v>
      </c>
      <c r="H71" s="25"/>
      <c r="I71" s="26" t="s">
        <v>1942</v>
      </c>
      <c r="J71" s="28">
        <v>4683.0</v>
      </c>
      <c r="K71" s="26" t="s">
        <v>1974</v>
      </c>
      <c r="L71" s="26" t="s">
        <v>1947</v>
      </c>
      <c r="M71" s="26">
        <v>1.0</v>
      </c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20" t="s">
        <v>1948</v>
      </c>
      <c r="B72" s="20" t="s">
        <v>1161</v>
      </c>
      <c r="C72" s="30" t="s">
        <v>1162</v>
      </c>
      <c r="D72" s="20" t="s">
        <v>1163</v>
      </c>
      <c r="E72" s="20"/>
      <c r="F72" s="20"/>
      <c r="G72" s="22" t="s">
        <v>1942</v>
      </c>
      <c r="H72" s="20"/>
      <c r="I72" s="22" t="s">
        <v>1942</v>
      </c>
      <c r="J72" s="24">
        <v>6694.0</v>
      </c>
      <c r="K72" s="22" t="s">
        <v>1969</v>
      </c>
      <c r="L72" s="22" t="s">
        <v>1947</v>
      </c>
      <c r="M72" s="22">
        <v>1.0</v>
      </c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25" t="s">
        <v>1948</v>
      </c>
      <c r="B73" s="25" t="s">
        <v>1105</v>
      </c>
      <c r="C73" s="29" t="s">
        <v>1106</v>
      </c>
      <c r="D73" s="25" t="s">
        <v>1107</v>
      </c>
      <c r="E73" s="25"/>
      <c r="F73" s="25"/>
      <c r="G73" s="26" t="s">
        <v>1942</v>
      </c>
      <c r="H73" s="25"/>
      <c r="I73" s="26" t="s">
        <v>1942</v>
      </c>
      <c r="J73" s="28">
        <v>8033.0</v>
      </c>
      <c r="K73" s="26" t="s">
        <v>1966</v>
      </c>
      <c r="L73" s="26" t="s">
        <v>1947</v>
      </c>
      <c r="M73" s="26">
        <v>1.0</v>
      </c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20" t="s">
        <v>1948</v>
      </c>
      <c r="B74" s="20" t="s">
        <v>1177</v>
      </c>
      <c r="C74" s="30" t="s">
        <v>1178</v>
      </c>
      <c r="D74" s="20" t="s">
        <v>1179</v>
      </c>
      <c r="E74" s="20"/>
      <c r="F74" s="20"/>
      <c r="G74" s="22" t="s">
        <v>1942</v>
      </c>
      <c r="H74" s="20"/>
      <c r="I74" s="22" t="s">
        <v>1942</v>
      </c>
      <c r="J74" s="24">
        <v>4683.0</v>
      </c>
      <c r="K74" s="22" t="s">
        <v>1974</v>
      </c>
      <c r="L74" s="22" t="s">
        <v>1947</v>
      </c>
      <c r="M74" s="22">
        <v>1.0</v>
      </c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25" t="s">
        <v>1948</v>
      </c>
      <c r="B75" s="25" t="s">
        <v>1193</v>
      </c>
      <c r="C75" s="21" t="s">
        <v>1194</v>
      </c>
      <c r="D75" s="25" t="s">
        <v>745</v>
      </c>
      <c r="E75" s="25"/>
      <c r="F75" s="25"/>
      <c r="G75" s="26" t="s">
        <v>1942</v>
      </c>
      <c r="H75" s="25"/>
      <c r="I75" s="26" t="s">
        <v>1942</v>
      </c>
      <c r="J75" s="28">
        <v>10043.0</v>
      </c>
      <c r="K75" s="26" t="s">
        <v>1965</v>
      </c>
      <c r="L75" s="26" t="s">
        <v>1947</v>
      </c>
      <c r="M75" s="26">
        <v>1.0</v>
      </c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20" t="s">
        <v>1948</v>
      </c>
      <c r="B76" s="20" t="s">
        <v>1387</v>
      </c>
      <c r="C76" s="30" t="s">
        <v>1388</v>
      </c>
      <c r="D76" s="20" t="s">
        <v>1389</v>
      </c>
      <c r="E76" s="20"/>
      <c r="F76" s="20"/>
      <c r="G76" s="20"/>
      <c r="H76" s="20"/>
      <c r="I76" s="20"/>
      <c r="J76" s="24">
        <v>8033.0</v>
      </c>
      <c r="K76" s="20"/>
      <c r="L76" s="20"/>
      <c r="M76" s="22">
        <v>1.0</v>
      </c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25" t="s">
        <v>1976</v>
      </c>
      <c r="B77" s="25" t="s">
        <v>1977</v>
      </c>
      <c r="C77" s="29" t="s">
        <v>1978</v>
      </c>
      <c r="D77" s="25" t="s">
        <v>1979</v>
      </c>
      <c r="E77" s="26" t="s">
        <v>1980</v>
      </c>
      <c r="F77" s="27">
        <v>0.16</v>
      </c>
      <c r="G77" s="26" t="s">
        <v>1981</v>
      </c>
      <c r="H77" s="26" t="s">
        <v>1942</v>
      </c>
      <c r="I77" s="26" t="s">
        <v>1982</v>
      </c>
      <c r="J77" s="28">
        <v>6941.0</v>
      </c>
      <c r="K77" s="26" t="s">
        <v>1983</v>
      </c>
      <c r="L77" s="26" t="s">
        <v>1984</v>
      </c>
      <c r="M77" s="26">
        <v>1.0</v>
      </c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20" t="s">
        <v>1976</v>
      </c>
      <c r="B78" s="20" t="s">
        <v>344</v>
      </c>
      <c r="C78" s="21">
        <v>710763.0</v>
      </c>
      <c r="D78" s="20" t="s">
        <v>345</v>
      </c>
      <c r="E78" s="22" t="s">
        <v>1985</v>
      </c>
      <c r="F78" s="23">
        <v>0.16</v>
      </c>
      <c r="G78" s="22" t="s">
        <v>1986</v>
      </c>
      <c r="H78" s="22" t="s">
        <v>1935</v>
      </c>
      <c r="I78" s="22" t="s">
        <v>1987</v>
      </c>
      <c r="J78" s="24">
        <v>14500.0</v>
      </c>
      <c r="K78" s="22" t="s">
        <v>1988</v>
      </c>
      <c r="L78" s="22" t="s">
        <v>1989</v>
      </c>
      <c r="M78" s="22">
        <v>16.0</v>
      </c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25" t="s">
        <v>1976</v>
      </c>
      <c r="B79" s="25" t="s">
        <v>1990</v>
      </c>
      <c r="C79" s="29">
        <v>710798.0</v>
      </c>
      <c r="D79" s="25" t="s">
        <v>1991</v>
      </c>
      <c r="E79" s="26" t="s">
        <v>1992</v>
      </c>
      <c r="F79" s="27">
        <v>0.16</v>
      </c>
      <c r="G79" s="26" t="s">
        <v>1993</v>
      </c>
      <c r="H79" s="26" t="s">
        <v>1942</v>
      </c>
      <c r="I79" s="26" t="s">
        <v>1994</v>
      </c>
      <c r="J79" s="28">
        <v>4665.0</v>
      </c>
      <c r="K79" s="26" t="s">
        <v>1995</v>
      </c>
      <c r="L79" s="26" t="s">
        <v>1996</v>
      </c>
      <c r="M79" s="26">
        <v>1.0</v>
      </c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20" t="s">
        <v>1976</v>
      </c>
      <c r="B80" s="20" t="s">
        <v>555</v>
      </c>
      <c r="C80" s="21" t="s">
        <v>556</v>
      </c>
      <c r="D80" s="20" t="s">
        <v>557</v>
      </c>
      <c r="E80" s="22" t="s">
        <v>1960</v>
      </c>
      <c r="F80" s="23">
        <v>0.16</v>
      </c>
      <c r="G80" s="22" t="s">
        <v>1997</v>
      </c>
      <c r="H80" s="22" t="s">
        <v>1942</v>
      </c>
      <c r="I80" s="22" t="s">
        <v>1998</v>
      </c>
      <c r="J80" s="24">
        <v>11542.0</v>
      </c>
      <c r="K80" s="22" t="s">
        <v>1999</v>
      </c>
      <c r="L80" s="22" t="s">
        <v>2000</v>
      </c>
      <c r="M80" s="22">
        <v>24.0</v>
      </c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25" t="s">
        <v>1976</v>
      </c>
      <c r="B81" s="25" t="s">
        <v>326</v>
      </c>
      <c r="C81" s="21" t="s">
        <v>327</v>
      </c>
      <c r="D81" s="25" t="s">
        <v>2001</v>
      </c>
      <c r="E81" s="26" t="s">
        <v>2002</v>
      </c>
      <c r="F81" s="27">
        <v>0.16</v>
      </c>
      <c r="G81" s="26" t="s">
        <v>2003</v>
      </c>
      <c r="H81" s="26" t="s">
        <v>1942</v>
      </c>
      <c r="I81" s="26" t="s">
        <v>2004</v>
      </c>
      <c r="J81" s="28">
        <v>5800.0</v>
      </c>
      <c r="K81" s="26" t="s">
        <v>2005</v>
      </c>
      <c r="L81" s="26" t="s">
        <v>2006</v>
      </c>
      <c r="M81" s="26">
        <v>40.0</v>
      </c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20" t="s">
        <v>1976</v>
      </c>
      <c r="B82" s="20" t="s">
        <v>2007</v>
      </c>
      <c r="C82" s="30">
        <v>710766.0</v>
      </c>
      <c r="D82" s="20" t="s">
        <v>2008</v>
      </c>
      <c r="E82" s="22" t="s">
        <v>2009</v>
      </c>
      <c r="F82" s="23">
        <v>0.16</v>
      </c>
      <c r="G82" s="22" t="s">
        <v>2010</v>
      </c>
      <c r="H82" s="22" t="s">
        <v>1942</v>
      </c>
      <c r="I82" s="22" t="s">
        <v>2011</v>
      </c>
      <c r="J82" s="24">
        <v>12094.0</v>
      </c>
      <c r="K82" s="22" t="s">
        <v>2012</v>
      </c>
      <c r="L82" s="22" t="s">
        <v>2013</v>
      </c>
      <c r="M82" s="22">
        <v>1.0</v>
      </c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25" t="s">
        <v>1976</v>
      </c>
      <c r="B83" s="25" t="s">
        <v>2014</v>
      </c>
      <c r="C83" s="21">
        <v>710765.0</v>
      </c>
      <c r="D83" s="25" t="s">
        <v>2015</v>
      </c>
      <c r="E83" s="26" t="s">
        <v>2016</v>
      </c>
      <c r="F83" s="27">
        <v>0.16</v>
      </c>
      <c r="G83" s="26" t="s">
        <v>2017</v>
      </c>
      <c r="H83" s="26" t="s">
        <v>1942</v>
      </c>
      <c r="I83" s="26" t="s">
        <v>2018</v>
      </c>
      <c r="J83" s="28">
        <v>8793.0</v>
      </c>
      <c r="K83" s="26" t="s">
        <v>1993</v>
      </c>
      <c r="L83" s="26" t="s">
        <v>2019</v>
      </c>
      <c r="M83" s="26">
        <v>1.0</v>
      </c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20" t="s">
        <v>1976</v>
      </c>
      <c r="B84" s="20" t="s">
        <v>2020</v>
      </c>
      <c r="C84" s="21" t="s">
        <v>327</v>
      </c>
      <c r="D84" s="20" t="s">
        <v>2021</v>
      </c>
      <c r="E84" s="22" t="s">
        <v>2022</v>
      </c>
      <c r="F84" s="23">
        <v>0.16</v>
      </c>
      <c r="G84" s="22" t="s">
        <v>2023</v>
      </c>
      <c r="H84" s="22" t="s">
        <v>1942</v>
      </c>
      <c r="I84" s="22" t="s">
        <v>2024</v>
      </c>
      <c r="J84" s="24">
        <v>5800.0</v>
      </c>
      <c r="K84" s="22" t="s">
        <v>2025</v>
      </c>
      <c r="L84" s="22" t="s">
        <v>2026</v>
      </c>
      <c r="M84" s="22">
        <v>40.0</v>
      </c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25" t="s">
        <v>1976</v>
      </c>
      <c r="B85" s="25" t="s">
        <v>2027</v>
      </c>
      <c r="C85" s="21">
        <v>710765.0</v>
      </c>
      <c r="D85" s="25" t="s">
        <v>2028</v>
      </c>
      <c r="E85" s="26" t="s">
        <v>2016</v>
      </c>
      <c r="F85" s="27">
        <v>0.16</v>
      </c>
      <c r="G85" s="26" t="s">
        <v>2017</v>
      </c>
      <c r="H85" s="26" t="s">
        <v>1942</v>
      </c>
      <c r="I85" s="26" t="s">
        <v>2018</v>
      </c>
      <c r="J85" s="28">
        <v>8793.0</v>
      </c>
      <c r="K85" s="26" t="s">
        <v>1993</v>
      </c>
      <c r="L85" s="26" t="s">
        <v>2019</v>
      </c>
      <c r="M85" s="26">
        <v>1.0</v>
      </c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20" t="s">
        <v>1976</v>
      </c>
      <c r="B86" s="20" t="s">
        <v>2029</v>
      </c>
      <c r="C86" s="30" t="s">
        <v>2030</v>
      </c>
      <c r="D86" s="20" t="s">
        <v>2031</v>
      </c>
      <c r="E86" s="22" t="s">
        <v>2032</v>
      </c>
      <c r="F86" s="23">
        <v>0.16</v>
      </c>
      <c r="G86" s="22" t="s">
        <v>2033</v>
      </c>
      <c r="H86" s="22" t="s">
        <v>1942</v>
      </c>
      <c r="I86" s="22" t="s">
        <v>2034</v>
      </c>
      <c r="J86" s="24">
        <v>3522.0</v>
      </c>
      <c r="K86" s="22" t="s">
        <v>2035</v>
      </c>
      <c r="L86" s="22" t="s">
        <v>2036</v>
      </c>
      <c r="M86" s="22">
        <v>1.0</v>
      </c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25" t="s">
        <v>1976</v>
      </c>
      <c r="B87" s="25" t="s">
        <v>2037</v>
      </c>
      <c r="C87" s="29">
        <v>710768.0</v>
      </c>
      <c r="D87" s="25" t="s">
        <v>2038</v>
      </c>
      <c r="E87" s="26" t="s">
        <v>2039</v>
      </c>
      <c r="F87" s="27">
        <v>0.16</v>
      </c>
      <c r="G87" s="26" t="s">
        <v>2040</v>
      </c>
      <c r="H87" s="26" t="s">
        <v>2041</v>
      </c>
      <c r="I87" s="26" t="s">
        <v>2042</v>
      </c>
      <c r="J87" s="28">
        <v>19278.0</v>
      </c>
      <c r="K87" s="26" t="s">
        <v>2043</v>
      </c>
      <c r="L87" s="26" t="s">
        <v>2044</v>
      </c>
      <c r="M87" s="26">
        <v>1.0</v>
      </c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20" t="s">
        <v>1976</v>
      </c>
      <c r="B88" s="20" t="s">
        <v>2045</v>
      </c>
      <c r="C88" s="21" t="s">
        <v>556</v>
      </c>
      <c r="D88" s="20" t="s">
        <v>557</v>
      </c>
      <c r="E88" s="22" t="s">
        <v>1960</v>
      </c>
      <c r="F88" s="23">
        <v>0.16</v>
      </c>
      <c r="G88" s="22" t="s">
        <v>2046</v>
      </c>
      <c r="H88" s="22" t="s">
        <v>1942</v>
      </c>
      <c r="I88" s="22" t="s">
        <v>2047</v>
      </c>
      <c r="J88" s="24">
        <v>11542.0</v>
      </c>
      <c r="K88" s="22" t="s">
        <v>2048</v>
      </c>
      <c r="L88" s="22" t="s">
        <v>2049</v>
      </c>
      <c r="M88" s="22">
        <v>1.0</v>
      </c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25" t="s">
        <v>1976</v>
      </c>
      <c r="B89" s="25" t="s">
        <v>2050</v>
      </c>
      <c r="C89" s="21">
        <v>710763.0</v>
      </c>
      <c r="D89" s="25" t="s">
        <v>2051</v>
      </c>
      <c r="E89" s="25"/>
      <c r="F89" s="25"/>
      <c r="G89" s="26" t="s">
        <v>1942</v>
      </c>
      <c r="H89" s="25"/>
      <c r="I89" s="26" t="s">
        <v>1942</v>
      </c>
      <c r="J89" s="28">
        <v>14500.0</v>
      </c>
      <c r="K89" s="26" t="s">
        <v>2052</v>
      </c>
      <c r="L89" s="26" t="s">
        <v>1947</v>
      </c>
      <c r="M89" s="26">
        <v>16.0</v>
      </c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20" t="s">
        <v>1976</v>
      </c>
      <c r="B90" s="20" t="s">
        <v>1231</v>
      </c>
      <c r="C90" s="21" t="s">
        <v>1232</v>
      </c>
      <c r="D90" s="20" t="s">
        <v>1233</v>
      </c>
      <c r="E90" s="20"/>
      <c r="F90" s="20"/>
      <c r="G90" s="20"/>
      <c r="H90" s="20"/>
      <c r="I90" s="20"/>
      <c r="J90" s="24">
        <v>14698.0</v>
      </c>
      <c r="K90" s="20"/>
      <c r="L90" s="20"/>
      <c r="M90" s="22">
        <v>6.0</v>
      </c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25" t="s">
        <v>1976</v>
      </c>
      <c r="B91" s="25" t="s">
        <v>2053</v>
      </c>
      <c r="C91" s="21" t="s">
        <v>1232</v>
      </c>
      <c r="D91" s="25" t="s">
        <v>2054</v>
      </c>
      <c r="E91" s="25"/>
      <c r="F91" s="25"/>
      <c r="G91" s="25"/>
      <c r="H91" s="25"/>
      <c r="I91" s="25"/>
      <c r="J91" s="28">
        <v>14698.0</v>
      </c>
      <c r="K91" s="25"/>
      <c r="L91" s="25"/>
      <c r="M91" s="26">
        <v>6.0</v>
      </c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20" t="s">
        <v>1976</v>
      </c>
      <c r="B92" s="20" t="s">
        <v>1215</v>
      </c>
      <c r="C92" s="30" t="s">
        <v>1216</v>
      </c>
      <c r="D92" s="20" t="s">
        <v>1217</v>
      </c>
      <c r="E92" s="20"/>
      <c r="F92" s="20"/>
      <c r="G92" s="20"/>
      <c r="H92" s="20"/>
      <c r="I92" s="20"/>
      <c r="J92" s="24">
        <v>7349.0</v>
      </c>
      <c r="K92" s="20"/>
      <c r="L92" s="20"/>
      <c r="M92" s="22">
        <v>12.0</v>
      </c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25" t="s">
        <v>1976</v>
      </c>
      <c r="B93" s="25" t="s">
        <v>1227</v>
      </c>
      <c r="C93" s="29" t="s">
        <v>1228</v>
      </c>
      <c r="D93" s="25" t="s">
        <v>1229</v>
      </c>
      <c r="E93" s="25"/>
      <c r="F93" s="25"/>
      <c r="G93" s="25"/>
      <c r="H93" s="25"/>
      <c r="I93" s="25"/>
      <c r="J93" s="28">
        <v>9178.0</v>
      </c>
      <c r="K93" s="25"/>
      <c r="L93" s="25"/>
      <c r="M93" s="26">
        <v>38.0</v>
      </c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20" t="s">
        <v>1976</v>
      </c>
      <c r="B94" s="20" t="s">
        <v>1211</v>
      </c>
      <c r="C94" s="21" t="s">
        <v>1212</v>
      </c>
      <c r="D94" s="20" t="s">
        <v>1213</v>
      </c>
      <c r="E94" s="20"/>
      <c r="F94" s="20"/>
      <c r="G94" s="20"/>
      <c r="H94" s="20"/>
      <c r="I94" s="20"/>
      <c r="J94" s="24">
        <v>6745.0</v>
      </c>
      <c r="K94" s="20"/>
      <c r="L94" s="20"/>
      <c r="M94" s="22">
        <v>6.0</v>
      </c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25" t="s">
        <v>1976</v>
      </c>
      <c r="B95" s="25" t="s">
        <v>1207</v>
      </c>
      <c r="C95" s="29" t="s">
        <v>1208</v>
      </c>
      <c r="D95" s="25" t="s">
        <v>1209</v>
      </c>
      <c r="E95" s="25"/>
      <c r="F95" s="25"/>
      <c r="G95" s="25"/>
      <c r="H95" s="25"/>
      <c r="I95" s="25"/>
      <c r="J95" s="28">
        <v>9206.0</v>
      </c>
      <c r="K95" s="25"/>
      <c r="L95" s="25"/>
      <c r="M95" s="26">
        <v>6.0</v>
      </c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20" t="s">
        <v>1976</v>
      </c>
      <c r="B96" s="20" t="s">
        <v>1223</v>
      </c>
      <c r="C96" s="21" t="s">
        <v>1224</v>
      </c>
      <c r="D96" s="20" t="s">
        <v>1225</v>
      </c>
      <c r="E96" s="20"/>
      <c r="F96" s="20"/>
      <c r="G96" s="20"/>
      <c r="H96" s="20"/>
      <c r="I96" s="20"/>
      <c r="J96" s="24">
        <v>4905.0</v>
      </c>
      <c r="K96" s="20"/>
      <c r="L96" s="20"/>
      <c r="M96" s="22">
        <v>12.0</v>
      </c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25" t="s">
        <v>1976</v>
      </c>
      <c r="B97" s="25" t="s">
        <v>2055</v>
      </c>
      <c r="C97" s="21" t="s">
        <v>1224</v>
      </c>
      <c r="D97" s="25" t="s">
        <v>2056</v>
      </c>
      <c r="E97" s="25"/>
      <c r="F97" s="25"/>
      <c r="G97" s="25"/>
      <c r="H97" s="25"/>
      <c r="I97" s="25"/>
      <c r="J97" s="28">
        <v>4905.0</v>
      </c>
      <c r="K97" s="25"/>
      <c r="L97" s="25"/>
      <c r="M97" s="26">
        <v>12.0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20" t="s">
        <v>1976</v>
      </c>
      <c r="B98" s="20" t="s">
        <v>1203</v>
      </c>
      <c r="C98" s="30" t="s">
        <v>1204</v>
      </c>
      <c r="D98" s="20" t="s">
        <v>1205</v>
      </c>
      <c r="E98" s="20"/>
      <c r="F98" s="20"/>
      <c r="G98" s="20"/>
      <c r="H98" s="20"/>
      <c r="I98" s="20"/>
      <c r="J98" s="24">
        <v>12215.0</v>
      </c>
      <c r="K98" s="20"/>
      <c r="L98" s="20"/>
      <c r="M98" s="22">
        <v>24.0</v>
      </c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25" t="s">
        <v>1976</v>
      </c>
      <c r="B99" s="25" t="s">
        <v>2057</v>
      </c>
      <c r="C99" s="21" t="s">
        <v>1200</v>
      </c>
      <c r="D99" s="25" t="s">
        <v>2058</v>
      </c>
      <c r="E99" s="25"/>
      <c r="F99" s="25"/>
      <c r="G99" s="25"/>
      <c r="H99" s="25"/>
      <c r="I99" s="25"/>
      <c r="J99" s="28">
        <v>15343.0</v>
      </c>
      <c r="K99" s="25"/>
      <c r="L99" s="25"/>
      <c r="M99" s="26">
        <v>16.0</v>
      </c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20" t="s">
        <v>1976</v>
      </c>
      <c r="B100" s="20" t="s">
        <v>1199</v>
      </c>
      <c r="C100" s="21" t="s">
        <v>1200</v>
      </c>
      <c r="D100" s="20" t="s">
        <v>1201</v>
      </c>
      <c r="E100" s="20"/>
      <c r="F100" s="20"/>
      <c r="G100" s="20"/>
      <c r="H100" s="20"/>
      <c r="I100" s="20"/>
      <c r="J100" s="24">
        <v>15343.0</v>
      </c>
      <c r="K100" s="20"/>
      <c r="L100" s="20"/>
      <c r="M100" s="22">
        <v>16.0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25" t="s">
        <v>1976</v>
      </c>
      <c r="B101" s="25" t="s">
        <v>1219</v>
      </c>
      <c r="C101" s="29" t="s">
        <v>1220</v>
      </c>
      <c r="D101" s="25" t="s">
        <v>1221</v>
      </c>
      <c r="E101" s="25"/>
      <c r="F101" s="25"/>
      <c r="G101" s="25"/>
      <c r="H101" s="25"/>
      <c r="I101" s="25"/>
      <c r="J101" s="28">
        <v>6137.0</v>
      </c>
      <c r="K101" s="25"/>
      <c r="L101" s="25"/>
      <c r="M101" s="26">
        <v>40.0</v>
      </c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20" t="s">
        <v>1976</v>
      </c>
      <c r="B102" s="20" t="s">
        <v>2059</v>
      </c>
      <c r="C102" s="21" t="s">
        <v>1212</v>
      </c>
      <c r="D102" s="20" t="s">
        <v>1213</v>
      </c>
      <c r="E102" s="20"/>
      <c r="F102" s="20"/>
      <c r="G102" s="20"/>
      <c r="H102" s="20"/>
      <c r="I102" s="20"/>
      <c r="J102" s="24">
        <v>6745.0</v>
      </c>
      <c r="K102" s="20"/>
      <c r="L102" s="20"/>
      <c r="M102" s="22">
        <v>6.0</v>
      </c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25" t="s">
        <v>2060</v>
      </c>
      <c r="B103" s="25" t="s">
        <v>2061</v>
      </c>
      <c r="C103" s="21">
        <v>1173.0</v>
      </c>
      <c r="D103" s="25" t="s">
        <v>1197</v>
      </c>
      <c r="E103" s="25"/>
      <c r="F103" s="25"/>
      <c r="G103" s="26" t="s">
        <v>1942</v>
      </c>
      <c r="H103" s="25"/>
      <c r="I103" s="26" t="s">
        <v>1942</v>
      </c>
      <c r="J103" s="28">
        <v>11893.0</v>
      </c>
      <c r="K103" s="26" t="s">
        <v>2062</v>
      </c>
      <c r="L103" s="26" t="s">
        <v>1947</v>
      </c>
      <c r="M103" s="26">
        <v>6.0</v>
      </c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20" t="s">
        <v>2060</v>
      </c>
      <c r="B104" s="20" t="s">
        <v>1196</v>
      </c>
      <c r="C104" s="21">
        <v>1173.0</v>
      </c>
      <c r="D104" s="20" t="s">
        <v>1197</v>
      </c>
      <c r="E104" s="20"/>
      <c r="F104" s="20"/>
      <c r="G104" s="22" t="s">
        <v>1942</v>
      </c>
      <c r="H104" s="20"/>
      <c r="I104" s="22" t="s">
        <v>1942</v>
      </c>
      <c r="J104" s="24">
        <v>11893.0</v>
      </c>
      <c r="K104" s="22" t="s">
        <v>2062</v>
      </c>
      <c r="L104" s="22" t="s">
        <v>1947</v>
      </c>
      <c r="M104" s="22">
        <v>6.0</v>
      </c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25" t="s">
        <v>2060</v>
      </c>
      <c r="B105" s="25" t="s">
        <v>2063</v>
      </c>
      <c r="C105" s="21">
        <v>1120.0</v>
      </c>
      <c r="D105" s="31" t="s">
        <v>2064</v>
      </c>
      <c r="E105" s="25"/>
      <c r="F105" s="25"/>
      <c r="G105" s="26" t="s">
        <v>1942</v>
      </c>
      <c r="H105" s="25"/>
      <c r="I105" s="26" t="s">
        <v>1942</v>
      </c>
      <c r="J105" s="28">
        <v>11893.0</v>
      </c>
      <c r="K105" s="26" t="s">
        <v>2062</v>
      </c>
      <c r="L105" s="26" t="s">
        <v>1947</v>
      </c>
      <c r="M105" s="26">
        <v>6.0</v>
      </c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20" t="s">
        <v>2060</v>
      </c>
      <c r="B106" s="20" t="s">
        <v>1837</v>
      </c>
      <c r="C106" s="21">
        <v>1120.0</v>
      </c>
      <c r="D106" s="31" t="s">
        <v>2065</v>
      </c>
      <c r="E106" s="20"/>
      <c r="F106" s="20"/>
      <c r="G106" s="22" t="s">
        <v>1942</v>
      </c>
      <c r="H106" s="20"/>
      <c r="I106" s="22" t="s">
        <v>1942</v>
      </c>
      <c r="J106" s="24">
        <v>11893.0</v>
      </c>
      <c r="K106" s="22" t="s">
        <v>2062</v>
      </c>
      <c r="L106" s="22" t="s">
        <v>1947</v>
      </c>
      <c r="M106" s="22">
        <v>6.0</v>
      </c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25" t="s">
        <v>2060</v>
      </c>
      <c r="B107" s="25" t="s">
        <v>2066</v>
      </c>
      <c r="C107" s="21">
        <v>1408.0</v>
      </c>
      <c r="D107" s="25" t="s">
        <v>862</v>
      </c>
      <c r="E107" s="25"/>
      <c r="F107" s="25"/>
      <c r="G107" s="26" t="s">
        <v>1942</v>
      </c>
      <c r="H107" s="25"/>
      <c r="I107" s="26" t="s">
        <v>1942</v>
      </c>
      <c r="J107" s="28">
        <v>10494.0</v>
      </c>
      <c r="K107" s="26" t="s">
        <v>2067</v>
      </c>
      <c r="L107" s="26" t="s">
        <v>1947</v>
      </c>
      <c r="M107" s="26">
        <v>10.0</v>
      </c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20" t="s">
        <v>2060</v>
      </c>
      <c r="B108" s="20" t="s">
        <v>861</v>
      </c>
      <c r="C108" s="21">
        <v>1408.0</v>
      </c>
      <c r="D108" s="20" t="s">
        <v>862</v>
      </c>
      <c r="E108" s="20"/>
      <c r="F108" s="20"/>
      <c r="G108" s="22" t="s">
        <v>1942</v>
      </c>
      <c r="H108" s="20"/>
      <c r="I108" s="22" t="s">
        <v>1942</v>
      </c>
      <c r="J108" s="24">
        <v>10494.0</v>
      </c>
      <c r="K108" s="22" t="s">
        <v>2067</v>
      </c>
      <c r="L108" s="22" t="s">
        <v>1947</v>
      </c>
      <c r="M108" s="22">
        <v>10.0</v>
      </c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25" t="s">
        <v>2060</v>
      </c>
      <c r="B109" s="25" t="s">
        <v>2068</v>
      </c>
      <c r="C109" s="21">
        <v>1234.0</v>
      </c>
      <c r="D109" s="25" t="s">
        <v>1449</v>
      </c>
      <c r="E109" s="25"/>
      <c r="F109" s="25"/>
      <c r="G109" s="26" t="s">
        <v>1942</v>
      </c>
      <c r="H109" s="25"/>
      <c r="I109" s="26" t="s">
        <v>1942</v>
      </c>
      <c r="J109" s="28">
        <v>11893.0</v>
      </c>
      <c r="K109" s="26" t="s">
        <v>2062</v>
      </c>
      <c r="L109" s="26" t="s">
        <v>1947</v>
      </c>
      <c r="M109" s="26">
        <v>6.0</v>
      </c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20" t="s">
        <v>2060</v>
      </c>
      <c r="B110" s="20" t="s">
        <v>1448</v>
      </c>
      <c r="C110" s="21">
        <v>1234.0</v>
      </c>
      <c r="D110" s="20" t="s">
        <v>1449</v>
      </c>
      <c r="E110" s="20"/>
      <c r="F110" s="20"/>
      <c r="G110" s="22" t="s">
        <v>1942</v>
      </c>
      <c r="H110" s="20"/>
      <c r="I110" s="22" t="s">
        <v>1942</v>
      </c>
      <c r="J110" s="24">
        <v>11893.0</v>
      </c>
      <c r="K110" s="22" t="s">
        <v>2062</v>
      </c>
      <c r="L110" s="22" t="s">
        <v>1947</v>
      </c>
      <c r="M110" s="22">
        <v>6.0</v>
      </c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25" t="s">
        <v>2060</v>
      </c>
      <c r="B111" s="25" t="s">
        <v>858</v>
      </c>
      <c r="C111" s="21">
        <v>1283.0</v>
      </c>
      <c r="D111" s="25" t="s">
        <v>2069</v>
      </c>
      <c r="E111" s="25"/>
      <c r="F111" s="25"/>
      <c r="G111" s="26" t="s">
        <v>1942</v>
      </c>
      <c r="H111" s="25"/>
      <c r="I111" s="26" t="s">
        <v>1942</v>
      </c>
      <c r="J111" s="28">
        <v>11194.0</v>
      </c>
      <c r="K111" s="26" t="s">
        <v>2070</v>
      </c>
      <c r="L111" s="26" t="s">
        <v>1947</v>
      </c>
      <c r="M111" s="26">
        <v>6.0</v>
      </c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20" t="s">
        <v>2060</v>
      </c>
      <c r="B112" s="20" t="s">
        <v>2071</v>
      </c>
      <c r="C112" s="21">
        <v>1283.0</v>
      </c>
      <c r="D112" s="20" t="s">
        <v>2069</v>
      </c>
      <c r="E112" s="20"/>
      <c r="F112" s="20"/>
      <c r="G112" s="22" t="s">
        <v>1942</v>
      </c>
      <c r="H112" s="20"/>
      <c r="I112" s="22" t="s">
        <v>1942</v>
      </c>
      <c r="J112" s="24">
        <v>11194.0</v>
      </c>
      <c r="K112" s="22" t="s">
        <v>2070</v>
      </c>
      <c r="L112" s="22" t="s">
        <v>1947</v>
      </c>
      <c r="M112" s="22">
        <v>6.0</v>
      </c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25" t="s">
        <v>2060</v>
      </c>
      <c r="B113" s="25" t="s">
        <v>2072</v>
      </c>
      <c r="C113" s="21">
        <v>1432.0</v>
      </c>
      <c r="D113" s="25" t="s">
        <v>865</v>
      </c>
      <c r="E113" s="25"/>
      <c r="F113" s="25"/>
      <c r="G113" s="26" t="s">
        <v>1942</v>
      </c>
      <c r="H113" s="25"/>
      <c r="I113" s="26" t="s">
        <v>1942</v>
      </c>
      <c r="J113" s="28">
        <v>48994.0</v>
      </c>
      <c r="K113" s="26" t="s">
        <v>2073</v>
      </c>
      <c r="L113" s="26" t="s">
        <v>1947</v>
      </c>
      <c r="M113" s="26">
        <v>2.0</v>
      </c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20" t="s">
        <v>2060</v>
      </c>
      <c r="B114" s="20" t="s">
        <v>864</v>
      </c>
      <c r="C114" s="21">
        <v>1432.0</v>
      </c>
      <c r="D114" s="20" t="s">
        <v>865</v>
      </c>
      <c r="E114" s="20"/>
      <c r="F114" s="20"/>
      <c r="G114" s="22" t="s">
        <v>1942</v>
      </c>
      <c r="H114" s="20"/>
      <c r="I114" s="22" t="s">
        <v>1942</v>
      </c>
      <c r="J114" s="24">
        <v>48994.0</v>
      </c>
      <c r="K114" s="22" t="s">
        <v>2073</v>
      </c>
      <c r="L114" s="22" t="s">
        <v>1947</v>
      </c>
      <c r="M114" s="22">
        <v>2.0</v>
      </c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25" t="s">
        <v>2060</v>
      </c>
      <c r="B115" s="25" t="s">
        <v>2074</v>
      </c>
      <c r="C115" s="21">
        <v>1250.0</v>
      </c>
      <c r="D115" s="25" t="s">
        <v>856</v>
      </c>
      <c r="E115" s="25"/>
      <c r="F115" s="25"/>
      <c r="G115" s="26" t="s">
        <v>1942</v>
      </c>
      <c r="H115" s="25"/>
      <c r="I115" s="26" t="s">
        <v>1942</v>
      </c>
      <c r="J115" s="28">
        <v>15393.0</v>
      </c>
      <c r="K115" s="26" t="s">
        <v>2075</v>
      </c>
      <c r="L115" s="26" t="s">
        <v>1947</v>
      </c>
      <c r="M115" s="26">
        <v>6.0</v>
      </c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20" t="s">
        <v>2060</v>
      </c>
      <c r="B116" s="20" t="s">
        <v>855</v>
      </c>
      <c r="C116" s="21">
        <v>1250.0</v>
      </c>
      <c r="D116" s="20" t="s">
        <v>856</v>
      </c>
      <c r="E116" s="20"/>
      <c r="F116" s="20"/>
      <c r="G116" s="22" t="s">
        <v>1942</v>
      </c>
      <c r="H116" s="20"/>
      <c r="I116" s="22" t="s">
        <v>1942</v>
      </c>
      <c r="J116" s="24">
        <v>15393.0</v>
      </c>
      <c r="K116" s="22" t="s">
        <v>2075</v>
      </c>
      <c r="L116" s="22" t="s">
        <v>1947</v>
      </c>
      <c r="M116" s="22">
        <v>6.0</v>
      </c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25" t="s">
        <v>2060</v>
      </c>
      <c r="B117" s="25" t="s">
        <v>867</v>
      </c>
      <c r="C117" s="21">
        <v>1319.0</v>
      </c>
      <c r="D117" s="25" t="s">
        <v>868</v>
      </c>
      <c r="E117" s="25"/>
      <c r="F117" s="25"/>
      <c r="G117" s="26" t="s">
        <v>1942</v>
      </c>
      <c r="H117" s="25"/>
      <c r="I117" s="26" t="s">
        <v>1942</v>
      </c>
      <c r="J117" s="28">
        <v>6293.0</v>
      </c>
      <c r="K117" s="26" t="s">
        <v>2076</v>
      </c>
      <c r="L117" s="26" t="s">
        <v>1947</v>
      </c>
      <c r="M117" s="26">
        <v>10.0</v>
      </c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20" t="s">
        <v>2060</v>
      </c>
      <c r="B118" s="20" t="s">
        <v>2077</v>
      </c>
      <c r="C118" s="21">
        <v>1319.0</v>
      </c>
      <c r="D118" s="20" t="s">
        <v>868</v>
      </c>
      <c r="E118" s="20"/>
      <c r="F118" s="20"/>
      <c r="G118" s="22" t="s">
        <v>1942</v>
      </c>
      <c r="H118" s="20"/>
      <c r="I118" s="22" t="s">
        <v>1942</v>
      </c>
      <c r="J118" s="24">
        <v>6293.0</v>
      </c>
      <c r="K118" s="22" t="s">
        <v>2076</v>
      </c>
      <c r="L118" s="22" t="s">
        <v>1947</v>
      </c>
      <c r="M118" s="22">
        <v>10.0</v>
      </c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25" t="s">
        <v>2060</v>
      </c>
      <c r="B119" s="25" t="s">
        <v>909</v>
      </c>
      <c r="C119" s="21">
        <v>1219.0</v>
      </c>
      <c r="D119" s="25" t="s">
        <v>910</v>
      </c>
      <c r="E119" s="25"/>
      <c r="F119" s="25"/>
      <c r="G119" s="26" t="s">
        <v>1942</v>
      </c>
      <c r="H119" s="25"/>
      <c r="I119" s="26" t="s">
        <v>1942</v>
      </c>
      <c r="J119" s="28">
        <v>6992.0</v>
      </c>
      <c r="K119" s="26" t="s">
        <v>2078</v>
      </c>
      <c r="L119" s="26" t="s">
        <v>1947</v>
      </c>
      <c r="M119" s="26">
        <v>6.0</v>
      </c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20" t="s">
        <v>2060</v>
      </c>
      <c r="B120" s="20" t="s">
        <v>2079</v>
      </c>
      <c r="C120" s="21">
        <v>1219.0</v>
      </c>
      <c r="D120" s="20" t="s">
        <v>910</v>
      </c>
      <c r="E120" s="20"/>
      <c r="F120" s="20"/>
      <c r="G120" s="22" t="s">
        <v>1942</v>
      </c>
      <c r="H120" s="20"/>
      <c r="I120" s="22" t="s">
        <v>1942</v>
      </c>
      <c r="J120" s="24">
        <v>6992.0</v>
      </c>
      <c r="K120" s="22" t="s">
        <v>2078</v>
      </c>
      <c r="L120" s="22" t="s">
        <v>1947</v>
      </c>
      <c r="M120" s="22">
        <v>6.0</v>
      </c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25" t="s">
        <v>2060</v>
      </c>
      <c r="B121" s="25" t="s">
        <v>2080</v>
      </c>
      <c r="C121" s="21">
        <v>1444.0</v>
      </c>
      <c r="D121" s="25" t="s">
        <v>2081</v>
      </c>
      <c r="E121" s="25"/>
      <c r="F121" s="25"/>
      <c r="G121" s="26" t="s">
        <v>1942</v>
      </c>
      <c r="H121" s="25"/>
      <c r="I121" s="26" t="s">
        <v>1942</v>
      </c>
      <c r="J121" s="28">
        <v>62993.0</v>
      </c>
      <c r="K121" s="26" t="s">
        <v>2082</v>
      </c>
      <c r="L121" s="26" t="s">
        <v>1947</v>
      </c>
      <c r="M121" s="26">
        <v>6.0</v>
      </c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20" t="s">
        <v>2060</v>
      </c>
      <c r="B122" s="20" t="s">
        <v>906</v>
      </c>
      <c r="C122" s="21">
        <v>1444.0</v>
      </c>
      <c r="D122" s="20" t="s">
        <v>2081</v>
      </c>
      <c r="E122" s="20"/>
      <c r="F122" s="20"/>
      <c r="G122" s="22" t="s">
        <v>1942</v>
      </c>
      <c r="H122" s="20"/>
      <c r="I122" s="22" t="s">
        <v>1942</v>
      </c>
      <c r="J122" s="24">
        <v>62993.0</v>
      </c>
      <c r="K122" s="22" t="s">
        <v>2082</v>
      </c>
      <c r="L122" s="22" t="s">
        <v>1947</v>
      </c>
      <c r="M122" s="22">
        <v>6.0</v>
      </c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25" t="s">
        <v>2060</v>
      </c>
      <c r="B123" s="25" t="s">
        <v>2083</v>
      </c>
      <c r="C123" s="21">
        <v>1393.0</v>
      </c>
      <c r="D123" s="25" t="s">
        <v>2084</v>
      </c>
      <c r="E123" s="25"/>
      <c r="F123" s="25"/>
      <c r="G123" s="26" t="s">
        <v>1942</v>
      </c>
      <c r="H123" s="25"/>
      <c r="I123" s="26" t="s">
        <v>1942</v>
      </c>
      <c r="J123" s="28">
        <v>69993.0</v>
      </c>
      <c r="K123" s="26" t="s">
        <v>2085</v>
      </c>
      <c r="L123" s="26" t="s">
        <v>1947</v>
      </c>
      <c r="M123" s="26">
        <v>2.0</v>
      </c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20" t="s">
        <v>2060</v>
      </c>
      <c r="B124" s="20" t="s">
        <v>900</v>
      </c>
      <c r="C124" s="21">
        <v>1393.0</v>
      </c>
      <c r="D124" s="20" t="s">
        <v>2084</v>
      </c>
      <c r="E124" s="20"/>
      <c r="F124" s="20"/>
      <c r="G124" s="22" t="s">
        <v>1942</v>
      </c>
      <c r="H124" s="20"/>
      <c r="I124" s="22" t="s">
        <v>1942</v>
      </c>
      <c r="J124" s="24">
        <v>69993.0</v>
      </c>
      <c r="K124" s="22" t="s">
        <v>2085</v>
      </c>
      <c r="L124" s="22" t="s">
        <v>1947</v>
      </c>
      <c r="M124" s="22">
        <v>2.0</v>
      </c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25" t="s">
        <v>2060</v>
      </c>
      <c r="B125" s="25" t="s">
        <v>2086</v>
      </c>
      <c r="C125" s="21">
        <v>1439.0</v>
      </c>
      <c r="D125" s="25" t="s">
        <v>2087</v>
      </c>
      <c r="E125" s="25"/>
      <c r="F125" s="25"/>
      <c r="G125" s="26" t="s">
        <v>1942</v>
      </c>
      <c r="H125" s="25"/>
      <c r="I125" s="26" t="s">
        <v>1942</v>
      </c>
      <c r="J125" s="28">
        <v>55993.0</v>
      </c>
      <c r="K125" s="26" t="s">
        <v>2088</v>
      </c>
      <c r="L125" s="26" t="s">
        <v>1947</v>
      </c>
      <c r="M125" s="26">
        <v>2.0</v>
      </c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20" t="s">
        <v>2060</v>
      </c>
      <c r="B126" s="20" t="s">
        <v>903</v>
      </c>
      <c r="C126" s="21">
        <v>1439.0</v>
      </c>
      <c r="D126" s="20" t="s">
        <v>2087</v>
      </c>
      <c r="E126" s="20"/>
      <c r="F126" s="20"/>
      <c r="G126" s="22" t="s">
        <v>1942</v>
      </c>
      <c r="H126" s="20"/>
      <c r="I126" s="22" t="s">
        <v>1942</v>
      </c>
      <c r="J126" s="24">
        <v>55993.0</v>
      </c>
      <c r="K126" s="22" t="s">
        <v>2088</v>
      </c>
      <c r="L126" s="22" t="s">
        <v>1947</v>
      </c>
      <c r="M126" s="22">
        <v>2.0</v>
      </c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25" t="s">
        <v>2060</v>
      </c>
      <c r="B127" s="25" t="s">
        <v>2089</v>
      </c>
      <c r="C127" s="21">
        <v>1282.0</v>
      </c>
      <c r="D127" s="25" t="s">
        <v>2090</v>
      </c>
      <c r="E127" s="25"/>
      <c r="F127" s="25"/>
      <c r="G127" s="26" t="s">
        <v>1942</v>
      </c>
      <c r="H127" s="25"/>
      <c r="I127" s="26" t="s">
        <v>1942</v>
      </c>
      <c r="J127" s="28">
        <v>9793.0</v>
      </c>
      <c r="K127" s="26" t="s">
        <v>2091</v>
      </c>
      <c r="L127" s="26" t="s">
        <v>1947</v>
      </c>
      <c r="M127" s="26">
        <v>6.0</v>
      </c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20" t="s">
        <v>2060</v>
      </c>
      <c r="B128" s="20" t="s">
        <v>912</v>
      </c>
      <c r="C128" s="21">
        <v>1282.0</v>
      </c>
      <c r="D128" s="20" t="s">
        <v>2090</v>
      </c>
      <c r="E128" s="20"/>
      <c r="F128" s="20"/>
      <c r="G128" s="22" t="s">
        <v>1942</v>
      </c>
      <c r="H128" s="20"/>
      <c r="I128" s="22" t="s">
        <v>1942</v>
      </c>
      <c r="J128" s="24">
        <v>9793.0</v>
      </c>
      <c r="K128" s="22" t="s">
        <v>2091</v>
      </c>
      <c r="L128" s="22" t="s">
        <v>1947</v>
      </c>
      <c r="M128" s="22">
        <v>6.0</v>
      </c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25" t="s">
        <v>2060</v>
      </c>
      <c r="B129" s="25" t="s">
        <v>915</v>
      </c>
      <c r="C129" s="21">
        <v>1291.0</v>
      </c>
      <c r="D129" s="25" t="s">
        <v>916</v>
      </c>
      <c r="E129" s="25"/>
      <c r="F129" s="25"/>
      <c r="G129" s="26" t="s">
        <v>1942</v>
      </c>
      <c r="H129" s="25"/>
      <c r="I129" s="26" t="s">
        <v>1942</v>
      </c>
      <c r="J129" s="28">
        <v>6992.0</v>
      </c>
      <c r="K129" s="26" t="s">
        <v>2078</v>
      </c>
      <c r="L129" s="26" t="s">
        <v>1947</v>
      </c>
      <c r="M129" s="26">
        <v>12.0</v>
      </c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20" t="s">
        <v>2060</v>
      </c>
      <c r="B130" s="20" t="s">
        <v>2092</v>
      </c>
      <c r="C130" s="21">
        <v>1291.0</v>
      </c>
      <c r="D130" s="20" t="s">
        <v>916</v>
      </c>
      <c r="E130" s="20"/>
      <c r="F130" s="20"/>
      <c r="G130" s="22" t="s">
        <v>1942</v>
      </c>
      <c r="H130" s="20"/>
      <c r="I130" s="22" t="s">
        <v>1942</v>
      </c>
      <c r="J130" s="24">
        <v>6992.0</v>
      </c>
      <c r="K130" s="22" t="s">
        <v>2078</v>
      </c>
      <c r="L130" s="22" t="s">
        <v>1947</v>
      </c>
      <c r="M130" s="22">
        <v>12.0</v>
      </c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25" t="s">
        <v>2060</v>
      </c>
      <c r="B131" s="25" t="s">
        <v>1296</v>
      </c>
      <c r="C131" s="21">
        <v>1134.0</v>
      </c>
      <c r="D131" s="25" t="s">
        <v>2093</v>
      </c>
      <c r="E131" s="25"/>
      <c r="F131" s="25"/>
      <c r="G131" s="25"/>
      <c r="H131" s="25"/>
      <c r="I131" s="25"/>
      <c r="J131" s="28">
        <v>27994.0</v>
      </c>
      <c r="K131" s="25"/>
      <c r="L131" s="25"/>
      <c r="M131" s="26">
        <v>4.0</v>
      </c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20" t="s">
        <v>2060</v>
      </c>
      <c r="B132" s="20" t="s">
        <v>2094</v>
      </c>
      <c r="C132" s="21">
        <v>1134.0</v>
      </c>
      <c r="D132" s="20" t="s">
        <v>2093</v>
      </c>
      <c r="E132" s="20"/>
      <c r="F132" s="20"/>
      <c r="G132" s="20"/>
      <c r="H132" s="20"/>
      <c r="I132" s="20"/>
      <c r="J132" s="24">
        <v>27994.0</v>
      </c>
      <c r="K132" s="20"/>
      <c r="L132" s="20"/>
      <c r="M132" s="22">
        <v>4.0</v>
      </c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25" t="s">
        <v>2060</v>
      </c>
      <c r="B133" s="25" t="s">
        <v>1299</v>
      </c>
      <c r="C133" s="21">
        <v>1267.0</v>
      </c>
      <c r="D133" s="25" t="s">
        <v>2095</v>
      </c>
      <c r="E133" s="25"/>
      <c r="F133" s="25"/>
      <c r="G133" s="25"/>
      <c r="H133" s="25"/>
      <c r="I133" s="25"/>
      <c r="J133" s="28">
        <v>48993.0</v>
      </c>
      <c r="K133" s="25"/>
      <c r="L133" s="25"/>
      <c r="M133" s="26">
        <v>6.0</v>
      </c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20" t="s">
        <v>2060</v>
      </c>
      <c r="B134" s="20" t="s">
        <v>2096</v>
      </c>
      <c r="C134" s="21">
        <v>1267.0</v>
      </c>
      <c r="D134" s="20" t="s">
        <v>2095</v>
      </c>
      <c r="E134" s="20"/>
      <c r="F134" s="20"/>
      <c r="G134" s="20"/>
      <c r="H134" s="20"/>
      <c r="I134" s="20"/>
      <c r="J134" s="24">
        <v>48993.0</v>
      </c>
      <c r="K134" s="20"/>
      <c r="L134" s="20"/>
      <c r="M134" s="22">
        <v>6.0</v>
      </c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25" t="s">
        <v>2060</v>
      </c>
      <c r="B135" s="25" t="s">
        <v>2097</v>
      </c>
      <c r="C135" s="21">
        <v>1221.0</v>
      </c>
      <c r="D135" s="25" t="s">
        <v>1306</v>
      </c>
      <c r="E135" s="25"/>
      <c r="F135" s="25"/>
      <c r="G135" s="25"/>
      <c r="H135" s="25"/>
      <c r="I135" s="25"/>
      <c r="J135" s="28">
        <v>9793.0</v>
      </c>
      <c r="K135" s="25"/>
      <c r="L135" s="25"/>
      <c r="M135" s="26">
        <v>6.0</v>
      </c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20" t="s">
        <v>2060</v>
      </c>
      <c r="B136" s="20" t="s">
        <v>1305</v>
      </c>
      <c r="C136" s="21">
        <v>1221.0</v>
      </c>
      <c r="D136" s="20" t="s">
        <v>1306</v>
      </c>
      <c r="E136" s="20"/>
      <c r="F136" s="20"/>
      <c r="G136" s="20"/>
      <c r="H136" s="20"/>
      <c r="I136" s="20"/>
      <c r="J136" s="24">
        <v>9793.0</v>
      </c>
      <c r="K136" s="20"/>
      <c r="L136" s="20"/>
      <c r="M136" s="22">
        <v>6.0</v>
      </c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25" t="s">
        <v>2060</v>
      </c>
      <c r="B137" s="25" t="s">
        <v>2098</v>
      </c>
      <c r="C137" s="21">
        <v>1340.0</v>
      </c>
      <c r="D137" s="25" t="s">
        <v>2099</v>
      </c>
      <c r="E137" s="25"/>
      <c r="F137" s="25"/>
      <c r="G137" s="25"/>
      <c r="H137" s="25"/>
      <c r="I137" s="25"/>
      <c r="J137" s="28">
        <v>29393.0</v>
      </c>
      <c r="K137" s="25"/>
      <c r="L137" s="25"/>
      <c r="M137" s="26">
        <v>6.0</v>
      </c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20" t="s">
        <v>2060</v>
      </c>
      <c r="B138" s="20" t="s">
        <v>1308</v>
      </c>
      <c r="C138" s="21">
        <v>1340.0</v>
      </c>
      <c r="D138" s="20" t="s">
        <v>1309</v>
      </c>
      <c r="E138" s="20"/>
      <c r="F138" s="20"/>
      <c r="G138" s="20"/>
      <c r="H138" s="20"/>
      <c r="I138" s="20"/>
      <c r="J138" s="24">
        <v>29393.0</v>
      </c>
      <c r="K138" s="20"/>
      <c r="L138" s="20"/>
      <c r="M138" s="22">
        <v>6.0</v>
      </c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25" t="s">
        <v>2060</v>
      </c>
      <c r="B139" s="25" t="s">
        <v>1302</v>
      </c>
      <c r="C139" s="21">
        <v>1383.0</v>
      </c>
      <c r="D139" s="25" t="s">
        <v>2100</v>
      </c>
      <c r="E139" s="25"/>
      <c r="F139" s="25"/>
      <c r="G139" s="25"/>
      <c r="H139" s="25"/>
      <c r="I139" s="25"/>
      <c r="J139" s="28">
        <v>13993.0</v>
      </c>
      <c r="K139" s="25"/>
      <c r="L139" s="25"/>
      <c r="M139" s="26">
        <v>6.0</v>
      </c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20" t="s">
        <v>2060</v>
      </c>
      <c r="B140" s="20" t="s">
        <v>2101</v>
      </c>
      <c r="C140" s="21">
        <v>1383.0</v>
      </c>
      <c r="D140" s="20" t="s">
        <v>2100</v>
      </c>
      <c r="E140" s="20"/>
      <c r="F140" s="20"/>
      <c r="G140" s="20"/>
      <c r="H140" s="20"/>
      <c r="I140" s="20"/>
      <c r="J140" s="24">
        <v>13993.0</v>
      </c>
      <c r="K140" s="20"/>
      <c r="L140" s="20"/>
      <c r="M140" s="22">
        <v>6.0</v>
      </c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25" t="s">
        <v>2060</v>
      </c>
      <c r="B141" s="25" t="s">
        <v>1311</v>
      </c>
      <c r="C141" s="21">
        <v>1094.0</v>
      </c>
      <c r="D141" s="25" t="s">
        <v>2102</v>
      </c>
      <c r="E141" s="25"/>
      <c r="F141" s="25"/>
      <c r="G141" s="25"/>
      <c r="H141" s="25"/>
      <c r="I141" s="25"/>
      <c r="J141" s="28">
        <v>104993.0</v>
      </c>
      <c r="K141" s="25"/>
      <c r="L141" s="25"/>
      <c r="M141" s="26">
        <v>1.0</v>
      </c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20" t="s">
        <v>2060</v>
      </c>
      <c r="B142" s="20" t="s">
        <v>2103</v>
      </c>
      <c r="C142" s="21">
        <v>1094.0</v>
      </c>
      <c r="D142" s="20" t="s">
        <v>2102</v>
      </c>
      <c r="E142" s="20"/>
      <c r="F142" s="20"/>
      <c r="G142" s="20"/>
      <c r="H142" s="20"/>
      <c r="I142" s="20"/>
      <c r="J142" s="24">
        <v>104993.0</v>
      </c>
      <c r="K142" s="20"/>
      <c r="L142" s="20"/>
      <c r="M142" s="22">
        <v>1.0</v>
      </c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25" t="s">
        <v>2060</v>
      </c>
      <c r="B143" s="25" t="s">
        <v>1357</v>
      </c>
      <c r="C143" s="21">
        <v>1265.0</v>
      </c>
      <c r="D143" s="25" t="s">
        <v>2104</v>
      </c>
      <c r="E143" s="25"/>
      <c r="F143" s="25"/>
      <c r="G143" s="25"/>
      <c r="H143" s="25"/>
      <c r="I143" s="25"/>
      <c r="J143" s="28">
        <v>27994.0</v>
      </c>
      <c r="K143" s="25"/>
      <c r="L143" s="25"/>
      <c r="M143" s="26">
        <v>6.0</v>
      </c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20" t="s">
        <v>2060</v>
      </c>
      <c r="B144" s="20" t="s">
        <v>2105</v>
      </c>
      <c r="C144" s="21">
        <v>1265.0</v>
      </c>
      <c r="D144" s="20" t="s">
        <v>2104</v>
      </c>
      <c r="E144" s="20"/>
      <c r="F144" s="20"/>
      <c r="G144" s="20"/>
      <c r="H144" s="20"/>
      <c r="I144" s="20"/>
      <c r="J144" s="24">
        <v>27994.0</v>
      </c>
      <c r="K144" s="20"/>
      <c r="L144" s="20"/>
      <c r="M144" s="22">
        <v>6.0</v>
      </c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25" t="s">
        <v>2060</v>
      </c>
      <c r="B145" s="25" t="s">
        <v>2106</v>
      </c>
      <c r="C145" s="21">
        <v>1108.0</v>
      </c>
      <c r="D145" s="25" t="s">
        <v>2107</v>
      </c>
      <c r="E145" s="25"/>
      <c r="F145" s="25"/>
      <c r="G145" s="25"/>
      <c r="H145" s="25"/>
      <c r="I145" s="25"/>
      <c r="J145" s="28">
        <v>38493.0</v>
      </c>
      <c r="K145" s="25"/>
      <c r="L145" s="25"/>
      <c r="M145" s="26">
        <v>1.0</v>
      </c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20" t="s">
        <v>2060</v>
      </c>
      <c r="B146" s="20" t="s">
        <v>2108</v>
      </c>
      <c r="C146" s="21">
        <v>1235.0</v>
      </c>
      <c r="D146" s="20" t="s">
        <v>1376</v>
      </c>
      <c r="E146" s="20"/>
      <c r="F146" s="20"/>
      <c r="G146" s="20"/>
      <c r="H146" s="20"/>
      <c r="I146" s="20"/>
      <c r="J146" s="24">
        <v>14693.0</v>
      </c>
      <c r="K146" s="20"/>
      <c r="L146" s="20"/>
      <c r="M146" s="22">
        <v>6.0</v>
      </c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25" t="s">
        <v>2060</v>
      </c>
      <c r="B147" s="25" t="s">
        <v>1375</v>
      </c>
      <c r="C147" s="21">
        <v>1235.0</v>
      </c>
      <c r="D147" s="25" t="s">
        <v>1376</v>
      </c>
      <c r="E147" s="25"/>
      <c r="F147" s="25"/>
      <c r="G147" s="25"/>
      <c r="H147" s="25"/>
      <c r="I147" s="25"/>
      <c r="J147" s="28">
        <v>14693.0</v>
      </c>
      <c r="K147" s="25"/>
      <c r="L147" s="25"/>
      <c r="M147" s="26">
        <v>6.0</v>
      </c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20" t="s">
        <v>2060</v>
      </c>
      <c r="B148" s="20" t="s">
        <v>2109</v>
      </c>
      <c r="C148" s="21">
        <v>1387.0</v>
      </c>
      <c r="D148" s="20" t="s">
        <v>1334</v>
      </c>
      <c r="E148" s="20"/>
      <c r="F148" s="20"/>
      <c r="G148" s="20"/>
      <c r="H148" s="20"/>
      <c r="I148" s="20"/>
      <c r="J148" s="24">
        <v>27994.0</v>
      </c>
      <c r="K148" s="20"/>
      <c r="L148" s="20"/>
      <c r="M148" s="22">
        <v>1.0</v>
      </c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25" t="s">
        <v>2060</v>
      </c>
      <c r="B149" s="25" t="s">
        <v>1333</v>
      </c>
      <c r="C149" s="21">
        <v>1387.0</v>
      </c>
      <c r="D149" s="25" t="s">
        <v>1334</v>
      </c>
      <c r="E149" s="25"/>
      <c r="F149" s="25"/>
      <c r="G149" s="25"/>
      <c r="H149" s="25"/>
      <c r="I149" s="25"/>
      <c r="J149" s="28">
        <v>27994.0</v>
      </c>
      <c r="K149" s="25"/>
      <c r="L149" s="25"/>
      <c r="M149" s="26">
        <v>1.0</v>
      </c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20" t="s">
        <v>2060</v>
      </c>
      <c r="B150" s="20" t="s">
        <v>2110</v>
      </c>
      <c r="C150" s="21">
        <v>1093.0</v>
      </c>
      <c r="D150" s="20" t="s">
        <v>1340</v>
      </c>
      <c r="E150" s="20"/>
      <c r="F150" s="20"/>
      <c r="G150" s="20"/>
      <c r="H150" s="20"/>
      <c r="I150" s="20"/>
      <c r="J150" s="24">
        <v>76993.0</v>
      </c>
      <c r="K150" s="20"/>
      <c r="L150" s="20"/>
      <c r="M150" s="22">
        <v>1.0</v>
      </c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25" t="s">
        <v>2060</v>
      </c>
      <c r="B151" s="25" t="s">
        <v>1339</v>
      </c>
      <c r="C151" s="21">
        <v>1093.0</v>
      </c>
      <c r="D151" s="25" t="s">
        <v>1340</v>
      </c>
      <c r="E151" s="25"/>
      <c r="F151" s="25"/>
      <c r="G151" s="25"/>
      <c r="H151" s="25"/>
      <c r="I151" s="25"/>
      <c r="J151" s="28">
        <v>76993.0</v>
      </c>
      <c r="K151" s="25"/>
      <c r="L151" s="25"/>
      <c r="M151" s="26">
        <v>1.0</v>
      </c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20" t="s">
        <v>2060</v>
      </c>
      <c r="B152" s="20" t="s">
        <v>2111</v>
      </c>
      <c r="C152" s="21">
        <v>1141.0</v>
      </c>
      <c r="D152" s="20" t="s">
        <v>1364</v>
      </c>
      <c r="E152" s="20"/>
      <c r="F152" s="20"/>
      <c r="G152" s="20"/>
      <c r="H152" s="20"/>
      <c r="I152" s="20"/>
      <c r="J152" s="24">
        <v>24493.0</v>
      </c>
      <c r="K152" s="20"/>
      <c r="L152" s="20"/>
      <c r="M152" s="22">
        <v>6.0</v>
      </c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25" t="s">
        <v>2060</v>
      </c>
      <c r="B153" s="25" t="s">
        <v>1363</v>
      </c>
      <c r="C153" s="21">
        <v>1141.0</v>
      </c>
      <c r="D153" s="25" t="s">
        <v>1364</v>
      </c>
      <c r="E153" s="25"/>
      <c r="F153" s="25"/>
      <c r="G153" s="25"/>
      <c r="H153" s="25"/>
      <c r="I153" s="25"/>
      <c r="J153" s="28">
        <v>24493.0</v>
      </c>
      <c r="K153" s="25"/>
      <c r="L153" s="25"/>
      <c r="M153" s="26">
        <v>6.0</v>
      </c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20" t="s">
        <v>2060</v>
      </c>
      <c r="B154" s="20" t="s">
        <v>1345</v>
      </c>
      <c r="C154" s="21">
        <v>1100.0</v>
      </c>
      <c r="D154" s="20" t="s">
        <v>1346</v>
      </c>
      <c r="E154" s="20"/>
      <c r="F154" s="20"/>
      <c r="G154" s="20"/>
      <c r="H154" s="20"/>
      <c r="I154" s="20"/>
      <c r="J154" s="24">
        <v>59993.0</v>
      </c>
      <c r="K154" s="20"/>
      <c r="L154" s="20"/>
      <c r="M154" s="22">
        <v>1.0</v>
      </c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25" t="s">
        <v>2060</v>
      </c>
      <c r="B155" s="25" t="s">
        <v>2112</v>
      </c>
      <c r="C155" s="21">
        <v>1100.0</v>
      </c>
      <c r="D155" s="25" t="s">
        <v>1346</v>
      </c>
      <c r="E155" s="25"/>
      <c r="F155" s="25"/>
      <c r="G155" s="25"/>
      <c r="H155" s="25"/>
      <c r="I155" s="25"/>
      <c r="J155" s="28">
        <v>59993.0</v>
      </c>
      <c r="K155" s="25"/>
      <c r="L155" s="25"/>
      <c r="M155" s="26">
        <v>1.0</v>
      </c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20" t="s">
        <v>2060</v>
      </c>
      <c r="B156" s="20" t="s">
        <v>1330</v>
      </c>
      <c r="C156" s="21">
        <v>1363.0</v>
      </c>
      <c r="D156" s="20" t="s">
        <v>2113</v>
      </c>
      <c r="E156" s="20"/>
      <c r="F156" s="20"/>
      <c r="G156" s="20"/>
      <c r="H156" s="20"/>
      <c r="I156" s="20"/>
      <c r="J156" s="24">
        <v>69993.0</v>
      </c>
      <c r="K156" s="20"/>
      <c r="L156" s="20"/>
      <c r="M156" s="22">
        <v>2.0</v>
      </c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25" t="s">
        <v>2060</v>
      </c>
      <c r="B157" s="25" t="s">
        <v>2114</v>
      </c>
      <c r="C157" s="21">
        <v>1363.0</v>
      </c>
      <c r="D157" s="25" t="s">
        <v>2113</v>
      </c>
      <c r="E157" s="25"/>
      <c r="F157" s="25"/>
      <c r="G157" s="25"/>
      <c r="H157" s="25"/>
      <c r="I157" s="25"/>
      <c r="J157" s="28">
        <v>69993.0</v>
      </c>
      <c r="K157" s="25"/>
      <c r="L157" s="25"/>
      <c r="M157" s="26">
        <v>2.0</v>
      </c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20" t="s">
        <v>2060</v>
      </c>
      <c r="B158" s="20" t="s">
        <v>1378</v>
      </c>
      <c r="C158" s="21">
        <v>1121.0</v>
      </c>
      <c r="D158" s="20" t="s">
        <v>2115</v>
      </c>
      <c r="E158" s="20"/>
      <c r="F158" s="20"/>
      <c r="G158" s="20"/>
      <c r="H158" s="20"/>
      <c r="I158" s="20"/>
      <c r="J158" s="24">
        <v>15393.0</v>
      </c>
      <c r="K158" s="20"/>
      <c r="L158" s="20"/>
      <c r="M158" s="22">
        <v>8.0</v>
      </c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25" t="s">
        <v>2060</v>
      </c>
      <c r="B159" s="25" t="s">
        <v>2116</v>
      </c>
      <c r="C159" s="21">
        <v>1121.0</v>
      </c>
      <c r="D159" s="25" t="s">
        <v>2115</v>
      </c>
      <c r="E159" s="25"/>
      <c r="F159" s="25"/>
      <c r="G159" s="25"/>
      <c r="H159" s="25"/>
      <c r="I159" s="25"/>
      <c r="J159" s="28">
        <v>15393.0</v>
      </c>
      <c r="K159" s="25"/>
      <c r="L159" s="25"/>
      <c r="M159" s="26">
        <v>8.0</v>
      </c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20" t="s">
        <v>2060</v>
      </c>
      <c r="B160" s="20" t="s">
        <v>1360</v>
      </c>
      <c r="C160" s="21">
        <v>1117.0</v>
      </c>
      <c r="D160" s="20" t="s">
        <v>1361</v>
      </c>
      <c r="E160" s="20"/>
      <c r="F160" s="20"/>
      <c r="G160" s="20"/>
      <c r="H160" s="20"/>
      <c r="I160" s="20"/>
      <c r="J160" s="24">
        <v>139993.0</v>
      </c>
      <c r="K160" s="20"/>
      <c r="L160" s="20"/>
      <c r="M160" s="22">
        <v>1.0</v>
      </c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25" t="s">
        <v>2060</v>
      </c>
      <c r="B161" s="25" t="s">
        <v>2117</v>
      </c>
      <c r="C161" s="21">
        <v>1117.0</v>
      </c>
      <c r="D161" s="25" t="s">
        <v>1361</v>
      </c>
      <c r="E161" s="25"/>
      <c r="F161" s="25"/>
      <c r="G161" s="25"/>
      <c r="H161" s="25"/>
      <c r="I161" s="25"/>
      <c r="J161" s="28">
        <v>139993.0</v>
      </c>
      <c r="K161" s="25"/>
      <c r="L161" s="25"/>
      <c r="M161" s="26">
        <v>1.0</v>
      </c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20" t="s">
        <v>2060</v>
      </c>
      <c r="B162" s="20" t="s">
        <v>2118</v>
      </c>
      <c r="C162" s="21">
        <v>1366.0</v>
      </c>
      <c r="D162" s="20" t="s">
        <v>1355</v>
      </c>
      <c r="E162" s="20"/>
      <c r="F162" s="20"/>
      <c r="G162" s="20"/>
      <c r="H162" s="20"/>
      <c r="I162" s="20"/>
      <c r="J162" s="24">
        <v>41993.0</v>
      </c>
      <c r="K162" s="20"/>
      <c r="L162" s="20"/>
      <c r="M162" s="22">
        <v>2.0</v>
      </c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25" t="s">
        <v>2060</v>
      </c>
      <c r="B163" s="25" t="s">
        <v>1354</v>
      </c>
      <c r="C163" s="21">
        <v>1366.0</v>
      </c>
      <c r="D163" s="25" t="s">
        <v>1355</v>
      </c>
      <c r="E163" s="25"/>
      <c r="F163" s="25"/>
      <c r="G163" s="25"/>
      <c r="H163" s="25"/>
      <c r="I163" s="25"/>
      <c r="J163" s="28">
        <v>41993.0</v>
      </c>
      <c r="K163" s="25"/>
      <c r="L163" s="25"/>
      <c r="M163" s="26">
        <v>2.0</v>
      </c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20" t="s">
        <v>2060</v>
      </c>
      <c r="B164" s="20" t="s">
        <v>1351</v>
      </c>
      <c r="C164" s="21">
        <v>1086.0</v>
      </c>
      <c r="D164" s="20" t="s">
        <v>2119</v>
      </c>
      <c r="E164" s="20"/>
      <c r="F164" s="20"/>
      <c r="G164" s="20"/>
      <c r="H164" s="20"/>
      <c r="I164" s="20"/>
      <c r="J164" s="24">
        <v>41993.0</v>
      </c>
      <c r="K164" s="20"/>
      <c r="L164" s="20"/>
      <c r="M164" s="22">
        <v>1.0</v>
      </c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25" t="s">
        <v>2060</v>
      </c>
      <c r="B165" s="25" t="s">
        <v>2120</v>
      </c>
      <c r="C165" s="21">
        <v>1086.0</v>
      </c>
      <c r="D165" s="25" t="s">
        <v>2119</v>
      </c>
      <c r="E165" s="25"/>
      <c r="F165" s="25"/>
      <c r="G165" s="25"/>
      <c r="H165" s="25"/>
      <c r="I165" s="25"/>
      <c r="J165" s="28">
        <v>41993.0</v>
      </c>
      <c r="K165" s="25"/>
      <c r="L165" s="25"/>
      <c r="M165" s="26">
        <v>1.0</v>
      </c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20" t="s">
        <v>2060</v>
      </c>
      <c r="B166" s="20" t="s">
        <v>1366</v>
      </c>
      <c r="C166" s="21">
        <v>1085.0</v>
      </c>
      <c r="D166" s="20" t="s">
        <v>2121</v>
      </c>
      <c r="E166" s="20"/>
      <c r="F166" s="20"/>
      <c r="G166" s="20"/>
      <c r="H166" s="20"/>
      <c r="I166" s="20"/>
      <c r="J166" s="24">
        <v>34993.0</v>
      </c>
      <c r="K166" s="20"/>
      <c r="L166" s="20"/>
      <c r="M166" s="22">
        <v>1.0</v>
      </c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25" t="s">
        <v>2060</v>
      </c>
      <c r="B167" s="25" t="s">
        <v>2122</v>
      </c>
      <c r="C167" s="21">
        <v>1085.0</v>
      </c>
      <c r="D167" s="25" t="s">
        <v>2121</v>
      </c>
      <c r="E167" s="25"/>
      <c r="F167" s="25"/>
      <c r="G167" s="25"/>
      <c r="H167" s="25"/>
      <c r="I167" s="25"/>
      <c r="J167" s="28">
        <v>34993.0</v>
      </c>
      <c r="K167" s="25"/>
      <c r="L167" s="25"/>
      <c r="M167" s="26">
        <v>1.0</v>
      </c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20" t="s">
        <v>2060</v>
      </c>
      <c r="B168" s="20" t="s">
        <v>2123</v>
      </c>
      <c r="C168" s="21">
        <v>1089.0</v>
      </c>
      <c r="D168" s="20" t="s">
        <v>2124</v>
      </c>
      <c r="E168" s="20"/>
      <c r="F168" s="20"/>
      <c r="G168" s="20"/>
      <c r="H168" s="20"/>
      <c r="I168" s="20"/>
      <c r="J168" s="24">
        <v>66492.0</v>
      </c>
      <c r="K168" s="20"/>
      <c r="L168" s="20"/>
      <c r="M168" s="22">
        <v>1.0</v>
      </c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25" t="s">
        <v>2060</v>
      </c>
      <c r="B169" s="25" t="s">
        <v>1336</v>
      </c>
      <c r="C169" s="21">
        <v>1089.0</v>
      </c>
      <c r="D169" s="25" t="s">
        <v>2124</v>
      </c>
      <c r="E169" s="25"/>
      <c r="F169" s="25"/>
      <c r="G169" s="25"/>
      <c r="H169" s="25"/>
      <c r="I169" s="25"/>
      <c r="J169" s="28">
        <v>66492.0</v>
      </c>
      <c r="K169" s="25"/>
      <c r="L169" s="25"/>
      <c r="M169" s="26">
        <v>1.0</v>
      </c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20" t="s">
        <v>2060</v>
      </c>
      <c r="B170" s="20" t="s">
        <v>1348</v>
      </c>
      <c r="C170" s="21">
        <v>1414.0</v>
      </c>
      <c r="D170" s="20" t="s">
        <v>1349</v>
      </c>
      <c r="E170" s="20"/>
      <c r="F170" s="20"/>
      <c r="G170" s="20"/>
      <c r="H170" s="20"/>
      <c r="I170" s="20"/>
      <c r="J170" s="24">
        <v>23093.0</v>
      </c>
      <c r="K170" s="20"/>
      <c r="L170" s="20"/>
      <c r="M170" s="22">
        <v>6.0</v>
      </c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25" t="s">
        <v>2060</v>
      </c>
      <c r="B171" s="25" t="s">
        <v>2125</v>
      </c>
      <c r="C171" s="21">
        <v>1414.0</v>
      </c>
      <c r="D171" s="25" t="s">
        <v>1349</v>
      </c>
      <c r="E171" s="25"/>
      <c r="F171" s="25"/>
      <c r="G171" s="25"/>
      <c r="H171" s="25"/>
      <c r="I171" s="25"/>
      <c r="J171" s="28">
        <v>23093.0</v>
      </c>
      <c r="K171" s="25"/>
      <c r="L171" s="25"/>
      <c r="M171" s="26">
        <v>6.0</v>
      </c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20" t="s">
        <v>2060</v>
      </c>
      <c r="B172" s="20" t="s">
        <v>1381</v>
      </c>
      <c r="C172" s="21">
        <v>1386.0</v>
      </c>
      <c r="D172" s="20" t="s">
        <v>2126</v>
      </c>
      <c r="E172" s="20"/>
      <c r="F172" s="20"/>
      <c r="G172" s="20"/>
      <c r="H172" s="20"/>
      <c r="I172" s="20"/>
      <c r="J172" s="24">
        <v>69993.0</v>
      </c>
      <c r="K172" s="20"/>
      <c r="L172" s="20"/>
      <c r="M172" s="22">
        <v>1.0</v>
      </c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25" t="s">
        <v>2060</v>
      </c>
      <c r="B173" s="25" t="s">
        <v>2127</v>
      </c>
      <c r="C173" s="21">
        <v>1386.0</v>
      </c>
      <c r="D173" s="25" t="s">
        <v>2126</v>
      </c>
      <c r="E173" s="25"/>
      <c r="F173" s="25"/>
      <c r="G173" s="25"/>
      <c r="H173" s="25"/>
      <c r="I173" s="25"/>
      <c r="J173" s="28">
        <v>69993.0</v>
      </c>
      <c r="K173" s="25"/>
      <c r="L173" s="25"/>
      <c r="M173" s="26">
        <v>1.0</v>
      </c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20" t="s">
        <v>2060</v>
      </c>
      <c r="B174" s="20" t="s">
        <v>1372</v>
      </c>
      <c r="C174" s="21">
        <v>1238.0</v>
      </c>
      <c r="D174" s="20" t="s">
        <v>1373</v>
      </c>
      <c r="E174" s="20"/>
      <c r="F174" s="20"/>
      <c r="G174" s="20"/>
      <c r="H174" s="20"/>
      <c r="I174" s="20"/>
      <c r="J174" s="24">
        <v>18892.0</v>
      </c>
      <c r="K174" s="20"/>
      <c r="L174" s="20"/>
      <c r="M174" s="22">
        <v>6.0</v>
      </c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25" t="s">
        <v>2060</v>
      </c>
      <c r="B175" s="25" t="s">
        <v>2128</v>
      </c>
      <c r="C175" s="21">
        <v>1238.0</v>
      </c>
      <c r="D175" s="25" t="s">
        <v>1373</v>
      </c>
      <c r="E175" s="25"/>
      <c r="F175" s="25"/>
      <c r="G175" s="25"/>
      <c r="H175" s="25"/>
      <c r="I175" s="25"/>
      <c r="J175" s="28">
        <v>18892.0</v>
      </c>
      <c r="K175" s="25"/>
      <c r="L175" s="25"/>
      <c r="M175" s="26">
        <v>6.0</v>
      </c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20" t="s">
        <v>2060</v>
      </c>
      <c r="B176" s="20" t="s">
        <v>1369</v>
      </c>
      <c r="C176" s="21">
        <v>1272.0</v>
      </c>
      <c r="D176" s="20" t="s">
        <v>2129</v>
      </c>
      <c r="E176" s="20"/>
      <c r="F176" s="20"/>
      <c r="G176" s="20"/>
      <c r="H176" s="20"/>
      <c r="I176" s="20"/>
      <c r="J176" s="24">
        <v>62993.0</v>
      </c>
      <c r="K176" s="20"/>
      <c r="L176" s="20"/>
      <c r="M176" s="22">
        <v>6.0</v>
      </c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25" t="s">
        <v>2060</v>
      </c>
      <c r="B177" s="25" t="s">
        <v>2130</v>
      </c>
      <c r="C177" s="21">
        <v>1272.0</v>
      </c>
      <c r="D177" s="25" t="s">
        <v>2129</v>
      </c>
      <c r="E177" s="25"/>
      <c r="F177" s="25"/>
      <c r="G177" s="25"/>
      <c r="H177" s="25"/>
      <c r="I177" s="25"/>
      <c r="J177" s="28">
        <v>62993.0</v>
      </c>
      <c r="K177" s="25"/>
      <c r="L177" s="25"/>
      <c r="M177" s="26">
        <v>6.0</v>
      </c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20" t="s">
        <v>2060</v>
      </c>
      <c r="B178" s="20" t="s">
        <v>2131</v>
      </c>
      <c r="C178" s="21">
        <v>1266.0</v>
      </c>
      <c r="D178" s="20" t="s">
        <v>1343</v>
      </c>
      <c r="E178" s="20"/>
      <c r="F178" s="20"/>
      <c r="G178" s="20"/>
      <c r="H178" s="20"/>
      <c r="I178" s="20"/>
      <c r="J178" s="24">
        <v>48993.0</v>
      </c>
      <c r="K178" s="20"/>
      <c r="L178" s="20"/>
      <c r="M178" s="22">
        <v>6.0</v>
      </c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25" t="s">
        <v>2060</v>
      </c>
      <c r="B179" s="25" t="s">
        <v>1342</v>
      </c>
      <c r="C179" s="21">
        <v>1266.0</v>
      </c>
      <c r="D179" s="25" t="s">
        <v>1343</v>
      </c>
      <c r="E179" s="25"/>
      <c r="F179" s="25"/>
      <c r="G179" s="25"/>
      <c r="H179" s="25"/>
      <c r="I179" s="25"/>
      <c r="J179" s="28">
        <v>48993.0</v>
      </c>
      <c r="K179" s="25"/>
      <c r="L179" s="25"/>
      <c r="M179" s="26">
        <v>6.0</v>
      </c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20" t="s">
        <v>2060</v>
      </c>
      <c r="B180" s="20" t="s">
        <v>2132</v>
      </c>
      <c r="C180" s="21">
        <v>1108.0</v>
      </c>
      <c r="D180" s="20" t="s">
        <v>1385</v>
      </c>
      <c r="E180" s="20"/>
      <c r="F180" s="20"/>
      <c r="G180" s="20"/>
      <c r="H180" s="20"/>
      <c r="I180" s="20"/>
      <c r="J180" s="24">
        <v>38493.0</v>
      </c>
      <c r="K180" s="20"/>
      <c r="L180" s="20"/>
      <c r="M180" s="22">
        <v>1.0</v>
      </c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25" t="s">
        <v>2060</v>
      </c>
      <c r="B181" s="25" t="s">
        <v>1384</v>
      </c>
      <c r="C181" s="21">
        <v>1108.0</v>
      </c>
      <c r="D181" s="25" t="s">
        <v>1385</v>
      </c>
      <c r="E181" s="25"/>
      <c r="F181" s="25"/>
      <c r="G181" s="25"/>
      <c r="H181" s="25"/>
      <c r="I181" s="25"/>
      <c r="J181" s="28">
        <v>38493.0</v>
      </c>
      <c r="K181" s="25"/>
      <c r="L181" s="25"/>
      <c r="M181" s="26">
        <v>1.0</v>
      </c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20" t="s">
        <v>2133</v>
      </c>
      <c r="B182" s="20" t="s">
        <v>2134</v>
      </c>
      <c r="C182" s="21" t="s">
        <v>378</v>
      </c>
      <c r="D182" s="20" t="s">
        <v>2135</v>
      </c>
      <c r="E182" s="22" t="s">
        <v>2136</v>
      </c>
      <c r="F182" s="23">
        <v>0.11</v>
      </c>
      <c r="G182" s="22" t="s">
        <v>2137</v>
      </c>
      <c r="H182" s="22" t="s">
        <v>1942</v>
      </c>
      <c r="I182" s="22" t="s">
        <v>2138</v>
      </c>
      <c r="J182" s="24">
        <v>10615.0</v>
      </c>
      <c r="K182" s="22" t="s">
        <v>2139</v>
      </c>
      <c r="L182" s="22" t="s">
        <v>2140</v>
      </c>
      <c r="M182" s="22">
        <v>12.0</v>
      </c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25" t="s">
        <v>2133</v>
      </c>
      <c r="B183" s="25" t="s">
        <v>2141</v>
      </c>
      <c r="C183" s="21" t="s">
        <v>374</v>
      </c>
      <c r="D183" s="25" t="s">
        <v>375</v>
      </c>
      <c r="E183" s="26" t="s">
        <v>2142</v>
      </c>
      <c r="F183" s="27">
        <v>0.17</v>
      </c>
      <c r="G183" s="26" t="s">
        <v>2143</v>
      </c>
      <c r="H183" s="26" t="s">
        <v>1942</v>
      </c>
      <c r="I183" s="26" t="s">
        <v>2144</v>
      </c>
      <c r="J183" s="28">
        <v>3114.0</v>
      </c>
      <c r="K183" s="26" t="s">
        <v>2145</v>
      </c>
      <c r="L183" s="26" t="s">
        <v>2146</v>
      </c>
      <c r="M183" s="26">
        <v>6.0</v>
      </c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20" t="s">
        <v>2133</v>
      </c>
      <c r="B184" s="20" t="s">
        <v>385</v>
      </c>
      <c r="C184" s="21" t="s">
        <v>386</v>
      </c>
      <c r="D184" s="20" t="s">
        <v>387</v>
      </c>
      <c r="E184" s="22" t="s">
        <v>2147</v>
      </c>
      <c r="F184" s="23">
        <v>0.16</v>
      </c>
      <c r="G184" s="22" t="s">
        <v>2148</v>
      </c>
      <c r="H184" s="22" t="s">
        <v>1942</v>
      </c>
      <c r="I184" s="22" t="s">
        <v>2149</v>
      </c>
      <c r="J184" s="24">
        <v>8574.0</v>
      </c>
      <c r="K184" s="22" t="s">
        <v>2150</v>
      </c>
      <c r="L184" s="22" t="s">
        <v>2151</v>
      </c>
      <c r="M184" s="22">
        <v>6.0</v>
      </c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25" t="s">
        <v>2133</v>
      </c>
      <c r="B185" s="25" t="s">
        <v>2152</v>
      </c>
      <c r="C185" s="21" t="s">
        <v>400</v>
      </c>
      <c r="D185" s="25" t="s">
        <v>401</v>
      </c>
      <c r="E185" s="26" t="s">
        <v>2153</v>
      </c>
      <c r="F185" s="27">
        <v>0.18</v>
      </c>
      <c r="G185" s="26" t="s">
        <v>2154</v>
      </c>
      <c r="H185" s="26" t="s">
        <v>1942</v>
      </c>
      <c r="I185" s="26" t="s">
        <v>2155</v>
      </c>
      <c r="J185" s="28">
        <v>5994.0</v>
      </c>
      <c r="K185" s="26" t="s">
        <v>2156</v>
      </c>
      <c r="L185" s="26" t="s">
        <v>2157</v>
      </c>
      <c r="M185" s="26">
        <v>6.0</v>
      </c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20" t="s">
        <v>2133</v>
      </c>
      <c r="B186" s="20" t="s">
        <v>506</v>
      </c>
      <c r="C186" s="21" t="s">
        <v>507</v>
      </c>
      <c r="D186" s="20" t="s">
        <v>508</v>
      </c>
      <c r="E186" s="22" t="s">
        <v>2158</v>
      </c>
      <c r="F186" s="23">
        <v>0.18</v>
      </c>
      <c r="G186" s="22" t="s">
        <v>2159</v>
      </c>
      <c r="H186" s="22" t="s">
        <v>1942</v>
      </c>
      <c r="I186" s="22" t="s">
        <v>2160</v>
      </c>
      <c r="J186" s="24">
        <v>6355.0</v>
      </c>
      <c r="K186" s="22" t="s">
        <v>2161</v>
      </c>
      <c r="L186" s="22" t="s">
        <v>2162</v>
      </c>
      <c r="M186" s="22">
        <v>3.0</v>
      </c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25" t="s">
        <v>2133</v>
      </c>
      <c r="B187" s="25" t="s">
        <v>373</v>
      </c>
      <c r="C187" s="21" t="s">
        <v>374</v>
      </c>
      <c r="D187" s="25" t="s">
        <v>375</v>
      </c>
      <c r="E187" s="26" t="s">
        <v>2163</v>
      </c>
      <c r="F187" s="27">
        <v>0.17</v>
      </c>
      <c r="G187" s="26" t="s">
        <v>2164</v>
      </c>
      <c r="H187" s="26" t="s">
        <v>1942</v>
      </c>
      <c r="I187" s="26" t="s">
        <v>2165</v>
      </c>
      <c r="J187" s="28">
        <v>3114.0</v>
      </c>
      <c r="K187" s="26" t="s">
        <v>2166</v>
      </c>
      <c r="L187" s="26" t="s">
        <v>2167</v>
      </c>
      <c r="M187" s="26">
        <v>6.0</v>
      </c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20" t="s">
        <v>2133</v>
      </c>
      <c r="B188" s="20" t="s">
        <v>2168</v>
      </c>
      <c r="C188" s="21" t="s">
        <v>507</v>
      </c>
      <c r="D188" s="20" t="s">
        <v>508</v>
      </c>
      <c r="E188" s="22" t="s">
        <v>2158</v>
      </c>
      <c r="F188" s="23">
        <v>0.18</v>
      </c>
      <c r="G188" s="22" t="s">
        <v>2159</v>
      </c>
      <c r="H188" s="22" t="s">
        <v>1942</v>
      </c>
      <c r="I188" s="22" t="s">
        <v>2160</v>
      </c>
      <c r="J188" s="24">
        <v>6355.0</v>
      </c>
      <c r="K188" s="22" t="s">
        <v>2161</v>
      </c>
      <c r="L188" s="22" t="s">
        <v>2162</v>
      </c>
      <c r="M188" s="22">
        <v>3.0</v>
      </c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25" t="s">
        <v>2133</v>
      </c>
      <c r="B189" s="25" t="s">
        <v>2169</v>
      </c>
      <c r="C189" s="21" t="s">
        <v>386</v>
      </c>
      <c r="D189" s="25" t="s">
        <v>387</v>
      </c>
      <c r="E189" s="26" t="s">
        <v>2147</v>
      </c>
      <c r="F189" s="27">
        <v>0.16</v>
      </c>
      <c r="G189" s="26" t="s">
        <v>2148</v>
      </c>
      <c r="H189" s="26" t="s">
        <v>1942</v>
      </c>
      <c r="I189" s="26" t="s">
        <v>2149</v>
      </c>
      <c r="J189" s="28">
        <v>8574.0</v>
      </c>
      <c r="K189" s="26" t="s">
        <v>2150</v>
      </c>
      <c r="L189" s="26" t="s">
        <v>2151</v>
      </c>
      <c r="M189" s="26">
        <v>6.0</v>
      </c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20" t="s">
        <v>2133</v>
      </c>
      <c r="B190" s="20" t="s">
        <v>399</v>
      </c>
      <c r="C190" s="21" t="s">
        <v>400</v>
      </c>
      <c r="D190" s="20" t="s">
        <v>401</v>
      </c>
      <c r="E190" s="22" t="s">
        <v>2153</v>
      </c>
      <c r="F190" s="23">
        <v>0.18</v>
      </c>
      <c r="G190" s="22" t="s">
        <v>2154</v>
      </c>
      <c r="H190" s="22" t="s">
        <v>1942</v>
      </c>
      <c r="I190" s="22" t="s">
        <v>2155</v>
      </c>
      <c r="J190" s="24">
        <v>5994.0</v>
      </c>
      <c r="K190" s="22" t="s">
        <v>2156</v>
      </c>
      <c r="L190" s="22" t="s">
        <v>2157</v>
      </c>
      <c r="M190" s="22">
        <v>6.0</v>
      </c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25" t="s">
        <v>2133</v>
      </c>
      <c r="B191" s="25" t="s">
        <v>377</v>
      </c>
      <c r="C191" s="21" t="s">
        <v>378</v>
      </c>
      <c r="D191" s="25" t="s">
        <v>379</v>
      </c>
      <c r="E191" s="26" t="s">
        <v>2170</v>
      </c>
      <c r="F191" s="27">
        <v>0.11</v>
      </c>
      <c r="G191" s="26" t="s">
        <v>2171</v>
      </c>
      <c r="H191" s="26" t="s">
        <v>1942</v>
      </c>
      <c r="I191" s="26" t="s">
        <v>2172</v>
      </c>
      <c r="J191" s="28">
        <v>10615.0</v>
      </c>
      <c r="K191" s="26" t="s">
        <v>2173</v>
      </c>
      <c r="L191" s="26" t="s">
        <v>2157</v>
      </c>
      <c r="M191" s="26">
        <v>12.0</v>
      </c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20" t="s">
        <v>2133</v>
      </c>
      <c r="B192" s="20" t="s">
        <v>2174</v>
      </c>
      <c r="C192" s="21" t="s">
        <v>503</v>
      </c>
      <c r="D192" s="20" t="s">
        <v>504</v>
      </c>
      <c r="E192" s="22" t="s">
        <v>2175</v>
      </c>
      <c r="F192" s="23">
        <v>0.2</v>
      </c>
      <c r="G192" s="22" t="s">
        <v>2176</v>
      </c>
      <c r="H192" s="22" t="s">
        <v>1942</v>
      </c>
      <c r="I192" s="22" t="s">
        <v>2177</v>
      </c>
      <c r="J192" s="24">
        <v>3951.0</v>
      </c>
      <c r="K192" s="22" t="s">
        <v>2178</v>
      </c>
      <c r="L192" s="22" t="s">
        <v>2179</v>
      </c>
      <c r="M192" s="22">
        <v>12.0</v>
      </c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25" t="s">
        <v>2133</v>
      </c>
      <c r="B193" s="25" t="s">
        <v>403</v>
      </c>
      <c r="C193" s="29" t="s">
        <v>404</v>
      </c>
      <c r="D193" s="25" t="s">
        <v>405</v>
      </c>
      <c r="E193" s="26" t="s">
        <v>2180</v>
      </c>
      <c r="F193" s="27">
        <v>0.16</v>
      </c>
      <c r="G193" s="26" t="s">
        <v>2003</v>
      </c>
      <c r="H193" s="26" t="s">
        <v>1942</v>
      </c>
      <c r="I193" s="26" t="s">
        <v>2181</v>
      </c>
      <c r="J193" s="28">
        <v>7014.0</v>
      </c>
      <c r="K193" s="26" t="s">
        <v>2182</v>
      </c>
      <c r="L193" s="26" t="s">
        <v>2183</v>
      </c>
      <c r="M193" s="26">
        <v>6.0</v>
      </c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20" t="s">
        <v>2133</v>
      </c>
      <c r="B194" s="20" t="s">
        <v>381</v>
      </c>
      <c r="C194" s="21" t="s">
        <v>382</v>
      </c>
      <c r="D194" s="20" t="s">
        <v>2184</v>
      </c>
      <c r="E194" s="22" t="s">
        <v>2185</v>
      </c>
      <c r="F194" s="23">
        <v>0.17</v>
      </c>
      <c r="G194" s="22" t="s">
        <v>2186</v>
      </c>
      <c r="H194" s="22" t="s">
        <v>1942</v>
      </c>
      <c r="I194" s="22" t="s">
        <v>2187</v>
      </c>
      <c r="J194" s="24">
        <v>4830.0</v>
      </c>
      <c r="K194" s="22" t="s">
        <v>2188</v>
      </c>
      <c r="L194" s="22" t="s">
        <v>2189</v>
      </c>
      <c r="M194" s="22">
        <v>6.0</v>
      </c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25" t="s">
        <v>2133</v>
      </c>
      <c r="B195" s="25" t="s">
        <v>2190</v>
      </c>
      <c r="C195" s="21" t="s">
        <v>390</v>
      </c>
      <c r="D195" s="25" t="s">
        <v>391</v>
      </c>
      <c r="E195" s="26" t="s">
        <v>2191</v>
      </c>
      <c r="F195" s="27">
        <v>0.16</v>
      </c>
      <c r="G195" s="26" t="s">
        <v>2192</v>
      </c>
      <c r="H195" s="26" t="s">
        <v>1942</v>
      </c>
      <c r="I195" s="26" t="s">
        <v>2193</v>
      </c>
      <c r="J195" s="28">
        <v>6714.0</v>
      </c>
      <c r="K195" s="26" t="s">
        <v>2194</v>
      </c>
      <c r="L195" s="26" t="s">
        <v>2195</v>
      </c>
      <c r="M195" s="26">
        <v>6.0</v>
      </c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20" t="s">
        <v>2133</v>
      </c>
      <c r="B196" s="20" t="s">
        <v>2196</v>
      </c>
      <c r="C196" s="21" t="s">
        <v>382</v>
      </c>
      <c r="D196" s="20" t="s">
        <v>2184</v>
      </c>
      <c r="E196" s="22" t="s">
        <v>2185</v>
      </c>
      <c r="F196" s="23">
        <v>0.17</v>
      </c>
      <c r="G196" s="22" t="s">
        <v>2186</v>
      </c>
      <c r="H196" s="22" t="s">
        <v>1942</v>
      </c>
      <c r="I196" s="22" t="s">
        <v>2187</v>
      </c>
      <c r="J196" s="24">
        <v>4830.0</v>
      </c>
      <c r="K196" s="22" t="s">
        <v>2188</v>
      </c>
      <c r="L196" s="22" t="s">
        <v>2189</v>
      </c>
      <c r="M196" s="22">
        <v>6.0</v>
      </c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25" t="s">
        <v>2133</v>
      </c>
      <c r="B197" s="25" t="s">
        <v>389</v>
      </c>
      <c r="C197" s="21" t="s">
        <v>390</v>
      </c>
      <c r="D197" s="25" t="s">
        <v>391</v>
      </c>
      <c r="E197" s="26" t="s">
        <v>2191</v>
      </c>
      <c r="F197" s="27">
        <v>0.16</v>
      </c>
      <c r="G197" s="26" t="s">
        <v>2192</v>
      </c>
      <c r="H197" s="26" t="s">
        <v>1942</v>
      </c>
      <c r="I197" s="26" t="s">
        <v>2193</v>
      </c>
      <c r="J197" s="28">
        <v>6714.0</v>
      </c>
      <c r="K197" s="26" t="s">
        <v>2194</v>
      </c>
      <c r="L197" s="26" t="s">
        <v>2195</v>
      </c>
      <c r="M197" s="26">
        <v>6.0</v>
      </c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20" t="s">
        <v>2133</v>
      </c>
      <c r="B198" s="20" t="s">
        <v>502</v>
      </c>
      <c r="C198" s="21" t="s">
        <v>503</v>
      </c>
      <c r="D198" s="20" t="s">
        <v>504</v>
      </c>
      <c r="E198" s="22" t="s">
        <v>2175</v>
      </c>
      <c r="F198" s="23">
        <v>0.2</v>
      </c>
      <c r="G198" s="22" t="s">
        <v>2176</v>
      </c>
      <c r="H198" s="22" t="s">
        <v>1942</v>
      </c>
      <c r="I198" s="22" t="s">
        <v>2177</v>
      </c>
      <c r="J198" s="24">
        <v>3951.0</v>
      </c>
      <c r="K198" s="22" t="s">
        <v>2178</v>
      </c>
      <c r="L198" s="22" t="s">
        <v>2179</v>
      </c>
      <c r="M198" s="22">
        <v>12.0</v>
      </c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25" t="s">
        <v>2133</v>
      </c>
      <c r="B199" s="25" t="s">
        <v>604</v>
      </c>
      <c r="C199" s="21" t="s">
        <v>605</v>
      </c>
      <c r="D199" s="25" t="s">
        <v>2197</v>
      </c>
      <c r="E199" s="26" t="s">
        <v>2198</v>
      </c>
      <c r="F199" s="27">
        <v>0.12</v>
      </c>
      <c r="G199" s="26" t="s">
        <v>2199</v>
      </c>
      <c r="H199" s="26" t="s">
        <v>1942</v>
      </c>
      <c r="I199" s="26" t="s">
        <v>2200</v>
      </c>
      <c r="J199" s="28">
        <v>7795.0</v>
      </c>
      <c r="K199" s="26" t="s">
        <v>2201</v>
      </c>
      <c r="L199" s="26" t="s">
        <v>2202</v>
      </c>
      <c r="M199" s="26">
        <v>6.0</v>
      </c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20" t="s">
        <v>2133</v>
      </c>
      <c r="B200" s="20" t="s">
        <v>2203</v>
      </c>
      <c r="C200" s="21" t="s">
        <v>605</v>
      </c>
      <c r="D200" s="20" t="s">
        <v>2197</v>
      </c>
      <c r="E200" s="22" t="s">
        <v>2198</v>
      </c>
      <c r="F200" s="23">
        <v>0.12</v>
      </c>
      <c r="G200" s="22" t="s">
        <v>2199</v>
      </c>
      <c r="H200" s="22" t="s">
        <v>1942</v>
      </c>
      <c r="I200" s="22" t="s">
        <v>2200</v>
      </c>
      <c r="J200" s="24">
        <v>7795.0</v>
      </c>
      <c r="K200" s="22" t="s">
        <v>2201</v>
      </c>
      <c r="L200" s="22" t="s">
        <v>2202</v>
      </c>
      <c r="M200" s="22">
        <v>6.0</v>
      </c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25" t="s">
        <v>2133</v>
      </c>
      <c r="B201" s="25" t="s">
        <v>2204</v>
      </c>
      <c r="C201" s="21" t="s">
        <v>612</v>
      </c>
      <c r="D201" s="25" t="s">
        <v>2205</v>
      </c>
      <c r="E201" s="26" t="s">
        <v>2206</v>
      </c>
      <c r="F201" s="27">
        <v>0.16</v>
      </c>
      <c r="G201" s="26" t="s">
        <v>2207</v>
      </c>
      <c r="H201" s="26" t="s">
        <v>1942</v>
      </c>
      <c r="I201" s="26" t="s">
        <v>2208</v>
      </c>
      <c r="J201" s="28">
        <v>3293.0</v>
      </c>
      <c r="K201" s="26" t="s">
        <v>2209</v>
      </c>
      <c r="L201" s="26" t="s">
        <v>2210</v>
      </c>
      <c r="M201" s="26">
        <v>1.0</v>
      </c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20" t="s">
        <v>2133</v>
      </c>
      <c r="B202" s="20" t="s">
        <v>611</v>
      </c>
      <c r="C202" s="21" t="s">
        <v>612</v>
      </c>
      <c r="D202" s="20" t="s">
        <v>2205</v>
      </c>
      <c r="E202" s="22" t="s">
        <v>2211</v>
      </c>
      <c r="F202" s="23">
        <v>0.16</v>
      </c>
      <c r="G202" s="22" t="s">
        <v>2212</v>
      </c>
      <c r="H202" s="22" t="s">
        <v>1942</v>
      </c>
      <c r="I202" s="22" t="s">
        <v>1986</v>
      </c>
      <c r="J202" s="24">
        <v>3293.0</v>
      </c>
      <c r="K202" s="22" t="s">
        <v>2213</v>
      </c>
      <c r="L202" s="22" t="s">
        <v>2214</v>
      </c>
      <c r="M202" s="22">
        <v>1.0</v>
      </c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25" t="s">
        <v>2133</v>
      </c>
      <c r="B203" s="25" t="s">
        <v>572</v>
      </c>
      <c r="C203" s="21" t="s">
        <v>573</v>
      </c>
      <c r="D203" s="25" t="s">
        <v>574</v>
      </c>
      <c r="E203" s="26" t="s">
        <v>2215</v>
      </c>
      <c r="F203" s="27">
        <v>0.16</v>
      </c>
      <c r="G203" s="26" t="s">
        <v>2164</v>
      </c>
      <c r="H203" s="26" t="s">
        <v>1942</v>
      </c>
      <c r="I203" s="26" t="s">
        <v>2216</v>
      </c>
      <c r="J203" s="28">
        <v>3834.0</v>
      </c>
      <c r="K203" s="26" t="s">
        <v>2217</v>
      </c>
      <c r="L203" s="26" t="s">
        <v>2218</v>
      </c>
      <c r="M203" s="26">
        <v>1.0</v>
      </c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20" t="s">
        <v>2133</v>
      </c>
      <c r="B204" s="20" t="s">
        <v>2219</v>
      </c>
      <c r="C204" s="21" t="s">
        <v>573</v>
      </c>
      <c r="D204" s="20" t="s">
        <v>574</v>
      </c>
      <c r="E204" s="22" t="s">
        <v>2215</v>
      </c>
      <c r="F204" s="23">
        <v>0.16</v>
      </c>
      <c r="G204" s="22" t="s">
        <v>2164</v>
      </c>
      <c r="H204" s="22" t="s">
        <v>1942</v>
      </c>
      <c r="I204" s="22" t="s">
        <v>2216</v>
      </c>
      <c r="J204" s="24">
        <v>3834.0</v>
      </c>
      <c r="K204" s="22" t="s">
        <v>2217</v>
      </c>
      <c r="L204" s="22" t="s">
        <v>2218</v>
      </c>
      <c r="M204" s="22">
        <v>1.0</v>
      </c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25" t="s">
        <v>2133</v>
      </c>
      <c r="B205" s="25" t="s">
        <v>2220</v>
      </c>
      <c r="C205" s="21">
        <v>3.504105036126E12</v>
      </c>
      <c r="D205" s="25" t="s">
        <v>594</v>
      </c>
      <c r="E205" s="26" t="s">
        <v>2221</v>
      </c>
      <c r="F205" s="27">
        <v>0.16</v>
      </c>
      <c r="G205" s="26" t="s">
        <v>2222</v>
      </c>
      <c r="H205" s="26" t="s">
        <v>1942</v>
      </c>
      <c r="I205" s="26" t="s">
        <v>2223</v>
      </c>
      <c r="J205" s="28">
        <v>3750.0</v>
      </c>
      <c r="K205" s="26" t="s">
        <v>2224</v>
      </c>
      <c r="L205" s="26" t="s">
        <v>2225</v>
      </c>
      <c r="M205" s="26">
        <v>3.0</v>
      </c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20" t="s">
        <v>2133</v>
      </c>
      <c r="B206" s="20" t="s">
        <v>593</v>
      </c>
      <c r="C206" s="21">
        <v>3.504105036126E12</v>
      </c>
      <c r="D206" s="20" t="s">
        <v>594</v>
      </c>
      <c r="E206" s="22" t="s">
        <v>2226</v>
      </c>
      <c r="F206" s="23">
        <v>0.16</v>
      </c>
      <c r="G206" s="22" t="s">
        <v>2227</v>
      </c>
      <c r="H206" s="22" t="s">
        <v>1942</v>
      </c>
      <c r="I206" s="22" t="s">
        <v>2228</v>
      </c>
      <c r="J206" s="24">
        <v>3750.0</v>
      </c>
      <c r="K206" s="22" t="s">
        <v>2229</v>
      </c>
      <c r="L206" s="22" t="s">
        <v>2162</v>
      </c>
      <c r="M206" s="22">
        <v>3.0</v>
      </c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25" t="s">
        <v>2133</v>
      </c>
      <c r="B207" s="25" t="s">
        <v>583</v>
      </c>
      <c r="C207" s="21" t="s">
        <v>584</v>
      </c>
      <c r="D207" s="25" t="s">
        <v>585</v>
      </c>
      <c r="E207" s="26" t="s">
        <v>2230</v>
      </c>
      <c r="F207" s="27">
        <v>0.16</v>
      </c>
      <c r="G207" s="26" t="s">
        <v>2231</v>
      </c>
      <c r="H207" s="26" t="s">
        <v>1942</v>
      </c>
      <c r="I207" s="26" t="s">
        <v>2232</v>
      </c>
      <c r="J207" s="28">
        <v>4493.0</v>
      </c>
      <c r="K207" s="26" t="s">
        <v>2233</v>
      </c>
      <c r="L207" s="26" t="s">
        <v>2234</v>
      </c>
      <c r="M207" s="26">
        <v>1.0</v>
      </c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20" t="s">
        <v>2133</v>
      </c>
      <c r="B208" s="20" t="s">
        <v>2235</v>
      </c>
      <c r="C208" s="21" t="s">
        <v>584</v>
      </c>
      <c r="D208" s="20" t="s">
        <v>585</v>
      </c>
      <c r="E208" s="22" t="s">
        <v>2230</v>
      </c>
      <c r="F208" s="23">
        <v>0.16</v>
      </c>
      <c r="G208" s="22" t="s">
        <v>2231</v>
      </c>
      <c r="H208" s="22" t="s">
        <v>1942</v>
      </c>
      <c r="I208" s="22" t="s">
        <v>2232</v>
      </c>
      <c r="J208" s="24">
        <v>4493.0</v>
      </c>
      <c r="K208" s="22" t="s">
        <v>2233</v>
      </c>
      <c r="L208" s="22" t="s">
        <v>2234</v>
      </c>
      <c r="M208" s="22">
        <v>1.0</v>
      </c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25" t="s">
        <v>2133</v>
      </c>
      <c r="B209" s="25" t="s">
        <v>2236</v>
      </c>
      <c r="C209" s="21" t="s">
        <v>601</v>
      </c>
      <c r="D209" s="25" t="s">
        <v>602</v>
      </c>
      <c r="E209" s="26" t="s">
        <v>2237</v>
      </c>
      <c r="F209" s="27">
        <v>0.16</v>
      </c>
      <c r="G209" s="26" t="s">
        <v>2238</v>
      </c>
      <c r="H209" s="26" t="s">
        <v>1942</v>
      </c>
      <c r="I209" s="26" t="s">
        <v>2239</v>
      </c>
      <c r="J209" s="28">
        <v>7723.0</v>
      </c>
      <c r="K209" s="26" t="s">
        <v>2240</v>
      </c>
      <c r="L209" s="26" t="s">
        <v>2241</v>
      </c>
      <c r="M209" s="26">
        <v>6.0</v>
      </c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20" t="s">
        <v>2133</v>
      </c>
      <c r="B210" s="20" t="s">
        <v>600</v>
      </c>
      <c r="C210" s="21" t="s">
        <v>601</v>
      </c>
      <c r="D210" s="20" t="s">
        <v>602</v>
      </c>
      <c r="E210" s="22" t="s">
        <v>2237</v>
      </c>
      <c r="F210" s="23">
        <v>0.16</v>
      </c>
      <c r="G210" s="22" t="s">
        <v>2238</v>
      </c>
      <c r="H210" s="22" t="s">
        <v>1942</v>
      </c>
      <c r="I210" s="22" t="s">
        <v>2239</v>
      </c>
      <c r="J210" s="24">
        <v>7723.0</v>
      </c>
      <c r="K210" s="22" t="s">
        <v>2240</v>
      </c>
      <c r="L210" s="22" t="s">
        <v>2241</v>
      </c>
      <c r="M210" s="22">
        <v>6.0</v>
      </c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25" t="s">
        <v>2133</v>
      </c>
      <c r="B211" s="25" t="s">
        <v>568</v>
      </c>
      <c r="C211" s="21" t="s">
        <v>569</v>
      </c>
      <c r="D211" s="25" t="s">
        <v>570</v>
      </c>
      <c r="E211" s="26" t="s">
        <v>2242</v>
      </c>
      <c r="F211" s="27">
        <v>0.16</v>
      </c>
      <c r="G211" s="26" t="s">
        <v>2243</v>
      </c>
      <c r="H211" s="26" t="s">
        <v>1942</v>
      </c>
      <c r="I211" s="26" t="s">
        <v>2244</v>
      </c>
      <c r="J211" s="28">
        <v>8274.0</v>
      </c>
      <c r="K211" s="26" t="s">
        <v>2245</v>
      </c>
      <c r="L211" s="26" t="s">
        <v>2246</v>
      </c>
      <c r="M211" s="26">
        <v>1.0</v>
      </c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20" t="s">
        <v>2133</v>
      </c>
      <c r="B212" s="20" t="s">
        <v>2247</v>
      </c>
      <c r="C212" s="21" t="s">
        <v>569</v>
      </c>
      <c r="D212" s="20" t="s">
        <v>570</v>
      </c>
      <c r="E212" s="22" t="s">
        <v>2242</v>
      </c>
      <c r="F212" s="23">
        <v>0.16</v>
      </c>
      <c r="G212" s="22" t="s">
        <v>2243</v>
      </c>
      <c r="H212" s="22" t="s">
        <v>1942</v>
      </c>
      <c r="I212" s="22" t="s">
        <v>2244</v>
      </c>
      <c r="J212" s="24">
        <v>8274.0</v>
      </c>
      <c r="K212" s="22" t="s">
        <v>2245</v>
      </c>
      <c r="L212" s="22" t="s">
        <v>2246</v>
      </c>
      <c r="M212" s="22">
        <v>1.0</v>
      </c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25" t="s">
        <v>2133</v>
      </c>
      <c r="B213" s="25" t="s">
        <v>2248</v>
      </c>
      <c r="C213" s="21" t="s">
        <v>597</v>
      </c>
      <c r="D213" s="25" t="s">
        <v>598</v>
      </c>
      <c r="E213" s="26" t="s">
        <v>2249</v>
      </c>
      <c r="F213" s="27">
        <v>0.16</v>
      </c>
      <c r="G213" s="26" t="s">
        <v>2250</v>
      </c>
      <c r="H213" s="26" t="s">
        <v>1942</v>
      </c>
      <c r="I213" s="26" t="s">
        <v>2251</v>
      </c>
      <c r="J213" s="28">
        <v>4799.0</v>
      </c>
      <c r="K213" s="26" t="s">
        <v>2252</v>
      </c>
      <c r="L213" s="26" t="s">
        <v>2253</v>
      </c>
      <c r="M213" s="26">
        <v>3.0</v>
      </c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20" t="s">
        <v>2133</v>
      </c>
      <c r="B214" s="20" t="s">
        <v>596</v>
      </c>
      <c r="C214" s="21" t="s">
        <v>597</v>
      </c>
      <c r="D214" s="20" t="s">
        <v>598</v>
      </c>
      <c r="E214" s="22" t="s">
        <v>2249</v>
      </c>
      <c r="F214" s="23">
        <v>0.16</v>
      </c>
      <c r="G214" s="22" t="s">
        <v>2250</v>
      </c>
      <c r="H214" s="22" t="s">
        <v>1942</v>
      </c>
      <c r="I214" s="22" t="s">
        <v>2251</v>
      </c>
      <c r="J214" s="24">
        <v>4799.0</v>
      </c>
      <c r="K214" s="22" t="s">
        <v>2252</v>
      </c>
      <c r="L214" s="22" t="s">
        <v>2253</v>
      </c>
      <c r="M214" s="22">
        <v>3.0</v>
      </c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25" t="s">
        <v>2133</v>
      </c>
      <c r="B215" s="25" t="s">
        <v>2254</v>
      </c>
      <c r="C215" s="21">
        <v>7.36658953275E11</v>
      </c>
      <c r="D215" s="25" t="s">
        <v>2255</v>
      </c>
      <c r="E215" s="26" t="s">
        <v>1949</v>
      </c>
      <c r="F215" s="27">
        <v>0.13</v>
      </c>
      <c r="G215" s="26" t="s">
        <v>2256</v>
      </c>
      <c r="H215" s="26" t="s">
        <v>1942</v>
      </c>
      <c r="I215" s="26" t="s">
        <v>2257</v>
      </c>
      <c r="J215" s="28">
        <v>8443.0</v>
      </c>
      <c r="K215" s="26" t="s">
        <v>2258</v>
      </c>
      <c r="L215" s="26" t="s">
        <v>2259</v>
      </c>
      <c r="M215" s="26">
        <v>4.0</v>
      </c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32" t="s">
        <v>2133</v>
      </c>
      <c r="B216" s="32" t="s">
        <v>580</v>
      </c>
      <c r="C216" s="21">
        <v>7.36658953275E11</v>
      </c>
      <c r="D216" s="32" t="s">
        <v>2255</v>
      </c>
      <c r="E216" s="33" t="s">
        <v>1949</v>
      </c>
      <c r="F216" s="34">
        <v>0.13</v>
      </c>
      <c r="G216" s="33" t="s">
        <v>2256</v>
      </c>
      <c r="H216" s="33" t="s">
        <v>1942</v>
      </c>
      <c r="I216" s="33" t="s">
        <v>2257</v>
      </c>
      <c r="J216" s="35">
        <v>8443.0</v>
      </c>
      <c r="K216" s="33" t="s">
        <v>2258</v>
      </c>
      <c r="L216" s="33" t="s">
        <v>2259</v>
      </c>
      <c r="M216" s="33">
        <v>4.0</v>
      </c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25" t="s">
        <v>2133</v>
      </c>
      <c r="B217" s="25" t="s">
        <v>576</v>
      </c>
      <c r="C217" s="21" t="s">
        <v>577</v>
      </c>
      <c r="D217" s="25" t="s">
        <v>578</v>
      </c>
      <c r="E217" s="26" t="s">
        <v>2260</v>
      </c>
      <c r="F217" s="36">
        <v>0.16</v>
      </c>
      <c r="G217" s="26" t="s">
        <v>2261</v>
      </c>
      <c r="H217" s="37" t="s">
        <v>1942</v>
      </c>
      <c r="I217" s="26" t="s">
        <v>2262</v>
      </c>
      <c r="J217" s="38">
        <v>5009.0</v>
      </c>
      <c r="K217" s="26" t="s">
        <v>2263</v>
      </c>
      <c r="L217" s="26" t="s">
        <v>2264</v>
      </c>
      <c r="M217" s="26">
        <v>1.0</v>
      </c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32" t="s">
        <v>2133</v>
      </c>
      <c r="B218" s="32" t="s">
        <v>2265</v>
      </c>
      <c r="C218" s="21" t="s">
        <v>577</v>
      </c>
      <c r="D218" s="32" t="s">
        <v>578</v>
      </c>
      <c r="E218" s="22" t="s">
        <v>2260</v>
      </c>
      <c r="F218" s="34">
        <v>0.16</v>
      </c>
      <c r="G218" s="33" t="s">
        <v>2261</v>
      </c>
      <c r="H218" s="33" t="s">
        <v>1942</v>
      </c>
      <c r="I218" s="33" t="s">
        <v>2262</v>
      </c>
      <c r="J218" s="35">
        <v>5009.0</v>
      </c>
      <c r="K218" s="33" t="s">
        <v>2263</v>
      </c>
      <c r="L218" s="33" t="s">
        <v>2264</v>
      </c>
      <c r="M218" s="33">
        <v>1.0</v>
      </c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39" t="s">
        <v>2133</v>
      </c>
      <c r="B219" s="39" t="s">
        <v>608</v>
      </c>
      <c r="C219" s="29">
        <v>3.504105035815E12</v>
      </c>
      <c r="D219" s="39" t="s">
        <v>609</v>
      </c>
      <c r="E219" s="37" t="s">
        <v>2260</v>
      </c>
      <c r="F219" s="36">
        <v>0.17</v>
      </c>
      <c r="G219" s="37" t="s">
        <v>2266</v>
      </c>
      <c r="H219" s="37" t="s">
        <v>1942</v>
      </c>
      <c r="I219" s="37" t="s">
        <v>2267</v>
      </c>
      <c r="J219" s="38">
        <v>3894.0</v>
      </c>
      <c r="K219" s="37" t="s">
        <v>2268</v>
      </c>
      <c r="L219" s="37" t="s">
        <v>2269</v>
      </c>
      <c r="M219" s="37">
        <v>1.0</v>
      </c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32" t="s">
        <v>2133</v>
      </c>
      <c r="B220" s="32" t="s">
        <v>655</v>
      </c>
      <c r="C220" s="21" t="s">
        <v>656</v>
      </c>
      <c r="D220" s="32" t="s">
        <v>657</v>
      </c>
      <c r="E220" s="33" t="s">
        <v>2270</v>
      </c>
      <c r="F220" s="34">
        <v>0.16</v>
      </c>
      <c r="G220" s="33" t="s">
        <v>2271</v>
      </c>
      <c r="H220" s="33" t="s">
        <v>1942</v>
      </c>
      <c r="I220" s="33" t="s">
        <v>2272</v>
      </c>
      <c r="J220" s="35">
        <v>3834.0</v>
      </c>
      <c r="K220" s="33" t="s">
        <v>2273</v>
      </c>
      <c r="L220" s="33" t="s">
        <v>2274</v>
      </c>
      <c r="M220" s="33">
        <v>6.0</v>
      </c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39" t="s">
        <v>2133</v>
      </c>
      <c r="B221" s="39" t="s">
        <v>2275</v>
      </c>
      <c r="C221" s="21" t="s">
        <v>656</v>
      </c>
      <c r="D221" s="39" t="s">
        <v>657</v>
      </c>
      <c r="E221" s="37" t="s">
        <v>2270</v>
      </c>
      <c r="F221" s="36">
        <v>0.16</v>
      </c>
      <c r="G221" s="37" t="s">
        <v>2271</v>
      </c>
      <c r="H221" s="37" t="s">
        <v>1942</v>
      </c>
      <c r="I221" s="37" t="s">
        <v>2272</v>
      </c>
      <c r="J221" s="38">
        <v>3834.0</v>
      </c>
      <c r="K221" s="37" t="s">
        <v>2273</v>
      </c>
      <c r="L221" s="37" t="s">
        <v>2274</v>
      </c>
      <c r="M221" s="37">
        <v>6.0</v>
      </c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32" t="s">
        <v>2133</v>
      </c>
      <c r="B222" s="32" t="s">
        <v>2276</v>
      </c>
      <c r="C222" s="21">
        <v>4.001499921629E12</v>
      </c>
      <c r="D222" s="32" t="s">
        <v>637</v>
      </c>
      <c r="E222" s="33" t="s">
        <v>2277</v>
      </c>
      <c r="F222" s="34">
        <v>0.16</v>
      </c>
      <c r="G222" s="33" t="s">
        <v>2278</v>
      </c>
      <c r="H222" s="33" t="s">
        <v>1942</v>
      </c>
      <c r="I222" s="33" t="s">
        <v>2279</v>
      </c>
      <c r="J222" s="35">
        <v>3875.0</v>
      </c>
      <c r="K222" s="33" t="s">
        <v>2280</v>
      </c>
      <c r="L222" s="33" t="s">
        <v>2281</v>
      </c>
      <c r="M222" s="33">
        <v>8.0</v>
      </c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39" t="s">
        <v>2133</v>
      </c>
      <c r="B223" s="39" t="s">
        <v>636</v>
      </c>
      <c r="C223" s="21">
        <v>4.001499921629E12</v>
      </c>
      <c r="D223" s="39" t="s">
        <v>637</v>
      </c>
      <c r="E223" s="37" t="s">
        <v>2277</v>
      </c>
      <c r="F223" s="36">
        <v>0.16</v>
      </c>
      <c r="G223" s="37" t="s">
        <v>2278</v>
      </c>
      <c r="H223" s="37" t="s">
        <v>1942</v>
      </c>
      <c r="I223" s="37" t="s">
        <v>2279</v>
      </c>
      <c r="J223" s="38">
        <v>3875.0</v>
      </c>
      <c r="K223" s="37" t="s">
        <v>2280</v>
      </c>
      <c r="L223" s="37" t="s">
        <v>2281</v>
      </c>
      <c r="M223" s="37">
        <v>8.0</v>
      </c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32" t="s">
        <v>2133</v>
      </c>
      <c r="B224" s="32" t="s">
        <v>659</v>
      </c>
      <c r="C224" s="21" t="s">
        <v>660</v>
      </c>
      <c r="D224" s="32" t="s">
        <v>661</v>
      </c>
      <c r="E224" s="33" t="s">
        <v>2282</v>
      </c>
      <c r="F224" s="34">
        <v>0.16</v>
      </c>
      <c r="G224" s="33" t="s">
        <v>2283</v>
      </c>
      <c r="H224" s="33" t="s">
        <v>1942</v>
      </c>
      <c r="I224" s="33" t="s">
        <v>2284</v>
      </c>
      <c r="J224" s="35">
        <v>3834.0</v>
      </c>
      <c r="K224" s="33" t="s">
        <v>2285</v>
      </c>
      <c r="L224" s="33" t="s">
        <v>2286</v>
      </c>
      <c r="M224" s="33">
        <v>3.0</v>
      </c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39" t="s">
        <v>2133</v>
      </c>
      <c r="B225" s="39" t="s">
        <v>2287</v>
      </c>
      <c r="C225" s="21" t="s">
        <v>660</v>
      </c>
      <c r="D225" s="39" t="s">
        <v>661</v>
      </c>
      <c r="E225" s="37" t="s">
        <v>2282</v>
      </c>
      <c r="F225" s="36">
        <v>0.16</v>
      </c>
      <c r="G225" s="37" t="s">
        <v>2283</v>
      </c>
      <c r="H225" s="37" t="s">
        <v>1942</v>
      </c>
      <c r="I225" s="37" t="s">
        <v>2284</v>
      </c>
      <c r="J225" s="38">
        <v>3834.0</v>
      </c>
      <c r="K225" s="37" t="s">
        <v>2285</v>
      </c>
      <c r="L225" s="37" t="s">
        <v>2286</v>
      </c>
      <c r="M225" s="37">
        <v>3.0</v>
      </c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32" t="s">
        <v>2133</v>
      </c>
      <c r="B226" s="32" t="s">
        <v>669</v>
      </c>
      <c r="C226" s="21" t="s">
        <v>2288</v>
      </c>
      <c r="D226" s="32" t="s">
        <v>2289</v>
      </c>
      <c r="E226" s="33" t="s">
        <v>2290</v>
      </c>
      <c r="F226" s="34">
        <v>0.17</v>
      </c>
      <c r="G226" s="33" t="s">
        <v>2291</v>
      </c>
      <c r="H226" s="33" t="s">
        <v>1942</v>
      </c>
      <c r="I226" s="33" t="s">
        <v>2292</v>
      </c>
      <c r="J226" s="35">
        <v>3174.0</v>
      </c>
      <c r="K226" s="33" t="s">
        <v>2293</v>
      </c>
      <c r="L226" s="33" t="s">
        <v>2294</v>
      </c>
      <c r="M226" s="33">
        <v>6.0</v>
      </c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39" t="s">
        <v>2133</v>
      </c>
      <c r="B227" s="39" t="s">
        <v>2295</v>
      </c>
      <c r="C227" s="21" t="s">
        <v>2288</v>
      </c>
      <c r="D227" s="39" t="s">
        <v>2289</v>
      </c>
      <c r="E227" s="37" t="s">
        <v>2290</v>
      </c>
      <c r="F227" s="36">
        <v>0.17</v>
      </c>
      <c r="G227" s="37" t="s">
        <v>2291</v>
      </c>
      <c r="H227" s="37" t="s">
        <v>1942</v>
      </c>
      <c r="I227" s="37" t="s">
        <v>2292</v>
      </c>
      <c r="J227" s="38">
        <v>3174.0</v>
      </c>
      <c r="K227" s="37" t="s">
        <v>2293</v>
      </c>
      <c r="L227" s="37" t="s">
        <v>2294</v>
      </c>
      <c r="M227" s="37">
        <v>6.0</v>
      </c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32" t="s">
        <v>2133</v>
      </c>
      <c r="B228" s="32" t="s">
        <v>2296</v>
      </c>
      <c r="C228" s="21" t="s">
        <v>693</v>
      </c>
      <c r="D228" s="32" t="s">
        <v>2297</v>
      </c>
      <c r="E228" s="33" t="s">
        <v>2260</v>
      </c>
      <c r="F228" s="34">
        <v>0.17</v>
      </c>
      <c r="G228" s="33" t="s">
        <v>2266</v>
      </c>
      <c r="H228" s="33" t="s">
        <v>1942</v>
      </c>
      <c r="I228" s="33" t="s">
        <v>2267</v>
      </c>
      <c r="J228" s="35">
        <v>3596.0</v>
      </c>
      <c r="K228" s="33" t="s">
        <v>2298</v>
      </c>
      <c r="L228" s="33" t="s">
        <v>2299</v>
      </c>
      <c r="M228" s="33">
        <v>12.0</v>
      </c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39" t="s">
        <v>2133</v>
      </c>
      <c r="B229" s="39" t="s">
        <v>692</v>
      </c>
      <c r="C229" s="21" t="s">
        <v>693</v>
      </c>
      <c r="D229" s="39" t="s">
        <v>2297</v>
      </c>
      <c r="E229" s="37" t="s">
        <v>2260</v>
      </c>
      <c r="F229" s="36">
        <v>0.17</v>
      </c>
      <c r="G229" s="37" t="s">
        <v>2266</v>
      </c>
      <c r="H229" s="37" t="s">
        <v>1942</v>
      </c>
      <c r="I229" s="37" t="s">
        <v>2267</v>
      </c>
      <c r="J229" s="38">
        <v>3596.0</v>
      </c>
      <c r="K229" s="37" t="s">
        <v>2298</v>
      </c>
      <c r="L229" s="37" t="s">
        <v>2299</v>
      </c>
      <c r="M229" s="37">
        <v>12.0</v>
      </c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32" t="s">
        <v>2133</v>
      </c>
      <c r="B230" s="32" t="s">
        <v>2300</v>
      </c>
      <c r="C230" s="21">
        <v>8.01686700703E12</v>
      </c>
      <c r="D230" s="32" t="s">
        <v>726</v>
      </c>
      <c r="E230" s="33" t="s">
        <v>2301</v>
      </c>
      <c r="F230" s="34">
        <v>0.18</v>
      </c>
      <c r="G230" s="33" t="s">
        <v>2302</v>
      </c>
      <c r="H230" s="33" t="s">
        <v>1942</v>
      </c>
      <c r="I230" s="33" t="s">
        <v>2303</v>
      </c>
      <c r="J230" s="35">
        <v>1752.0</v>
      </c>
      <c r="K230" s="33" t="s">
        <v>2304</v>
      </c>
      <c r="L230" s="33" t="s">
        <v>2305</v>
      </c>
      <c r="M230" s="33">
        <v>12.0</v>
      </c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39" t="s">
        <v>2133</v>
      </c>
      <c r="B231" s="39" t="s">
        <v>725</v>
      </c>
      <c r="C231" s="21">
        <v>8.01686700703E12</v>
      </c>
      <c r="D231" s="39" t="s">
        <v>726</v>
      </c>
      <c r="E231" s="37" t="s">
        <v>2301</v>
      </c>
      <c r="F231" s="36">
        <v>0.18</v>
      </c>
      <c r="G231" s="37" t="s">
        <v>2302</v>
      </c>
      <c r="H231" s="37" t="s">
        <v>1942</v>
      </c>
      <c r="I231" s="37" t="s">
        <v>2303</v>
      </c>
      <c r="J231" s="38">
        <v>1752.0</v>
      </c>
      <c r="K231" s="37" t="s">
        <v>2304</v>
      </c>
      <c r="L231" s="37" t="s">
        <v>2305</v>
      </c>
      <c r="M231" s="40">
        <v>12.0</v>
      </c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32" t="s">
        <v>2133</v>
      </c>
      <c r="B232" s="32" t="s">
        <v>685</v>
      </c>
      <c r="C232" s="21" t="s">
        <v>686</v>
      </c>
      <c r="D232" s="32" t="s">
        <v>687</v>
      </c>
      <c r="E232" s="33" t="s">
        <v>1992</v>
      </c>
      <c r="F232" s="34">
        <v>0.16</v>
      </c>
      <c r="G232" s="33" t="s">
        <v>1993</v>
      </c>
      <c r="H232" s="33" t="s">
        <v>1942</v>
      </c>
      <c r="I232" s="33" t="s">
        <v>1994</v>
      </c>
      <c r="J232" s="35">
        <v>5009.0</v>
      </c>
      <c r="K232" s="33" t="s">
        <v>2306</v>
      </c>
      <c r="L232" s="33" t="s">
        <v>2307</v>
      </c>
      <c r="M232" s="33">
        <v>3.0</v>
      </c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39" t="s">
        <v>2133</v>
      </c>
      <c r="B233" s="39" t="s">
        <v>2308</v>
      </c>
      <c r="C233" s="21" t="s">
        <v>686</v>
      </c>
      <c r="D233" s="39" t="s">
        <v>687</v>
      </c>
      <c r="E233" s="37" t="s">
        <v>1992</v>
      </c>
      <c r="F233" s="36">
        <v>0.16</v>
      </c>
      <c r="G233" s="37" t="s">
        <v>1993</v>
      </c>
      <c r="H233" s="37" t="s">
        <v>1942</v>
      </c>
      <c r="I233" s="37" t="s">
        <v>1994</v>
      </c>
      <c r="J233" s="38">
        <v>5009.0</v>
      </c>
      <c r="K233" s="37" t="s">
        <v>2306</v>
      </c>
      <c r="L233" s="37" t="s">
        <v>2307</v>
      </c>
      <c r="M233" s="37">
        <v>3.0</v>
      </c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32" t="s">
        <v>2133</v>
      </c>
      <c r="B234" s="32" t="s">
        <v>709</v>
      </c>
      <c r="C234" s="21" t="s">
        <v>710</v>
      </c>
      <c r="D234" s="32" t="s">
        <v>711</v>
      </c>
      <c r="E234" s="33" t="s">
        <v>2309</v>
      </c>
      <c r="F234" s="34">
        <v>0.16</v>
      </c>
      <c r="G234" s="33" t="s">
        <v>2310</v>
      </c>
      <c r="H234" s="33" t="s">
        <v>1942</v>
      </c>
      <c r="I234" s="33" t="s">
        <v>2311</v>
      </c>
      <c r="J234" s="35">
        <v>4974.0</v>
      </c>
      <c r="K234" s="33" t="s">
        <v>2312</v>
      </c>
      <c r="L234" s="33" t="s">
        <v>2313</v>
      </c>
      <c r="M234" s="33">
        <v>1.0</v>
      </c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39" t="s">
        <v>2133</v>
      </c>
      <c r="B235" s="39" t="s">
        <v>2314</v>
      </c>
      <c r="C235" s="21" t="s">
        <v>710</v>
      </c>
      <c r="D235" s="39" t="s">
        <v>711</v>
      </c>
      <c r="E235" s="37" t="s">
        <v>2309</v>
      </c>
      <c r="F235" s="36">
        <v>0.16</v>
      </c>
      <c r="G235" s="37" t="s">
        <v>2310</v>
      </c>
      <c r="H235" s="37" t="s">
        <v>1942</v>
      </c>
      <c r="I235" s="37" t="s">
        <v>2311</v>
      </c>
      <c r="J235" s="38">
        <v>4974.0</v>
      </c>
      <c r="K235" s="37" t="s">
        <v>2312</v>
      </c>
      <c r="L235" s="37" t="s">
        <v>2313</v>
      </c>
      <c r="M235" s="37">
        <v>1.0</v>
      </c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32" t="s">
        <v>2133</v>
      </c>
      <c r="B236" s="32" t="s">
        <v>676</v>
      </c>
      <c r="C236" s="21">
        <v>7.750075060685E12</v>
      </c>
      <c r="D236" s="32" t="s">
        <v>677</v>
      </c>
      <c r="E236" s="33" t="s">
        <v>2315</v>
      </c>
      <c r="F236" s="34">
        <v>0.16</v>
      </c>
      <c r="G236" s="33" t="s">
        <v>2316</v>
      </c>
      <c r="H236" s="33" t="s">
        <v>1942</v>
      </c>
      <c r="I236" s="33" t="s">
        <v>2317</v>
      </c>
      <c r="J236" s="35">
        <v>5009.0</v>
      </c>
      <c r="K236" s="33" t="s">
        <v>2318</v>
      </c>
      <c r="L236" s="33" t="s">
        <v>2319</v>
      </c>
      <c r="M236" s="33">
        <v>3.0</v>
      </c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39" t="s">
        <v>2133</v>
      </c>
      <c r="B237" s="39" t="s">
        <v>2320</v>
      </c>
      <c r="C237" s="21">
        <v>7.750075060685E12</v>
      </c>
      <c r="D237" s="39" t="s">
        <v>677</v>
      </c>
      <c r="E237" s="37" t="s">
        <v>2315</v>
      </c>
      <c r="F237" s="36">
        <v>0.16</v>
      </c>
      <c r="G237" s="37" t="s">
        <v>2316</v>
      </c>
      <c r="H237" s="37" t="s">
        <v>1942</v>
      </c>
      <c r="I237" s="37" t="s">
        <v>2317</v>
      </c>
      <c r="J237" s="38">
        <v>5009.0</v>
      </c>
      <c r="K237" s="37" t="s">
        <v>2318</v>
      </c>
      <c r="L237" s="37" t="s">
        <v>2319</v>
      </c>
      <c r="M237" s="37">
        <v>3.0</v>
      </c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32" t="s">
        <v>2133</v>
      </c>
      <c r="B238" s="32" t="s">
        <v>699</v>
      </c>
      <c r="C238" s="21" t="s">
        <v>700</v>
      </c>
      <c r="D238" s="32" t="s">
        <v>701</v>
      </c>
      <c r="E238" s="33" t="s">
        <v>1992</v>
      </c>
      <c r="F238" s="34">
        <v>0.16</v>
      </c>
      <c r="G238" s="33" t="s">
        <v>1993</v>
      </c>
      <c r="H238" s="33" t="s">
        <v>1942</v>
      </c>
      <c r="I238" s="33" t="s">
        <v>1994</v>
      </c>
      <c r="J238" s="35">
        <v>5009.0</v>
      </c>
      <c r="K238" s="33" t="s">
        <v>2306</v>
      </c>
      <c r="L238" s="33" t="s">
        <v>2307</v>
      </c>
      <c r="M238" s="33">
        <v>1.0</v>
      </c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39" t="s">
        <v>2133</v>
      </c>
      <c r="B239" s="39" t="s">
        <v>2321</v>
      </c>
      <c r="C239" s="21" t="s">
        <v>700</v>
      </c>
      <c r="D239" s="39" t="s">
        <v>701</v>
      </c>
      <c r="E239" s="37" t="s">
        <v>1992</v>
      </c>
      <c r="F239" s="36">
        <v>0.16</v>
      </c>
      <c r="G239" s="37" t="s">
        <v>1993</v>
      </c>
      <c r="H239" s="37" t="s">
        <v>1942</v>
      </c>
      <c r="I239" s="37" t="s">
        <v>1994</v>
      </c>
      <c r="J239" s="38">
        <v>5009.0</v>
      </c>
      <c r="K239" s="37" t="s">
        <v>2306</v>
      </c>
      <c r="L239" s="37" t="s">
        <v>2307</v>
      </c>
      <c r="M239" s="37">
        <v>1.0</v>
      </c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32" t="s">
        <v>2133</v>
      </c>
      <c r="B240" s="32" t="s">
        <v>2322</v>
      </c>
      <c r="C240" s="21" t="s">
        <v>748</v>
      </c>
      <c r="D240" s="32" t="s">
        <v>2323</v>
      </c>
      <c r="E240" s="32"/>
      <c r="F240" s="32"/>
      <c r="G240" s="33" t="s">
        <v>1942</v>
      </c>
      <c r="H240" s="32"/>
      <c r="I240" s="33" t="s">
        <v>1942</v>
      </c>
      <c r="J240" s="35">
        <v>5994.0</v>
      </c>
      <c r="K240" s="33" t="s">
        <v>2324</v>
      </c>
      <c r="L240" s="33" t="s">
        <v>1947</v>
      </c>
      <c r="M240" s="33">
        <v>3.0</v>
      </c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39" t="s">
        <v>2133</v>
      </c>
      <c r="B241" s="39" t="s">
        <v>747</v>
      </c>
      <c r="C241" s="21" t="s">
        <v>748</v>
      </c>
      <c r="D241" s="39" t="s">
        <v>2323</v>
      </c>
      <c r="E241" s="39"/>
      <c r="F241" s="39"/>
      <c r="G241" s="37" t="s">
        <v>1942</v>
      </c>
      <c r="H241" s="39"/>
      <c r="I241" s="37" t="s">
        <v>1942</v>
      </c>
      <c r="J241" s="38">
        <v>5994.0</v>
      </c>
      <c r="K241" s="37" t="s">
        <v>2324</v>
      </c>
      <c r="L241" s="37" t="s">
        <v>1947</v>
      </c>
      <c r="M241" s="37">
        <v>3.0</v>
      </c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32" t="s">
        <v>2133</v>
      </c>
      <c r="B242" s="32" t="s">
        <v>759</v>
      </c>
      <c r="C242" s="21" t="s">
        <v>760</v>
      </c>
      <c r="D242" s="32" t="s">
        <v>761</v>
      </c>
      <c r="E242" s="32"/>
      <c r="F242" s="32"/>
      <c r="G242" s="33" t="s">
        <v>1942</v>
      </c>
      <c r="H242" s="32"/>
      <c r="I242" s="33" t="s">
        <v>1942</v>
      </c>
      <c r="J242" s="35">
        <v>4799.0</v>
      </c>
      <c r="K242" s="33" t="s">
        <v>2325</v>
      </c>
      <c r="L242" s="33" t="s">
        <v>1947</v>
      </c>
      <c r="M242" s="33">
        <v>3.0</v>
      </c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39" t="s">
        <v>2133</v>
      </c>
      <c r="B243" s="39" t="s">
        <v>2326</v>
      </c>
      <c r="C243" s="21" t="s">
        <v>760</v>
      </c>
      <c r="D243" s="39" t="s">
        <v>761</v>
      </c>
      <c r="E243" s="39"/>
      <c r="F243" s="39"/>
      <c r="G243" s="37" t="s">
        <v>1942</v>
      </c>
      <c r="H243" s="39"/>
      <c r="I243" s="37" t="s">
        <v>1942</v>
      </c>
      <c r="J243" s="38">
        <v>4799.0</v>
      </c>
      <c r="K243" s="37" t="s">
        <v>2325</v>
      </c>
      <c r="L243" s="37" t="s">
        <v>1947</v>
      </c>
      <c r="M243" s="37">
        <v>3.0</v>
      </c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32" t="s">
        <v>2133</v>
      </c>
      <c r="B244" s="32" t="s">
        <v>2327</v>
      </c>
      <c r="C244" s="30">
        <v>4.001499112942E12</v>
      </c>
      <c r="D244" s="32" t="s">
        <v>2328</v>
      </c>
      <c r="E244" s="32"/>
      <c r="F244" s="32"/>
      <c r="G244" s="33" t="s">
        <v>1942</v>
      </c>
      <c r="H244" s="32"/>
      <c r="I244" s="33" t="s">
        <v>1942</v>
      </c>
      <c r="J244" s="35">
        <v>2843.0</v>
      </c>
      <c r="K244" s="33" t="s">
        <v>2329</v>
      </c>
      <c r="L244" s="33" t="s">
        <v>1947</v>
      </c>
      <c r="M244" s="33">
        <v>8.0</v>
      </c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39" t="s">
        <v>2133</v>
      </c>
      <c r="B245" s="39" t="s">
        <v>773</v>
      </c>
      <c r="C245" s="29" t="s">
        <v>774</v>
      </c>
      <c r="D245" s="39" t="s">
        <v>2328</v>
      </c>
      <c r="E245" s="39"/>
      <c r="F245" s="39"/>
      <c r="G245" s="37" t="s">
        <v>1942</v>
      </c>
      <c r="H245" s="39"/>
      <c r="I245" s="37" t="s">
        <v>1942</v>
      </c>
      <c r="J245" s="38">
        <v>2843.0</v>
      </c>
      <c r="K245" s="37" t="s">
        <v>2329</v>
      </c>
      <c r="L245" s="37" t="s">
        <v>1947</v>
      </c>
      <c r="M245" s="37">
        <v>8.0</v>
      </c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32" t="s">
        <v>2133</v>
      </c>
      <c r="B246" s="32" t="s">
        <v>888</v>
      </c>
      <c r="C246" s="21" t="s">
        <v>889</v>
      </c>
      <c r="D246" s="32" t="s">
        <v>890</v>
      </c>
      <c r="E246" s="32"/>
      <c r="F246" s="32"/>
      <c r="G246" s="33" t="s">
        <v>1942</v>
      </c>
      <c r="H246" s="32"/>
      <c r="I246" s="33" t="s">
        <v>1942</v>
      </c>
      <c r="J246" s="35">
        <v>5844.0</v>
      </c>
      <c r="K246" s="33" t="s">
        <v>2330</v>
      </c>
      <c r="L246" s="33" t="s">
        <v>1947</v>
      </c>
      <c r="M246" s="33">
        <v>3.0</v>
      </c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39" t="s">
        <v>2133</v>
      </c>
      <c r="B247" s="39" t="s">
        <v>2331</v>
      </c>
      <c r="C247" s="21" t="s">
        <v>889</v>
      </c>
      <c r="D247" s="39" t="s">
        <v>890</v>
      </c>
      <c r="E247" s="39"/>
      <c r="F247" s="39"/>
      <c r="G247" s="37" t="s">
        <v>1942</v>
      </c>
      <c r="H247" s="39"/>
      <c r="I247" s="37" t="s">
        <v>1942</v>
      </c>
      <c r="J247" s="38">
        <v>5844.0</v>
      </c>
      <c r="K247" s="37" t="s">
        <v>2330</v>
      </c>
      <c r="L247" s="37" t="s">
        <v>1947</v>
      </c>
      <c r="M247" s="37">
        <v>3.0</v>
      </c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32" t="s">
        <v>2133</v>
      </c>
      <c r="B248" s="32" t="s">
        <v>892</v>
      </c>
      <c r="C248" s="21" t="s">
        <v>893</v>
      </c>
      <c r="D248" s="32" t="s">
        <v>894</v>
      </c>
      <c r="E248" s="32"/>
      <c r="F248" s="32"/>
      <c r="G248" s="33" t="s">
        <v>1942</v>
      </c>
      <c r="H248" s="32"/>
      <c r="I248" s="33" t="s">
        <v>1942</v>
      </c>
      <c r="J248" s="35">
        <v>6498.0</v>
      </c>
      <c r="K248" s="33" t="s">
        <v>2332</v>
      </c>
      <c r="L248" s="33" t="s">
        <v>1947</v>
      </c>
      <c r="M248" s="33">
        <v>3.0</v>
      </c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39" t="s">
        <v>2133</v>
      </c>
      <c r="B249" s="39" t="s">
        <v>2333</v>
      </c>
      <c r="C249" s="21" t="s">
        <v>893</v>
      </c>
      <c r="D249" s="39" t="s">
        <v>894</v>
      </c>
      <c r="E249" s="39"/>
      <c r="F249" s="39"/>
      <c r="G249" s="37" t="s">
        <v>1942</v>
      </c>
      <c r="H249" s="39"/>
      <c r="I249" s="37" t="s">
        <v>1942</v>
      </c>
      <c r="J249" s="38">
        <v>6498.0</v>
      </c>
      <c r="K249" s="37" t="s">
        <v>2332</v>
      </c>
      <c r="L249" s="37" t="s">
        <v>1947</v>
      </c>
      <c r="M249" s="37">
        <v>3.0</v>
      </c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32" t="s">
        <v>2133</v>
      </c>
      <c r="B250" s="32" t="s">
        <v>877</v>
      </c>
      <c r="C250" s="21" t="s">
        <v>878</v>
      </c>
      <c r="D250" s="32" t="s">
        <v>879</v>
      </c>
      <c r="E250" s="32"/>
      <c r="F250" s="32"/>
      <c r="G250" s="33" t="s">
        <v>1942</v>
      </c>
      <c r="H250" s="32"/>
      <c r="I250" s="33" t="s">
        <v>1942</v>
      </c>
      <c r="J250" s="35">
        <v>5460.0</v>
      </c>
      <c r="K250" s="33" t="s">
        <v>2334</v>
      </c>
      <c r="L250" s="33" t="s">
        <v>1947</v>
      </c>
      <c r="M250" s="33">
        <v>3.0</v>
      </c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39" t="s">
        <v>2133</v>
      </c>
      <c r="B251" s="39" t="s">
        <v>2335</v>
      </c>
      <c r="C251" s="21" t="s">
        <v>878</v>
      </c>
      <c r="D251" s="39" t="s">
        <v>879</v>
      </c>
      <c r="E251" s="39"/>
      <c r="F251" s="39"/>
      <c r="G251" s="37" t="s">
        <v>1942</v>
      </c>
      <c r="H251" s="39"/>
      <c r="I251" s="37" t="s">
        <v>1942</v>
      </c>
      <c r="J251" s="38">
        <v>5460.0</v>
      </c>
      <c r="K251" s="37" t="s">
        <v>2334</v>
      </c>
      <c r="L251" s="37" t="s">
        <v>1947</v>
      </c>
      <c r="M251" s="37">
        <v>3.0</v>
      </c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32" t="s">
        <v>2133</v>
      </c>
      <c r="B252" s="32" t="s">
        <v>2336</v>
      </c>
      <c r="C252" s="21" t="s">
        <v>874</v>
      </c>
      <c r="D252" s="32" t="s">
        <v>875</v>
      </c>
      <c r="E252" s="32"/>
      <c r="F252" s="32"/>
      <c r="G252" s="33" t="s">
        <v>1942</v>
      </c>
      <c r="H252" s="32"/>
      <c r="I252" s="33" t="s">
        <v>1942</v>
      </c>
      <c r="J252" s="35">
        <v>4209.0</v>
      </c>
      <c r="K252" s="33" t="s">
        <v>2337</v>
      </c>
      <c r="L252" s="33" t="s">
        <v>1947</v>
      </c>
      <c r="M252" s="33">
        <v>3.0</v>
      </c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39" t="s">
        <v>2133</v>
      </c>
      <c r="B253" s="39" t="s">
        <v>873</v>
      </c>
      <c r="C253" s="21" t="s">
        <v>874</v>
      </c>
      <c r="D253" s="39" t="s">
        <v>875</v>
      </c>
      <c r="E253" s="39"/>
      <c r="F253" s="39"/>
      <c r="G253" s="37" t="s">
        <v>1942</v>
      </c>
      <c r="H253" s="39"/>
      <c r="I253" s="37" t="s">
        <v>1942</v>
      </c>
      <c r="J253" s="38">
        <v>4209.0</v>
      </c>
      <c r="K253" s="37" t="s">
        <v>2337</v>
      </c>
      <c r="L253" s="37" t="s">
        <v>1947</v>
      </c>
      <c r="M253" s="37">
        <v>3.0</v>
      </c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32" t="s">
        <v>2133</v>
      </c>
      <c r="B254" s="32" t="s">
        <v>2338</v>
      </c>
      <c r="C254" s="21" t="s">
        <v>885</v>
      </c>
      <c r="D254" s="32" t="s">
        <v>886</v>
      </c>
      <c r="E254" s="32"/>
      <c r="F254" s="32"/>
      <c r="G254" s="33" t="s">
        <v>1942</v>
      </c>
      <c r="H254" s="32"/>
      <c r="I254" s="33" t="s">
        <v>1942</v>
      </c>
      <c r="J254" s="35">
        <v>4180.0</v>
      </c>
      <c r="K254" s="33" t="s">
        <v>2339</v>
      </c>
      <c r="L254" s="33" t="s">
        <v>1947</v>
      </c>
      <c r="M254" s="33">
        <v>4.0</v>
      </c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39" t="s">
        <v>2133</v>
      </c>
      <c r="B255" s="39" t="s">
        <v>884</v>
      </c>
      <c r="C255" s="21" t="s">
        <v>885</v>
      </c>
      <c r="D255" s="39" t="s">
        <v>886</v>
      </c>
      <c r="E255" s="39"/>
      <c r="F255" s="39"/>
      <c r="G255" s="37" t="s">
        <v>1942</v>
      </c>
      <c r="H255" s="39"/>
      <c r="I255" s="37" t="s">
        <v>1942</v>
      </c>
      <c r="J255" s="38">
        <v>4180.0</v>
      </c>
      <c r="K255" s="37" t="s">
        <v>2339</v>
      </c>
      <c r="L255" s="37" t="s">
        <v>1947</v>
      </c>
      <c r="M255" s="37">
        <v>4.0</v>
      </c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32" t="s">
        <v>2133</v>
      </c>
      <c r="B256" s="32" t="s">
        <v>896</v>
      </c>
      <c r="C256" s="21" t="s">
        <v>897</v>
      </c>
      <c r="D256" s="32" t="s">
        <v>898</v>
      </c>
      <c r="E256" s="32"/>
      <c r="F256" s="32"/>
      <c r="G256" s="33" t="s">
        <v>1942</v>
      </c>
      <c r="H256" s="32"/>
      <c r="I256" s="33" t="s">
        <v>1942</v>
      </c>
      <c r="J256" s="35">
        <v>4209.0</v>
      </c>
      <c r="K256" s="33" t="s">
        <v>2337</v>
      </c>
      <c r="L256" s="33" t="s">
        <v>1947</v>
      </c>
      <c r="M256" s="33">
        <v>3.0</v>
      </c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39" t="s">
        <v>2133</v>
      </c>
      <c r="B257" s="39" t="s">
        <v>2340</v>
      </c>
      <c r="C257" s="21" t="s">
        <v>897</v>
      </c>
      <c r="D257" s="39" t="s">
        <v>898</v>
      </c>
      <c r="E257" s="39"/>
      <c r="F257" s="39"/>
      <c r="G257" s="37" t="s">
        <v>1942</v>
      </c>
      <c r="H257" s="39"/>
      <c r="I257" s="37" t="s">
        <v>1942</v>
      </c>
      <c r="J257" s="38">
        <v>4209.0</v>
      </c>
      <c r="K257" s="37" t="s">
        <v>2337</v>
      </c>
      <c r="L257" s="37" t="s">
        <v>1947</v>
      </c>
      <c r="M257" s="37">
        <v>3.0</v>
      </c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32" t="s">
        <v>2341</v>
      </c>
      <c r="B258" s="32" t="s">
        <v>234</v>
      </c>
      <c r="C258" s="30">
        <v>7.804651160211E12</v>
      </c>
      <c r="D258" s="32" t="s">
        <v>235</v>
      </c>
      <c r="E258" s="33" t="s">
        <v>2342</v>
      </c>
      <c r="F258" s="34">
        <v>0.18</v>
      </c>
      <c r="G258" s="33" t="s">
        <v>2188</v>
      </c>
      <c r="H258" s="33" t="s">
        <v>1942</v>
      </c>
      <c r="I258" s="33" t="s">
        <v>2343</v>
      </c>
      <c r="J258" s="35">
        <v>3392.0</v>
      </c>
      <c r="K258" s="33" t="s">
        <v>2344</v>
      </c>
      <c r="L258" s="33" t="s">
        <v>2345</v>
      </c>
      <c r="M258" s="33">
        <v>1.0</v>
      </c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39" t="s">
        <v>2341</v>
      </c>
      <c r="B259" s="39" t="s">
        <v>230</v>
      </c>
      <c r="C259" s="29">
        <v>7.896108058967E12</v>
      </c>
      <c r="D259" s="39" t="s">
        <v>231</v>
      </c>
      <c r="E259" s="37" t="s">
        <v>2342</v>
      </c>
      <c r="F259" s="36">
        <v>0.18</v>
      </c>
      <c r="G259" s="37" t="s">
        <v>2188</v>
      </c>
      <c r="H259" s="37" t="s">
        <v>1942</v>
      </c>
      <c r="I259" s="37" t="s">
        <v>2343</v>
      </c>
      <c r="J259" s="38">
        <v>3392.0</v>
      </c>
      <c r="K259" s="37" t="s">
        <v>2344</v>
      </c>
      <c r="L259" s="37" t="s">
        <v>2345</v>
      </c>
      <c r="M259" s="37">
        <v>1.0</v>
      </c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32" t="s">
        <v>2341</v>
      </c>
      <c r="B260" s="32" t="s">
        <v>256</v>
      </c>
      <c r="C260" s="30" t="s">
        <v>257</v>
      </c>
      <c r="D260" s="32" t="s">
        <v>258</v>
      </c>
      <c r="E260" s="33" t="s">
        <v>2346</v>
      </c>
      <c r="F260" s="34">
        <v>0.13</v>
      </c>
      <c r="G260" s="33" t="s">
        <v>2347</v>
      </c>
      <c r="H260" s="33" t="s">
        <v>2348</v>
      </c>
      <c r="I260" s="33" t="s">
        <v>2349</v>
      </c>
      <c r="J260" s="35">
        <v>12436.0</v>
      </c>
      <c r="K260" s="33" t="s">
        <v>2350</v>
      </c>
      <c r="L260" s="33" t="s">
        <v>2351</v>
      </c>
      <c r="M260" s="33">
        <v>1.0</v>
      </c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39" t="s">
        <v>2341</v>
      </c>
      <c r="B261" s="39" t="s">
        <v>237</v>
      </c>
      <c r="C261" s="29" t="s">
        <v>238</v>
      </c>
      <c r="D261" s="39" t="s">
        <v>239</v>
      </c>
      <c r="E261" s="37" t="s">
        <v>2352</v>
      </c>
      <c r="F261" s="36">
        <v>0.18</v>
      </c>
      <c r="G261" s="37" t="s">
        <v>2353</v>
      </c>
      <c r="H261" s="37" t="s">
        <v>1942</v>
      </c>
      <c r="I261" s="37" t="s">
        <v>2354</v>
      </c>
      <c r="J261" s="38">
        <v>9044.0</v>
      </c>
      <c r="K261" s="37" t="s">
        <v>2355</v>
      </c>
      <c r="L261" s="37" t="s">
        <v>2356</v>
      </c>
      <c r="M261" s="37">
        <v>1.0</v>
      </c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32" t="s">
        <v>2341</v>
      </c>
      <c r="B262" s="32" t="s">
        <v>330</v>
      </c>
      <c r="C262" s="30" t="s">
        <v>331</v>
      </c>
      <c r="D262" s="32" t="s">
        <v>2357</v>
      </c>
      <c r="E262" s="33" t="s">
        <v>2358</v>
      </c>
      <c r="F262" s="34">
        <v>0.18</v>
      </c>
      <c r="G262" s="33" t="s">
        <v>2359</v>
      </c>
      <c r="H262" s="33" t="s">
        <v>1942</v>
      </c>
      <c r="I262" s="33" t="s">
        <v>2360</v>
      </c>
      <c r="J262" s="35">
        <v>10175.0</v>
      </c>
      <c r="K262" s="33" t="s">
        <v>2361</v>
      </c>
      <c r="L262" s="33" t="s">
        <v>2362</v>
      </c>
      <c r="M262" s="33">
        <v>1.0</v>
      </c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39" t="s">
        <v>2341</v>
      </c>
      <c r="B263" s="39" t="s">
        <v>337</v>
      </c>
      <c r="C263" s="29">
        <v>7.804651160235E12</v>
      </c>
      <c r="D263" s="39" t="s">
        <v>338</v>
      </c>
      <c r="E263" s="37" t="s">
        <v>2363</v>
      </c>
      <c r="F263" s="36">
        <v>0.18</v>
      </c>
      <c r="G263" s="37" t="s">
        <v>2364</v>
      </c>
      <c r="H263" s="37" t="s">
        <v>1942</v>
      </c>
      <c r="I263" s="37" t="s">
        <v>2365</v>
      </c>
      <c r="J263" s="38">
        <v>2939.0</v>
      </c>
      <c r="K263" s="37" t="s">
        <v>2366</v>
      </c>
      <c r="L263" s="37" t="s">
        <v>2367</v>
      </c>
      <c r="M263" s="37">
        <v>1.0</v>
      </c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32" t="s">
        <v>2341</v>
      </c>
      <c r="B264" s="32" t="s">
        <v>266</v>
      </c>
      <c r="C264" s="30" t="s">
        <v>267</v>
      </c>
      <c r="D264" s="32" t="s">
        <v>2368</v>
      </c>
      <c r="E264" s="33" t="s">
        <v>2346</v>
      </c>
      <c r="F264" s="34">
        <v>0.13</v>
      </c>
      <c r="G264" s="33" t="s">
        <v>2347</v>
      </c>
      <c r="H264" s="33" t="s">
        <v>2348</v>
      </c>
      <c r="I264" s="33" t="s">
        <v>2349</v>
      </c>
      <c r="J264" s="35">
        <v>12436.0</v>
      </c>
      <c r="K264" s="33" t="s">
        <v>2350</v>
      </c>
      <c r="L264" s="33" t="s">
        <v>2351</v>
      </c>
      <c r="M264" s="33">
        <v>1.0</v>
      </c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39" t="s">
        <v>2341</v>
      </c>
      <c r="B265" s="39" t="s">
        <v>270</v>
      </c>
      <c r="C265" s="29" t="s">
        <v>271</v>
      </c>
      <c r="D265" s="39" t="s">
        <v>2369</v>
      </c>
      <c r="E265" s="37" t="s">
        <v>2352</v>
      </c>
      <c r="F265" s="36">
        <v>0.18</v>
      </c>
      <c r="G265" s="37" t="s">
        <v>2353</v>
      </c>
      <c r="H265" s="37" t="s">
        <v>1942</v>
      </c>
      <c r="I265" s="37" t="s">
        <v>2354</v>
      </c>
      <c r="J265" s="38">
        <v>9044.0</v>
      </c>
      <c r="K265" s="37" t="s">
        <v>2355</v>
      </c>
      <c r="L265" s="37" t="s">
        <v>2356</v>
      </c>
      <c r="M265" s="37">
        <v>1.0</v>
      </c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32" t="s">
        <v>2341</v>
      </c>
      <c r="B266" s="32" t="s">
        <v>252</v>
      </c>
      <c r="C266" s="30" t="s">
        <v>253</v>
      </c>
      <c r="D266" s="32" t="s">
        <v>2370</v>
      </c>
      <c r="E266" s="33" t="s">
        <v>2342</v>
      </c>
      <c r="F266" s="34">
        <v>0.18</v>
      </c>
      <c r="G266" s="33" t="s">
        <v>2188</v>
      </c>
      <c r="H266" s="33" t="s">
        <v>1942</v>
      </c>
      <c r="I266" s="33" t="s">
        <v>2343</v>
      </c>
      <c r="J266" s="35">
        <v>3392.0</v>
      </c>
      <c r="K266" s="33" t="s">
        <v>2344</v>
      </c>
      <c r="L266" s="33" t="s">
        <v>2345</v>
      </c>
      <c r="M266" s="33">
        <v>1.0</v>
      </c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39" t="s">
        <v>2341</v>
      </c>
      <c r="B267" s="39" t="s">
        <v>248</v>
      </c>
      <c r="C267" s="29" t="s">
        <v>249</v>
      </c>
      <c r="D267" s="39" t="s">
        <v>2371</v>
      </c>
      <c r="E267" s="37" t="s">
        <v>2342</v>
      </c>
      <c r="F267" s="36">
        <v>0.18</v>
      </c>
      <c r="G267" s="37" t="s">
        <v>2188</v>
      </c>
      <c r="H267" s="37" t="s">
        <v>1942</v>
      </c>
      <c r="I267" s="37" t="s">
        <v>2343</v>
      </c>
      <c r="J267" s="38">
        <v>3392.0</v>
      </c>
      <c r="K267" s="37" t="s">
        <v>2344</v>
      </c>
      <c r="L267" s="37" t="s">
        <v>2345</v>
      </c>
      <c r="M267" s="37">
        <v>1.0</v>
      </c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32" t="s">
        <v>2341</v>
      </c>
      <c r="B268" s="32" t="s">
        <v>334</v>
      </c>
      <c r="C268" s="30">
        <v>7.896108056567E12</v>
      </c>
      <c r="D268" s="32" t="s">
        <v>335</v>
      </c>
      <c r="E268" s="33" t="s">
        <v>2372</v>
      </c>
      <c r="F268" s="34">
        <v>0.18</v>
      </c>
      <c r="G268" s="33" t="s">
        <v>2316</v>
      </c>
      <c r="H268" s="33" t="s">
        <v>1942</v>
      </c>
      <c r="I268" s="33" t="s">
        <v>2373</v>
      </c>
      <c r="J268" s="35">
        <v>4296.0</v>
      </c>
      <c r="K268" s="33" t="s">
        <v>2374</v>
      </c>
      <c r="L268" s="33" t="s">
        <v>2375</v>
      </c>
      <c r="M268" s="33">
        <v>1.0</v>
      </c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39" t="s">
        <v>2341</v>
      </c>
      <c r="B269" s="39" t="s">
        <v>263</v>
      </c>
      <c r="C269" s="29">
        <v>7.804651160358E12</v>
      </c>
      <c r="D269" s="39" t="s">
        <v>264</v>
      </c>
      <c r="E269" s="37" t="s">
        <v>2376</v>
      </c>
      <c r="F269" s="36">
        <v>0.18</v>
      </c>
      <c r="G269" s="37" t="s">
        <v>2377</v>
      </c>
      <c r="H269" s="37" t="s">
        <v>1942</v>
      </c>
      <c r="I269" s="37" t="s">
        <v>2378</v>
      </c>
      <c r="J269" s="38">
        <v>6218.0</v>
      </c>
      <c r="K269" s="37" t="s">
        <v>2379</v>
      </c>
      <c r="L269" s="37" t="s">
        <v>2380</v>
      </c>
      <c r="M269" s="37">
        <v>1.0</v>
      </c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32" t="s">
        <v>2341</v>
      </c>
      <c r="B270" s="32" t="s">
        <v>241</v>
      </c>
      <c r="C270" s="30" t="s">
        <v>242</v>
      </c>
      <c r="D270" s="32" t="s">
        <v>243</v>
      </c>
      <c r="E270" s="33" t="s">
        <v>2381</v>
      </c>
      <c r="F270" s="34">
        <v>0.13</v>
      </c>
      <c r="G270" s="33" t="s">
        <v>2359</v>
      </c>
      <c r="H270" s="33" t="s">
        <v>2348</v>
      </c>
      <c r="I270" s="33" t="s">
        <v>2382</v>
      </c>
      <c r="J270" s="35">
        <v>13566.0</v>
      </c>
      <c r="K270" s="33" t="s">
        <v>2383</v>
      </c>
      <c r="L270" s="33" t="s">
        <v>2384</v>
      </c>
      <c r="M270" s="33">
        <v>1.0</v>
      </c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39" t="s">
        <v>2341</v>
      </c>
      <c r="B271" s="39" t="s">
        <v>227</v>
      </c>
      <c r="C271" s="29" t="s">
        <v>2385</v>
      </c>
      <c r="D271" s="39" t="s">
        <v>2386</v>
      </c>
      <c r="E271" s="37" t="s">
        <v>2376</v>
      </c>
      <c r="F271" s="36">
        <v>0.18</v>
      </c>
      <c r="G271" s="37" t="s">
        <v>2377</v>
      </c>
      <c r="H271" s="37" t="s">
        <v>1942</v>
      </c>
      <c r="I271" s="37" t="s">
        <v>2378</v>
      </c>
      <c r="J271" s="38">
        <v>6218.0</v>
      </c>
      <c r="K271" s="37" t="s">
        <v>2379</v>
      </c>
      <c r="L271" s="37" t="s">
        <v>2380</v>
      </c>
      <c r="M271" s="37">
        <v>1.0</v>
      </c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32" t="s">
        <v>2341</v>
      </c>
      <c r="B272" s="32" t="s">
        <v>274</v>
      </c>
      <c r="C272" s="30" t="s">
        <v>275</v>
      </c>
      <c r="D272" s="32" t="s">
        <v>2357</v>
      </c>
      <c r="E272" s="33" t="s">
        <v>2387</v>
      </c>
      <c r="F272" s="34">
        <v>0.13</v>
      </c>
      <c r="G272" s="33" t="s">
        <v>2388</v>
      </c>
      <c r="H272" s="33" t="s">
        <v>1942</v>
      </c>
      <c r="I272" s="33" t="s">
        <v>2389</v>
      </c>
      <c r="J272" s="35">
        <v>3392.0</v>
      </c>
      <c r="K272" s="33" t="s">
        <v>2390</v>
      </c>
      <c r="L272" s="33" t="s">
        <v>2391</v>
      </c>
      <c r="M272" s="33">
        <v>1.0</v>
      </c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39" t="s">
        <v>2341</v>
      </c>
      <c r="B273" s="39" t="s">
        <v>260</v>
      </c>
      <c r="C273" s="29" t="s">
        <v>261</v>
      </c>
      <c r="D273" s="39" t="s">
        <v>2392</v>
      </c>
      <c r="E273" s="37" t="s">
        <v>2381</v>
      </c>
      <c r="F273" s="36">
        <v>0.13</v>
      </c>
      <c r="G273" s="37" t="s">
        <v>2359</v>
      </c>
      <c r="H273" s="37" t="s">
        <v>2348</v>
      </c>
      <c r="I273" s="37" t="s">
        <v>2382</v>
      </c>
      <c r="J273" s="38">
        <v>13566.0</v>
      </c>
      <c r="K273" s="37" t="s">
        <v>2383</v>
      </c>
      <c r="L273" s="37" t="s">
        <v>2384</v>
      </c>
      <c r="M273" s="37">
        <v>1.0</v>
      </c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32" t="s">
        <v>2341</v>
      </c>
      <c r="B274" s="32" t="s">
        <v>245</v>
      </c>
      <c r="C274" s="30">
        <v>7.80465116031E12</v>
      </c>
      <c r="D274" s="32" t="s">
        <v>2357</v>
      </c>
      <c r="E274" s="33" t="s">
        <v>2387</v>
      </c>
      <c r="F274" s="34">
        <v>0.13</v>
      </c>
      <c r="G274" s="33" t="s">
        <v>2388</v>
      </c>
      <c r="H274" s="33" t="s">
        <v>1942</v>
      </c>
      <c r="I274" s="33" t="s">
        <v>2389</v>
      </c>
      <c r="J274" s="35">
        <v>10175.0</v>
      </c>
      <c r="K274" s="33" t="s">
        <v>2393</v>
      </c>
      <c r="L274" s="33" t="s">
        <v>2394</v>
      </c>
      <c r="M274" s="33">
        <v>1.0</v>
      </c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39" t="s">
        <v>2341</v>
      </c>
      <c r="B275" s="39" t="s">
        <v>2395</v>
      </c>
      <c r="C275" s="21">
        <v>7.804651160389E12</v>
      </c>
      <c r="D275" s="39" t="s">
        <v>2396</v>
      </c>
      <c r="E275" s="37" t="s">
        <v>2397</v>
      </c>
      <c r="F275" s="36">
        <v>0.13</v>
      </c>
      <c r="G275" s="37" t="s">
        <v>2398</v>
      </c>
      <c r="H275" s="37" t="s">
        <v>1942</v>
      </c>
      <c r="I275" s="37" t="s">
        <v>2399</v>
      </c>
      <c r="J275" s="38">
        <v>3279.0</v>
      </c>
      <c r="K275" s="37" t="s">
        <v>2400</v>
      </c>
      <c r="L275" s="37" t="s">
        <v>2401</v>
      </c>
      <c r="M275" s="37">
        <v>1.0</v>
      </c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32" t="s">
        <v>2341</v>
      </c>
      <c r="B276" s="32" t="s">
        <v>528</v>
      </c>
      <c r="C276" s="21">
        <v>7.804651160389E12</v>
      </c>
      <c r="D276" s="32" t="s">
        <v>2402</v>
      </c>
      <c r="E276" s="33" t="s">
        <v>2397</v>
      </c>
      <c r="F276" s="34">
        <v>0.13</v>
      </c>
      <c r="G276" s="33" t="s">
        <v>2398</v>
      </c>
      <c r="H276" s="33" t="s">
        <v>1942</v>
      </c>
      <c r="I276" s="33" t="s">
        <v>2399</v>
      </c>
      <c r="J276" s="35">
        <v>3279.0</v>
      </c>
      <c r="K276" s="33" t="s">
        <v>2400</v>
      </c>
      <c r="L276" s="33" t="s">
        <v>2401</v>
      </c>
      <c r="M276" s="33">
        <v>1.0</v>
      </c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39" t="s">
        <v>2403</v>
      </c>
      <c r="B277" s="39" t="s">
        <v>494</v>
      </c>
      <c r="C277" s="21" t="s">
        <v>495</v>
      </c>
      <c r="D277" s="39" t="s">
        <v>496</v>
      </c>
      <c r="E277" s="37" t="s">
        <v>1949</v>
      </c>
      <c r="F277" s="36">
        <v>0.18</v>
      </c>
      <c r="G277" s="37" t="s">
        <v>2404</v>
      </c>
      <c r="H277" s="37" t="s">
        <v>1942</v>
      </c>
      <c r="I277" s="37" t="s">
        <v>2405</v>
      </c>
      <c r="J277" s="28">
        <v>8949.0</v>
      </c>
      <c r="K277" s="37" t="s">
        <v>2406</v>
      </c>
      <c r="L277" s="37" t="s">
        <v>2407</v>
      </c>
      <c r="M277" s="37">
        <v>1.0</v>
      </c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32" t="s">
        <v>2403</v>
      </c>
      <c r="B278" s="32" t="s">
        <v>498</v>
      </c>
      <c r="C278" s="21" t="s">
        <v>499</v>
      </c>
      <c r="D278" s="32" t="s">
        <v>500</v>
      </c>
      <c r="E278" s="33" t="s">
        <v>2408</v>
      </c>
      <c r="F278" s="34">
        <v>0.18</v>
      </c>
      <c r="G278" s="33" t="s">
        <v>2409</v>
      </c>
      <c r="H278" s="33" t="s">
        <v>1942</v>
      </c>
      <c r="I278" s="33" t="s">
        <v>2410</v>
      </c>
      <c r="J278" s="24">
        <v>8949.0</v>
      </c>
      <c r="K278" s="33" t="s">
        <v>2411</v>
      </c>
      <c r="L278" s="33" t="s">
        <v>2412</v>
      </c>
      <c r="M278" s="33">
        <v>1.0</v>
      </c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39" t="s">
        <v>2403</v>
      </c>
      <c r="B279" s="39" t="s">
        <v>2413</v>
      </c>
      <c r="C279" s="21" t="s">
        <v>499</v>
      </c>
      <c r="D279" s="39" t="s">
        <v>2414</v>
      </c>
      <c r="E279" s="37" t="s">
        <v>2415</v>
      </c>
      <c r="F279" s="36">
        <v>0.18</v>
      </c>
      <c r="G279" s="37" t="s">
        <v>2416</v>
      </c>
      <c r="H279" s="37" t="s">
        <v>1942</v>
      </c>
      <c r="I279" s="37" t="s">
        <v>2417</v>
      </c>
      <c r="J279" s="38">
        <v>8949.0</v>
      </c>
      <c r="K279" s="37" t="s">
        <v>2418</v>
      </c>
      <c r="L279" s="37" t="s">
        <v>2419</v>
      </c>
      <c r="M279" s="37">
        <v>1.0</v>
      </c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32" t="s">
        <v>2403</v>
      </c>
      <c r="B280" s="32" t="s">
        <v>2420</v>
      </c>
      <c r="C280" s="21" t="s">
        <v>495</v>
      </c>
      <c r="D280" s="32" t="s">
        <v>2421</v>
      </c>
      <c r="E280" s="33" t="s">
        <v>2415</v>
      </c>
      <c r="F280" s="34">
        <v>0.18</v>
      </c>
      <c r="G280" s="33" t="s">
        <v>2416</v>
      </c>
      <c r="H280" s="33" t="s">
        <v>1942</v>
      </c>
      <c r="I280" s="33" t="s">
        <v>2417</v>
      </c>
      <c r="J280" s="35">
        <v>8949.0</v>
      </c>
      <c r="K280" s="33" t="s">
        <v>2418</v>
      </c>
      <c r="L280" s="33" t="s">
        <v>2419</v>
      </c>
      <c r="M280" s="33">
        <v>1.0</v>
      </c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39" t="s">
        <v>2403</v>
      </c>
      <c r="B281" s="39" t="s">
        <v>824</v>
      </c>
      <c r="C281" s="29" t="s">
        <v>825</v>
      </c>
      <c r="D281" s="39" t="s">
        <v>2422</v>
      </c>
      <c r="E281" s="39"/>
      <c r="F281" s="39"/>
      <c r="G281" s="37" t="s">
        <v>1942</v>
      </c>
      <c r="H281" s="39"/>
      <c r="I281" s="37" t="s">
        <v>1942</v>
      </c>
      <c r="J281" s="38">
        <v>8876.0</v>
      </c>
      <c r="K281" s="37" t="s">
        <v>2423</v>
      </c>
      <c r="L281" s="37" t="s">
        <v>1947</v>
      </c>
      <c r="M281" s="37">
        <v>1.0</v>
      </c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32" t="s">
        <v>2403</v>
      </c>
      <c r="B282" s="32" t="s">
        <v>2424</v>
      </c>
      <c r="C282" s="21" t="s">
        <v>841</v>
      </c>
      <c r="D282" s="32" t="s">
        <v>2425</v>
      </c>
      <c r="E282" s="32"/>
      <c r="F282" s="32"/>
      <c r="G282" s="33" t="s">
        <v>1942</v>
      </c>
      <c r="H282" s="32"/>
      <c r="I282" s="33" t="s">
        <v>1942</v>
      </c>
      <c r="J282" s="35">
        <v>8876.0</v>
      </c>
      <c r="K282" s="33" t="s">
        <v>2423</v>
      </c>
      <c r="L282" s="33" t="s">
        <v>1947</v>
      </c>
      <c r="M282" s="33">
        <v>1.0</v>
      </c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39" t="s">
        <v>2403</v>
      </c>
      <c r="B283" s="39" t="s">
        <v>840</v>
      </c>
      <c r="C283" s="21" t="s">
        <v>841</v>
      </c>
      <c r="D283" s="39" t="s">
        <v>2426</v>
      </c>
      <c r="E283" s="39"/>
      <c r="F283" s="39"/>
      <c r="G283" s="37" t="s">
        <v>1942</v>
      </c>
      <c r="H283" s="39"/>
      <c r="I283" s="37" t="s">
        <v>1942</v>
      </c>
      <c r="J283" s="38">
        <v>8876.0</v>
      </c>
      <c r="K283" s="37" t="s">
        <v>2423</v>
      </c>
      <c r="L283" s="37" t="s">
        <v>1947</v>
      </c>
      <c r="M283" s="37">
        <v>1.0</v>
      </c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32" t="s">
        <v>2403</v>
      </c>
      <c r="B284" s="32" t="s">
        <v>832</v>
      </c>
      <c r="C284" s="21" t="s">
        <v>833</v>
      </c>
      <c r="D284" s="32" t="s">
        <v>2427</v>
      </c>
      <c r="E284" s="32"/>
      <c r="F284" s="32"/>
      <c r="G284" s="33" t="s">
        <v>1942</v>
      </c>
      <c r="H284" s="32"/>
      <c r="I284" s="33" t="s">
        <v>1942</v>
      </c>
      <c r="J284" s="35">
        <v>8876.0</v>
      </c>
      <c r="K284" s="33" t="s">
        <v>2423</v>
      </c>
      <c r="L284" s="33" t="s">
        <v>1947</v>
      </c>
      <c r="M284" s="33">
        <v>1.0</v>
      </c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39" t="s">
        <v>2403</v>
      </c>
      <c r="B285" s="39" t="s">
        <v>2428</v>
      </c>
      <c r="C285" s="21" t="s">
        <v>829</v>
      </c>
      <c r="D285" s="39" t="s">
        <v>2429</v>
      </c>
      <c r="E285" s="39"/>
      <c r="F285" s="39"/>
      <c r="G285" s="37" t="s">
        <v>1942</v>
      </c>
      <c r="H285" s="39"/>
      <c r="I285" s="37" t="s">
        <v>1942</v>
      </c>
      <c r="J285" s="38">
        <v>8876.0</v>
      </c>
      <c r="K285" s="37" t="s">
        <v>2423</v>
      </c>
      <c r="L285" s="37" t="s">
        <v>1947</v>
      </c>
      <c r="M285" s="37">
        <v>1.0</v>
      </c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32" t="s">
        <v>2403</v>
      </c>
      <c r="B286" s="32" t="s">
        <v>828</v>
      </c>
      <c r="C286" s="21" t="s">
        <v>829</v>
      </c>
      <c r="D286" s="32" t="s">
        <v>830</v>
      </c>
      <c r="E286" s="32"/>
      <c r="F286" s="32"/>
      <c r="G286" s="33" t="s">
        <v>1942</v>
      </c>
      <c r="H286" s="32"/>
      <c r="I286" s="33" t="s">
        <v>1942</v>
      </c>
      <c r="J286" s="35">
        <v>8876.0</v>
      </c>
      <c r="K286" s="33" t="s">
        <v>2423</v>
      </c>
      <c r="L286" s="33" t="s">
        <v>1947</v>
      </c>
      <c r="M286" s="33">
        <v>1.0</v>
      </c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39" t="s">
        <v>2403</v>
      </c>
      <c r="B287" s="39" t="s">
        <v>836</v>
      </c>
      <c r="C287" s="21" t="s">
        <v>837</v>
      </c>
      <c r="D287" s="39" t="s">
        <v>2430</v>
      </c>
      <c r="E287" s="39"/>
      <c r="F287" s="39"/>
      <c r="G287" s="37" t="s">
        <v>1942</v>
      </c>
      <c r="H287" s="39"/>
      <c r="I287" s="37" t="s">
        <v>1942</v>
      </c>
      <c r="J287" s="38">
        <v>8876.0</v>
      </c>
      <c r="K287" s="37" t="s">
        <v>2423</v>
      </c>
      <c r="L287" s="37" t="s">
        <v>1947</v>
      </c>
      <c r="M287" s="37">
        <v>1.0</v>
      </c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32" t="s">
        <v>2403</v>
      </c>
      <c r="B288" s="32" t="s">
        <v>2431</v>
      </c>
      <c r="C288" s="21" t="s">
        <v>837</v>
      </c>
      <c r="D288" s="32" t="s">
        <v>2432</v>
      </c>
      <c r="E288" s="32"/>
      <c r="F288" s="32"/>
      <c r="G288" s="33" t="s">
        <v>1942</v>
      </c>
      <c r="H288" s="32"/>
      <c r="I288" s="33" t="s">
        <v>1942</v>
      </c>
      <c r="J288" s="35">
        <v>8876.0</v>
      </c>
      <c r="K288" s="33" t="s">
        <v>2423</v>
      </c>
      <c r="L288" s="33" t="s">
        <v>1947</v>
      </c>
      <c r="M288" s="33">
        <v>1.0</v>
      </c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39" t="s">
        <v>2403</v>
      </c>
      <c r="B289" s="39" t="s">
        <v>2433</v>
      </c>
      <c r="C289" s="21" t="s">
        <v>833</v>
      </c>
      <c r="D289" s="39" t="s">
        <v>834</v>
      </c>
      <c r="E289" s="39"/>
      <c r="F289" s="39"/>
      <c r="G289" s="37" t="s">
        <v>1942</v>
      </c>
      <c r="H289" s="39"/>
      <c r="I289" s="37" t="s">
        <v>1942</v>
      </c>
      <c r="J289" s="38">
        <v>8949.0</v>
      </c>
      <c r="K289" s="37" t="s">
        <v>2434</v>
      </c>
      <c r="L289" s="37" t="s">
        <v>1947</v>
      </c>
      <c r="M289" s="37">
        <v>1.0</v>
      </c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32" t="s">
        <v>2435</v>
      </c>
      <c r="B290" s="32" t="s">
        <v>652</v>
      </c>
      <c r="C290" s="21">
        <v>7.804671180107E12</v>
      </c>
      <c r="D290" s="32" t="s">
        <v>2436</v>
      </c>
      <c r="E290" s="33" t="s">
        <v>2437</v>
      </c>
      <c r="F290" s="34">
        <v>0.18</v>
      </c>
      <c r="G290" s="33" t="s">
        <v>2438</v>
      </c>
      <c r="H290" s="33" t="s">
        <v>1942</v>
      </c>
      <c r="I290" s="33" t="s">
        <v>2439</v>
      </c>
      <c r="J290" s="35">
        <v>1660.0</v>
      </c>
      <c r="K290" s="33" t="s">
        <v>2440</v>
      </c>
      <c r="L290" s="33" t="s">
        <v>2441</v>
      </c>
      <c r="M290" s="33">
        <v>1.0</v>
      </c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39" t="s">
        <v>2435</v>
      </c>
      <c r="B291" s="39" t="s">
        <v>2442</v>
      </c>
      <c r="C291" s="21">
        <v>7.804671180107E12</v>
      </c>
      <c r="D291" s="39" t="s">
        <v>2436</v>
      </c>
      <c r="E291" s="37" t="s">
        <v>2437</v>
      </c>
      <c r="F291" s="36">
        <v>0.18</v>
      </c>
      <c r="G291" s="37" t="s">
        <v>2438</v>
      </c>
      <c r="H291" s="37" t="s">
        <v>1942</v>
      </c>
      <c r="I291" s="37" t="s">
        <v>2439</v>
      </c>
      <c r="J291" s="38">
        <v>1660.0</v>
      </c>
      <c r="K291" s="37" t="s">
        <v>2440</v>
      </c>
      <c r="L291" s="37" t="s">
        <v>2441</v>
      </c>
      <c r="M291" s="37">
        <v>1.0</v>
      </c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32" t="s">
        <v>2435</v>
      </c>
      <c r="B292" s="32" t="s">
        <v>639</v>
      </c>
      <c r="C292" s="21">
        <v>7.804671180121E12</v>
      </c>
      <c r="D292" s="32" t="s">
        <v>2443</v>
      </c>
      <c r="E292" s="33" t="s">
        <v>2444</v>
      </c>
      <c r="F292" s="34">
        <v>0.18</v>
      </c>
      <c r="G292" s="33" t="s">
        <v>2445</v>
      </c>
      <c r="H292" s="33" t="s">
        <v>1942</v>
      </c>
      <c r="I292" s="33" t="s">
        <v>2446</v>
      </c>
      <c r="J292" s="35">
        <v>2435.0</v>
      </c>
      <c r="K292" s="33" t="s">
        <v>2438</v>
      </c>
      <c r="L292" s="33" t="s">
        <v>2447</v>
      </c>
      <c r="M292" s="33">
        <v>1.0</v>
      </c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39" t="s">
        <v>2435</v>
      </c>
      <c r="B293" s="39" t="s">
        <v>2448</v>
      </c>
      <c r="C293" s="21">
        <v>7.804671180121E12</v>
      </c>
      <c r="D293" s="39" t="s">
        <v>2443</v>
      </c>
      <c r="E293" s="37" t="s">
        <v>2444</v>
      </c>
      <c r="F293" s="36">
        <v>0.18</v>
      </c>
      <c r="G293" s="37" t="s">
        <v>2445</v>
      </c>
      <c r="H293" s="37" t="s">
        <v>1942</v>
      </c>
      <c r="I293" s="37" t="s">
        <v>2446</v>
      </c>
      <c r="J293" s="38">
        <v>2435.0</v>
      </c>
      <c r="K293" s="37" t="s">
        <v>2438</v>
      </c>
      <c r="L293" s="37" t="s">
        <v>2447</v>
      </c>
      <c r="M293" s="37">
        <v>1.0</v>
      </c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32" t="s">
        <v>2435</v>
      </c>
      <c r="B294" s="32" t="s">
        <v>2449</v>
      </c>
      <c r="C294" s="21">
        <v>7.804671180145E12</v>
      </c>
      <c r="D294" s="32" t="s">
        <v>646</v>
      </c>
      <c r="E294" s="33" t="s">
        <v>2450</v>
      </c>
      <c r="F294" s="34">
        <v>0.18</v>
      </c>
      <c r="G294" s="33" t="s">
        <v>2451</v>
      </c>
      <c r="H294" s="33" t="s">
        <v>1942</v>
      </c>
      <c r="I294" s="33" t="s">
        <v>2452</v>
      </c>
      <c r="J294" s="35">
        <v>6105.0</v>
      </c>
      <c r="K294" s="33" t="s">
        <v>2453</v>
      </c>
      <c r="L294" s="33" t="s">
        <v>2454</v>
      </c>
      <c r="M294" s="33">
        <v>1.0</v>
      </c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39" t="s">
        <v>2435</v>
      </c>
      <c r="B295" s="39" t="s">
        <v>645</v>
      </c>
      <c r="C295" s="21">
        <v>7.804671180145E12</v>
      </c>
      <c r="D295" s="39" t="s">
        <v>646</v>
      </c>
      <c r="E295" s="37" t="s">
        <v>2450</v>
      </c>
      <c r="F295" s="36">
        <v>0.18</v>
      </c>
      <c r="G295" s="37" t="s">
        <v>2451</v>
      </c>
      <c r="H295" s="37" t="s">
        <v>1942</v>
      </c>
      <c r="I295" s="37" t="s">
        <v>2452</v>
      </c>
      <c r="J295" s="38">
        <v>6105.0</v>
      </c>
      <c r="K295" s="37" t="s">
        <v>2453</v>
      </c>
      <c r="L295" s="37" t="s">
        <v>2454</v>
      </c>
      <c r="M295" s="37">
        <v>1.0</v>
      </c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32" t="s">
        <v>2435</v>
      </c>
      <c r="B296" s="32" t="s">
        <v>2455</v>
      </c>
      <c r="C296" s="21">
        <v>7.804671180718E12</v>
      </c>
      <c r="D296" s="32" t="s">
        <v>643</v>
      </c>
      <c r="E296" s="33" t="s">
        <v>2456</v>
      </c>
      <c r="F296" s="34">
        <v>0.18</v>
      </c>
      <c r="G296" s="33" t="s">
        <v>2457</v>
      </c>
      <c r="H296" s="33" t="s">
        <v>1942</v>
      </c>
      <c r="I296" s="33" t="s">
        <v>2458</v>
      </c>
      <c r="J296" s="35">
        <v>4748.0</v>
      </c>
      <c r="K296" s="33" t="s">
        <v>2459</v>
      </c>
      <c r="L296" s="33" t="s">
        <v>2460</v>
      </c>
      <c r="M296" s="33">
        <v>1.0</v>
      </c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39" t="s">
        <v>2435</v>
      </c>
      <c r="B297" s="39" t="s">
        <v>642</v>
      </c>
      <c r="C297" s="21">
        <v>7.804671180718E12</v>
      </c>
      <c r="D297" s="39" t="s">
        <v>643</v>
      </c>
      <c r="E297" s="37" t="s">
        <v>2456</v>
      </c>
      <c r="F297" s="36">
        <v>0.18</v>
      </c>
      <c r="G297" s="37" t="s">
        <v>2457</v>
      </c>
      <c r="H297" s="37" t="s">
        <v>1942</v>
      </c>
      <c r="I297" s="37" t="s">
        <v>2458</v>
      </c>
      <c r="J297" s="38">
        <v>4748.0</v>
      </c>
      <c r="K297" s="37" t="s">
        <v>2459</v>
      </c>
      <c r="L297" s="37" t="s">
        <v>2460</v>
      </c>
      <c r="M297" s="37">
        <v>1.0</v>
      </c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32" t="s">
        <v>2435</v>
      </c>
      <c r="B298" s="32" t="s">
        <v>2461</v>
      </c>
      <c r="C298" s="21">
        <v>7.804665350134E12</v>
      </c>
      <c r="D298" s="32" t="s">
        <v>664</v>
      </c>
      <c r="E298" s="33" t="s">
        <v>2462</v>
      </c>
      <c r="F298" s="34">
        <v>0.18</v>
      </c>
      <c r="G298" s="33" t="s">
        <v>2463</v>
      </c>
      <c r="H298" s="33" t="s">
        <v>1942</v>
      </c>
      <c r="I298" s="33" t="s">
        <v>2464</v>
      </c>
      <c r="J298" s="35">
        <v>3862.0</v>
      </c>
      <c r="K298" s="33" t="s">
        <v>2465</v>
      </c>
      <c r="L298" s="33" t="s">
        <v>2466</v>
      </c>
      <c r="M298" s="33">
        <v>1.0</v>
      </c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39" t="s">
        <v>2435</v>
      </c>
      <c r="B299" s="39" t="s">
        <v>663</v>
      </c>
      <c r="C299" s="21">
        <v>7.804665350134E12</v>
      </c>
      <c r="D299" s="39" t="s">
        <v>664</v>
      </c>
      <c r="E299" s="37" t="s">
        <v>2462</v>
      </c>
      <c r="F299" s="36">
        <v>0.18</v>
      </c>
      <c r="G299" s="37" t="s">
        <v>2463</v>
      </c>
      <c r="H299" s="37" t="s">
        <v>1942</v>
      </c>
      <c r="I299" s="37" t="s">
        <v>2464</v>
      </c>
      <c r="J299" s="38">
        <v>3862.0</v>
      </c>
      <c r="K299" s="37" t="s">
        <v>2465</v>
      </c>
      <c r="L299" s="37" t="s">
        <v>2466</v>
      </c>
      <c r="M299" s="37">
        <v>1.0</v>
      </c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32" t="s">
        <v>2467</v>
      </c>
      <c r="B300" s="32" t="s">
        <v>2468</v>
      </c>
      <c r="C300" s="21">
        <v>6.942007616331E12</v>
      </c>
      <c r="D300" s="32" t="s">
        <v>2469</v>
      </c>
      <c r="E300" s="33" t="s">
        <v>2470</v>
      </c>
      <c r="F300" s="34">
        <v>0.13</v>
      </c>
      <c r="G300" s="33" t="s">
        <v>2471</v>
      </c>
      <c r="H300" s="33" t="s">
        <v>1942</v>
      </c>
      <c r="I300" s="33" t="s">
        <v>2472</v>
      </c>
      <c r="J300" s="35">
        <v>8558.0</v>
      </c>
      <c r="K300" s="33" t="s">
        <v>2473</v>
      </c>
      <c r="L300" s="33" t="s">
        <v>2474</v>
      </c>
      <c r="M300" s="33">
        <v>1.0</v>
      </c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39" t="s">
        <v>2467</v>
      </c>
      <c r="B301" s="39" t="s">
        <v>2475</v>
      </c>
      <c r="C301" s="21">
        <v>6.931474782472E12</v>
      </c>
      <c r="D301" s="39" t="s">
        <v>2476</v>
      </c>
      <c r="E301" s="37" t="s">
        <v>2477</v>
      </c>
      <c r="F301" s="36">
        <v>0.15</v>
      </c>
      <c r="G301" s="37" t="s">
        <v>2478</v>
      </c>
      <c r="H301" s="37" t="s">
        <v>1942</v>
      </c>
      <c r="I301" s="37" t="s">
        <v>2479</v>
      </c>
      <c r="J301" s="38">
        <v>9000.0</v>
      </c>
      <c r="K301" s="37" t="s">
        <v>2480</v>
      </c>
      <c r="L301" s="37" t="s">
        <v>2481</v>
      </c>
      <c r="M301" s="37">
        <v>1.0</v>
      </c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32" t="s">
        <v>2467</v>
      </c>
      <c r="B302" s="32" t="s">
        <v>552</v>
      </c>
      <c r="C302" s="30">
        <v>6.927900092048E12</v>
      </c>
      <c r="D302" s="32" t="s">
        <v>553</v>
      </c>
      <c r="E302" s="33" t="s">
        <v>2482</v>
      </c>
      <c r="F302" s="34">
        <v>0.1</v>
      </c>
      <c r="G302" s="33" t="s">
        <v>2483</v>
      </c>
      <c r="H302" s="33" t="s">
        <v>2348</v>
      </c>
      <c r="I302" s="33" t="s">
        <v>2484</v>
      </c>
      <c r="J302" s="35">
        <v>36999.0</v>
      </c>
      <c r="K302" s="33" t="s">
        <v>2485</v>
      </c>
      <c r="L302" s="33" t="s">
        <v>2486</v>
      </c>
      <c r="M302" s="33">
        <v>1.0</v>
      </c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39" t="s">
        <v>2467</v>
      </c>
      <c r="B303" s="39" t="s">
        <v>2487</v>
      </c>
      <c r="C303" s="21">
        <v>6.942007616355E12</v>
      </c>
      <c r="D303" s="39" t="s">
        <v>2488</v>
      </c>
      <c r="E303" s="37" t="s">
        <v>2489</v>
      </c>
      <c r="F303" s="36">
        <v>0.13</v>
      </c>
      <c r="G303" s="37" t="s">
        <v>2490</v>
      </c>
      <c r="H303" s="37" t="s">
        <v>1942</v>
      </c>
      <c r="I303" s="37" t="s">
        <v>2491</v>
      </c>
      <c r="J303" s="38">
        <v>10350.0</v>
      </c>
      <c r="K303" s="37" t="s">
        <v>2492</v>
      </c>
      <c r="L303" s="37" t="s">
        <v>2493</v>
      </c>
      <c r="M303" s="37">
        <v>1.0</v>
      </c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32" t="s">
        <v>2467</v>
      </c>
      <c r="B304" s="32" t="s">
        <v>2494</v>
      </c>
      <c r="C304" s="21">
        <v>6.931474782496E12</v>
      </c>
      <c r="D304" s="32" t="s">
        <v>2495</v>
      </c>
      <c r="E304" s="33" t="s">
        <v>2496</v>
      </c>
      <c r="F304" s="34">
        <v>0.15</v>
      </c>
      <c r="G304" s="33" t="s">
        <v>2497</v>
      </c>
      <c r="H304" s="33" t="s">
        <v>2498</v>
      </c>
      <c r="I304" s="33" t="s">
        <v>2499</v>
      </c>
      <c r="J304" s="35">
        <v>13500.0</v>
      </c>
      <c r="K304" s="33" t="s">
        <v>2500</v>
      </c>
      <c r="L304" s="33" t="s">
        <v>2501</v>
      </c>
      <c r="M304" s="33">
        <v>1.0</v>
      </c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39" t="s">
        <v>2467</v>
      </c>
      <c r="B305" s="39" t="s">
        <v>549</v>
      </c>
      <c r="C305" s="21">
        <v>6.942007616355E12</v>
      </c>
      <c r="D305" s="39" t="s">
        <v>2502</v>
      </c>
      <c r="E305" s="37" t="s">
        <v>2503</v>
      </c>
      <c r="F305" s="36">
        <v>0.13</v>
      </c>
      <c r="G305" s="37" t="s">
        <v>2504</v>
      </c>
      <c r="H305" s="37" t="s">
        <v>1942</v>
      </c>
      <c r="I305" s="37" t="s">
        <v>2505</v>
      </c>
      <c r="J305" s="38">
        <v>10350.0</v>
      </c>
      <c r="K305" s="37" t="s">
        <v>2506</v>
      </c>
      <c r="L305" s="37" t="s">
        <v>2507</v>
      </c>
      <c r="M305" s="37">
        <v>1.0</v>
      </c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32" t="s">
        <v>2467</v>
      </c>
      <c r="B306" s="32" t="s">
        <v>2508</v>
      </c>
      <c r="C306" s="21">
        <v>6.942007616348E12</v>
      </c>
      <c r="D306" s="32" t="s">
        <v>2509</v>
      </c>
      <c r="E306" s="33" t="s">
        <v>2503</v>
      </c>
      <c r="F306" s="34">
        <v>0.13</v>
      </c>
      <c r="G306" s="33" t="s">
        <v>2504</v>
      </c>
      <c r="H306" s="33" t="s">
        <v>1942</v>
      </c>
      <c r="I306" s="33" t="s">
        <v>2505</v>
      </c>
      <c r="J306" s="35">
        <v>8558.0</v>
      </c>
      <c r="K306" s="33" t="s">
        <v>2510</v>
      </c>
      <c r="L306" s="33" t="s">
        <v>2511</v>
      </c>
      <c r="M306" s="33">
        <v>1.0</v>
      </c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39" t="s">
        <v>2467</v>
      </c>
      <c r="B307" s="39" t="s">
        <v>870</v>
      </c>
      <c r="C307" s="21">
        <v>6.931474782496E12</v>
      </c>
      <c r="D307" s="39" t="s">
        <v>871</v>
      </c>
      <c r="E307" s="37" t="s">
        <v>2496</v>
      </c>
      <c r="F307" s="36">
        <v>0.15</v>
      </c>
      <c r="G307" s="37" t="s">
        <v>2497</v>
      </c>
      <c r="H307" s="37" t="s">
        <v>2348</v>
      </c>
      <c r="I307" s="37" t="s">
        <v>2512</v>
      </c>
      <c r="J307" s="38">
        <v>13500.0</v>
      </c>
      <c r="K307" s="37" t="s">
        <v>2513</v>
      </c>
      <c r="L307" s="37" t="s">
        <v>2514</v>
      </c>
      <c r="M307" s="37">
        <v>1.0</v>
      </c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32" t="s">
        <v>2467</v>
      </c>
      <c r="B308" s="32" t="s">
        <v>542</v>
      </c>
      <c r="C308" s="41">
        <v>6.931474782472E12</v>
      </c>
      <c r="D308" s="32" t="s">
        <v>2476</v>
      </c>
      <c r="E308" s="33" t="s">
        <v>2477</v>
      </c>
      <c r="F308" s="34">
        <v>0.15</v>
      </c>
      <c r="G308" s="33" t="s">
        <v>2478</v>
      </c>
      <c r="H308" s="33" t="s">
        <v>1942</v>
      </c>
      <c r="I308" s="33" t="s">
        <v>2479</v>
      </c>
      <c r="J308" s="35">
        <v>9000.0</v>
      </c>
      <c r="K308" s="33" t="s">
        <v>2480</v>
      </c>
      <c r="L308" s="33" t="s">
        <v>2481</v>
      </c>
      <c r="M308" s="33">
        <v>1.0</v>
      </c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39" t="s">
        <v>2467</v>
      </c>
      <c r="B309" s="39" t="s">
        <v>1846</v>
      </c>
      <c r="C309" s="41">
        <v>6.942007616348E12</v>
      </c>
      <c r="D309" s="39" t="s">
        <v>1847</v>
      </c>
      <c r="E309" s="37" t="s">
        <v>2515</v>
      </c>
      <c r="F309" s="36">
        <v>0.13</v>
      </c>
      <c r="G309" s="37" t="s">
        <v>2516</v>
      </c>
      <c r="H309" s="37" t="s">
        <v>1942</v>
      </c>
      <c r="I309" s="37" t="s">
        <v>2517</v>
      </c>
      <c r="J309" s="38">
        <v>8558.0</v>
      </c>
      <c r="K309" s="37" t="s">
        <v>2518</v>
      </c>
      <c r="L309" s="37" t="s">
        <v>2519</v>
      </c>
      <c r="M309" s="37">
        <v>1.0</v>
      </c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32" t="s">
        <v>2467</v>
      </c>
      <c r="B310" s="32" t="s">
        <v>1843</v>
      </c>
      <c r="C310" s="41">
        <v>6.942007616331E12</v>
      </c>
      <c r="D310" s="32" t="s">
        <v>1844</v>
      </c>
      <c r="E310" s="33" t="s">
        <v>2470</v>
      </c>
      <c r="F310" s="34">
        <v>0.13</v>
      </c>
      <c r="G310" s="33" t="s">
        <v>2471</v>
      </c>
      <c r="H310" s="33" t="s">
        <v>1942</v>
      </c>
      <c r="I310" s="33" t="s">
        <v>2472</v>
      </c>
      <c r="J310" s="35">
        <v>8558.0</v>
      </c>
      <c r="K310" s="33" t="s">
        <v>2473</v>
      </c>
      <c r="L310" s="33" t="s">
        <v>2474</v>
      </c>
      <c r="M310" s="33">
        <v>1.0</v>
      </c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39" t="s">
        <v>2467</v>
      </c>
      <c r="B311" s="39" t="s">
        <v>2520</v>
      </c>
      <c r="C311" s="41">
        <v>6.934177789328E12</v>
      </c>
      <c r="D311" s="39" t="s">
        <v>2521</v>
      </c>
      <c r="E311" s="37" t="s">
        <v>2522</v>
      </c>
      <c r="F311" s="36">
        <v>0.13</v>
      </c>
      <c r="G311" s="37" t="s">
        <v>2523</v>
      </c>
      <c r="H311" s="37" t="s">
        <v>1935</v>
      </c>
      <c r="I311" s="37" t="s">
        <v>2524</v>
      </c>
      <c r="J311" s="25"/>
      <c r="K311" s="37" t="s">
        <v>2524</v>
      </c>
      <c r="L311" s="37" t="s">
        <v>2525</v>
      </c>
      <c r="M311" s="37">
        <v>1.0</v>
      </c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32" t="s">
        <v>2467</v>
      </c>
      <c r="B312" s="32" t="s">
        <v>627</v>
      </c>
      <c r="C312" s="41">
        <v>6.934177789328E12</v>
      </c>
      <c r="D312" s="32" t="s">
        <v>2521</v>
      </c>
      <c r="E312" s="33" t="s">
        <v>2522</v>
      </c>
      <c r="F312" s="34">
        <v>0.13</v>
      </c>
      <c r="G312" s="33" t="s">
        <v>2523</v>
      </c>
      <c r="H312" s="33" t="s">
        <v>1935</v>
      </c>
      <c r="I312" s="33" t="s">
        <v>2524</v>
      </c>
      <c r="J312" s="32"/>
      <c r="K312" s="33" t="s">
        <v>2524</v>
      </c>
      <c r="L312" s="33" t="s">
        <v>2525</v>
      </c>
      <c r="M312" s="33">
        <v>1.0</v>
      </c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39" t="s">
        <v>2467</v>
      </c>
      <c r="B313" s="39" t="s">
        <v>621</v>
      </c>
      <c r="C313" s="41">
        <v>6.931474789211E12</v>
      </c>
      <c r="D313" s="39" t="s">
        <v>2526</v>
      </c>
      <c r="E313" s="37" t="s">
        <v>2527</v>
      </c>
      <c r="F313" s="36">
        <v>0.13</v>
      </c>
      <c r="G313" s="37" t="s">
        <v>2528</v>
      </c>
      <c r="H313" s="37" t="s">
        <v>1942</v>
      </c>
      <c r="I313" s="37" t="s">
        <v>2529</v>
      </c>
      <c r="J313" s="38">
        <v>8100.0</v>
      </c>
      <c r="K313" s="37" t="s">
        <v>2530</v>
      </c>
      <c r="L313" s="37" t="s">
        <v>2531</v>
      </c>
      <c r="M313" s="37">
        <v>1.0</v>
      </c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32" t="s">
        <v>2467</v>
      </c>
      <c r="B314" s="32" t="s">
        <v>2532</v>
      </c>
      <c r="C314" s="41">
        <v>6.931474789211E12</v>
      </c>
      <c r="D314" s="32" t="s">
        <v>2533</v>
      </c>
      <c r="E314" s="33" t="s">
        <v>2527</v>
      </c>
      <c r="F314" s="34">
        <v>0.13</v>
      </c>
      <c r="G314" s="33" t="s">
        <v>2528</v>
      </c>
      <c r="H314" s="33" t="s">
        <v>1942</v>
      </c>
      <c r="I314" s="33" t="s">
        <v>2529</v>
      </c>
      <c r="J314" s="35">
        <v>8100.0</v>
      </c>
      <c r="K314" s="33" t="s">
        <v>2530</v>
      </c>
      <c r="L314" s="33" t="s">
        <v>2531</v>
      </c>
      <c r="M314" s="33">
        <v>1.0</v>
      </c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39" t="s">
        <v>2467</v>
      </c>
      <c r="B315" s="39" t="s">
        <v>682</v>
      </c>
      <c r="C315" s="41">
        <v>6.931474782519E12</v>
      </c>
      <c r="D315" s="39" t="s">
        <v>2534</v>
      </c>
      <c r="E315" s="37" t="s">
        <v>2535</v>
      </c>
      <c r="F315" s="36">
        <v>0.15</v>
      </c>
      <c r="G315" s="37" t="s">
        <v>2536</v>
      </c>
      <c r="H315" s="37" t="s">
        <v>2437</v>
      </c>
      <c r="I315" s="37" t="s">
        <v>2537</v>
      </c>
      <c r="J315" s="38">
        <v>19800.0</v>
      </c>
      <c r="K315" s="37" t="s">
        <v>2538</v>
      </c>
      <c r="L315" s="37" t="s">
        <v>2539</v>
      </c>
      <c r="M315" s="37">
        <v>1.0</v>
      </c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32" t="s">
        <v>2467</v>
      </c>
      <c r="B316" s="32" t="s">
        <v>2540</v>
      </c>
      <c r="C316" s="41">
        <v>6.931474782519E12</v>
      </c>
      <c r="D316" s="32" t="s">
        <v>2534</v>
      </c>
      <c r="E316" s="33" t="s">
        <v>2535</v>
      </c>
      <c r="F316" s="34">
        <v>0.15</v>
      </c>
      <c r="G316" s="33" t="s">
        <v>2536</v>
      </c>
      <c r="H316" s="33" t="s">
        <v>2437</v>
      </c>
      <c r="I316" s="33" t="s">
        <v>2537</v>
      </c>
      <c r="J316" s="35">
        <v>19800.0</v>
      </c>
      <c r="K316" s="33" t="s">
        <v>2538</v>
      </c>
      <c r="L316" s="33" t="s">
        <v>2539</v>
      </c>
      <c r="M316" s="33">
        <v>1.0</v>
      </c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39" t="s">
        <v>2467</v>
      </c>
      <c r="B317" s="39" t="s">
        <v>2541</v>
      </c>
      <c r="C317" s="41">
        <v>6.942007606646E12</v>
      </c>
      <c r="D317" s="39" t="s">
        <v>680</v>
      </c>
      <c r="E317" s="37" t="s">
        <v>1949</v>
      </c>
      <c r="F317" s="36">
        <v>0.13</v>
      </c>
      <c r="G317" s="37" t="s">
        <v>2256</v>
      </c>
      <c r="H317" s="37" t="s">
        <v>1942</v>
      </c>
      <c r="I317" s="37" t="s">
        <v>2257</v>
      </c>
      <c r="J317" s="38">
        <v>5400.0</v>
      </c>
      <c r="K317" s="37" t="s">
        <v>2542</v>
      </c>
      <c r="L317" s="37" t="s">
        <v>2543</v>
      </c>
      <c r="M317" s="37">
        <v>1.0</v>
      </c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32" t="s">
        <v>2467</v>
      </c>
      <c r="B318" s="32" t="s">
        <v>679</v>
      </c>
      <c r="C318" s="41">
        <v>6.942007606646E12</v>
      </c>
      <c r="D318" s="32" t="s">
        <v>680</v>
      </c>
      <c r="E318" s="33" t="s">
        <v>1949</v>
      </c>
      <c r="F318" s="34">
        <v>0.13</v>
      </c>
      <c r="G318" s="33" t="s">
        <v>2256</v>
      </c>
      <c r="H318" s="33" t="s">
        <v>1942</v>
      </c>
      <c r="I318" s="33" t="s">
        <v>2257</v>
      </c>
      <c r="J318" s="35">
        <v>5400.0</v>
      </c>
      <c r="K318" s="33" t="s">
        <v>2542</v>
      </c>
      <c r="L318" s="33" t="s">
        <v>2543</v>
      </c>
      <c r="M318" s="33">
        <v>1.0</v>
      </c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39" t="s">
        <v>2467</v>
      </c>
      <c r="B319" s="39" t="s">
        <v>2544</v>
      </c>
      <c r="C319" s="41">
        <v>6.942007625593E12</v>
      </c>
      <c r="D319" s="39" t="s">
        <v>2545</v>
      </c>
      <c r="E319" s="37" t="s">
        <v>2546</v>
      </c>
      <c r="F319" s="36">
        <v>0.13</v>
      </c>
      <c r="G319" s="37" t="s">
        <v>2547</v>
      </c>
      <c r="H319" s="37" t="s">
        <v>1942</v>
      </c>
      <c r="I319" s="37" t="s">
        <v>2548</v>
      </c>
      <c r="J319" s="38">
        <v>11700.0</v>
      </c>
      <c r="K319" s="37" t="s">
        <v>2549</v>
      </c>
      <c r="L319" s="37" t="s">
        <v>2550</v>
      </c>
      <c r="M319" s="37">
        <v>1.0</v>
      </c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32" t="s">
        <v>2467</v>
      </c>
      <c r="B320" s="32" t="s">
        <v>821</v>
      </c>
      <c r="C320" s="41">
        <v>6.942007625593E12</v>
      </c>
      <c r="D320" s="32" t="s">
        <v>2545</v>
      </c>
      <c r="E320" s="33" t="s">
        <v>2546</v>
      </c>
      <c r="F320" s="34">
        <v>0.13</v>
      </c>
      <c r="G320" s="33" t="s">
        <v>2547</v>
      </c>
      <c r="H320" s="33" t="s">
        <v>1942</v>
      </c>
      <c r="I320" s="33" t="s">
        <v>2548</v>
      </c>
      <c r="J320" s="35">
        <v>11700.0</v>
      </c>
      <c r="K320" s="33" t="s">
        <v>2549</v>
      </c>
      <c r="L320" s="33" t="s">
        <v>2550</v>
      </c>
      <c r="M320" s="33">
        <v>1.0</v>
      </c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39" t="s">
        <v>2467</v>
      </c>
      <c r="B321" s="39" t="s">
        <v>2551</v>
      </c>
      <c r="C321" s="41">
        <v>6.94200761221E12</v>
      </c>
      <c r="D321" s="39" t="s">
        <v>2552</v>
      </c>
      <c r="E321" s="39"/>
      <c r="F321" s="39"/>
      <c r="G321" s="37" t="s">
        <v>1942</v>
      </c>
      <c r="H321" s="39"/>
      <c r="I321" s="37" t="s">
        <v>1942</v>
      </c>
      <c r="J321" s="38">
        <v>11700.0</v>
      </c>
      <c r="K321" s="37" t="s">
        <v>2553</v>
      </c>
      <c r="L321" s="37" t="s">
        <v>1947</v>
      </c>
      <c r="M321" s="37">
        <v>1.0</v>
      </c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32" t="s">
        <v>2467</v>
      </c>
      <c r="B322" s="32" t="s">
        <v>1840</v>
      </c>
      <c r="C322" s="41">
        <v>6.94200761221E12</v>
      </c>
      <c r="D322" s="32" t="s">
        <v>2552</v>
      </c>
      <c r="E322" s="32"/>
      <c r="F322" s="32"/>
      <c r="G322" s="33" t="s">
        <v>1942</v>
      </c>
      <c r="H322" s="32"/>
      <c r="I322" s="33" t="s">
        <v>1942</v>
      </c>
      <c r="J322" s="35">
        <v>11700.0</v>
      </c>
      <c r="K322" s="33" t="s">
        <v>2553</v>
      </c>
      <c r="L322" s="33" t="s">
        <v>1947</v>
      </c>
      <c r="M322" s="33">
        <v>1.0</v>
      </c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39" t="s">
        <v>2467</v>
      </c>
      <c r="B323" s="39" t="s">
        <v>2554</v>
      </c>
      <c r="C323" s="41">
        <v>6.942007612203E12</v>
      </c>
      <c r="D323" s="39" t="s">
        <v>2555</v>
      </c>
      <c r="E323" s="39"/>
      <c r="F323" s="39"/>
      <c r="G323" s="37" t="s">
        <v>1942</v>
      </c>
      <c r="H323" s="39"/>
      <c r="I323" s="37" t="s">
        <v>1942</v>
      </c>
      <c r="J323" s="38">
        <v>11700.0</v>
      </c>
      <c r="K323" s="37" t="s">
        <v>2553</v>
      </c>
      <c r="L323" s="37" t="s">
        <v>1947</v>
      </c>
      <c r="M323" s="37">
        <v>1.0</v>
      </c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32" t="s">
        <v>2467</v>
      </c>
      <c r="B324" s="32" t="s">
        <v>1445</v>
      </c>
      <c r="C324" s="41">
        <v>6.942007612203E12</v>
      </c>
      <c r="D324" s="32" t="s">
        <v>2555</v>
      </c>
      <c r="E324" s="32"/>
      <c r="F324" s="32"/>
      <c r="G324" s="33" t="s">
        <v>1942</v>
      </c>
      <c r="H324" s="32"/>
      <c r="I324" s="33" t="s">
        <v>1942</v>
      </c>
      <c r="J324" s="35">
        <v>11700.0</v>
      </c>
      <c r="K324" s="33" t="s">
        <v>2553</v>
      </c>
      <c r="L324" s="33" t="s">
        <v>1947</v>
      </c>
      <c r="M324" s="33">
        <v>1.0</v>
      </c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39" t="s">
        <v>2467</v>
      </c>
      <c r="B325" s="39" t="s">
        <v>2556</v>
      </c>
      <c r="C325" s="41">
        <v>6.931474751485E12</v>
      </c>
      <c r="D325" s="39" t="s">
        <v>2557</v>
      </c>
      <c r="E325" s="39"/>
      <c r="F325" s="39"/>
      <c r="G325" s="37" t="s">
        <v>1942</v>
      </c>
      <c r="H325" s="39"/>
      <c r="I325" s="37" t="s">
        <v>1942</v>
      </c>
      <c r="J325" s="38">
        <v>2700.0</v>
      </c>
      <c r="K325" s="37" t="s">
        <v>2558</v>
      </c>
      <c r="L325" s="37" t="s">
        <v>1947</v>
      </c>
      <c r="M325" s="37">
        <v>1.0</v>
      </c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32" t="s">
        <v>2467</v>
      </c>
      <c r="B326" s="32" t="s">
        <v>810</v>
      </c>
      <c r="C326" s="41">
        <v>6.931474751485E12</v>
      </c>
      <c r="D326" s="42" t="s">
        <v>2557</v>
      </c>
      <c r="E326" s="32"/>
      <c r="F326" s="32"/>
      <c r="G326" s="33" t="s">
        <v>1942</v>
      </c>
      <c r="H326" s="32"/>
      <c r="I326" s="33" t="s">
        <v>1942</v>
      </c>
      <c r="J326" s="35">
        <v>2700.0</v>
      </c>
      <c r="K326" s="33" t="s">
        <v>2558</v>
      </c>
      <c r="L326" s="33" t="s">
        <v>1947</v>
      </c>
      <c r="M326" s="33">
        <v>1.0</v>
      </c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39" t="s">
        <v>2467</v>
      </c>
      <c r="B327" s="39" t="s">
        <v>2559</v>
      </c>
      <c r="C327" s="41">
        <v>6.931474758507E12</v>
      </c>
      <c r="D327" s="43" t="s">
        <v>853</v>
      </c>
      <c r="E327" s="39"/>
      <c r="F327" s="39"/>
      <c r="G327" s="37" t="s">
        <v>1942</v>
      </c>
      <c r="H327" s="39"/>
      <c r="I327" s="37" t="s">
        <v>1942</v>
      </c>
      <c r="J327" s="38">
        <v>2989.0</v>
      </c>
      <c r="K327" s="37" t="s">
        <v>2560</v>
      </c>
      <c r="L327" s="37" t="s">
        <v>1947</v>
      </c>
      <c r="M327" s="37">
        <v>1.0</v>
      </c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32" t="s">
        <v>2467</v>
      </c>
      <c r="B328" s="32" t="s">
        <v>852</v>
      </c>
      <c r="C328" s="41">
        <v>6.931474758507E12</v>
      </c>
      <c r="D328" s="32" t="s">
        <v>853</v>
      </c>
      <c r="E328" s="32"/>
      <c r="F328" s="32"/>
      <c r="G328" s="33" t="s">
        <v>1942</v>
      </c>
      <c r="H328" s="32"/>
      <c r="I328" s="33" t="s">
        <v>1942</v>
      </c>
      <c r="J328" s="35">
        <v>2989.0</v>
      </c>
      <c r="K328" s="33" t="s">
        <v>2560</v>
      </c>
      <c r="L328" s="33" t="s">
        <v>1947</v>
      </c>
      <c r="M328" s="33">
        <v>1.0</v>
      </c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39" t="s">
        <v>2467</v>
      </c>
      <c r="B329" s="39" t="s">
        <v>881</v>
      </c>
      <c r="C329" s="41">
        <v>6.94200760666E12</v>
      </c>
      <c r="D329" s="39" t="s">
        <v>2561</v>
      </c>
      <c r="E329" s="39"/>
      <c r="F329" s="39"/>
      <c r="G329" s="37" t="s">
        <v>1942</v>
      </c>
      <c r="H329" s="39"/>
      <c r="I329" s="37" t="s">
        <v>1942</v>
      </c>
      <c r="J329" s="38">
        <v>5400.0</v>
      </c>
      <c r="K329" s="37" t="s">
        <v>2562</v>
      </c>
      <c r="L329" s="37" t="s">
        <v>1947</v>
      </c>
      <c r="M329" s="37">
        <v>1.0</v>
      </c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32" t="s">
        <v>2467</v>
      </c>
      <c r="B330" s="32" t="s">
        <v>2563</v>
      </c>
      <c r="C330" s="41">
        <v>6.94200760666E12</v>
      </c>
      <c r="D330" s="32" t="s">
        <v>2561</v>
      </c>
      <c r="E330" s="32"/>
      <c r="F330" s="32"/>
      <c r="G330" s="33" t="s">
        <v>1942</v>
      </c>
      <c r="H330" s="32"/>
      <c r="I330" s="33" t="s">
        <v>1942</v>
      </c>
      <c r="J330" s="35">
        <v>5400.0</v>
      </c>
      <c r="K330" s="33" t="s">
        <v>2562</v>
      </c>
      <c r="L330" s="33" t="s">
        <v>1947</v>
      </c>
      <c r="M330" s="33">
        <v>1.0</v>
      </c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39" t="s">
        <v>2564</v>
      </c>
      <c r="B331" s="39" t="s">
        <v>1268</v>
      </c>
      <c r="C331" s="44" t="s">
        <v>1269</v>
      </c>
      <c r="D331" s="39" t="s">
        <v>2565</v>
      </c>
      <c r="E331" s="39"/>
      <c r="F331" s="39"/>
      <c r="G331" s="39"/>
      <c r="H331" s="39"/>
      <c r="I331" s="39"/>
      <c r="J331" s="38">
        <v>6902.0</v>
      </c>
      <c r="K331" s="39"/>
      <c r="L331" s="39"/>
      <c r="M331" s="37">
        <v>1.0</v>
      </c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32" t="s">
        <v>2564</v>
      </c>
      <c r="B332" s="32" t="s">
        <v>1284</v>
      </c>
      <c r="C332" s="45" t="s">
        <v>1285</v>
      </c>
      <c r="D332" s="32" t="s">
        <v>1286</v>
      </c>
      <c r="E332" s="32"/>
      <c r="F332" s="32"/>
      <c r="G332" s="32"/>
      <c r="H332" s="32"/>
      <c r="I332" s="32"/>
      <c r="J332" s="35">
        <v>1666.0</v>
      </c>
      <c r="K332" s="32"/>
      <c r="L332" s="32"/>
      <c r="M332" s="33">
        <v>1.0</v>
      </c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39" t="s">
        <v>2564</v>
      </c>
      <c r="B333" s="39" t="s">
        <v>1272</v>
      </c>
      <c r="C333" s="44" t="s">
        <v>1273</v>
      </c>
      <c r="D333" s="39" t="s">
        <v>2566</v>
      </c>
      <c r="E333" s="39"/>
      <c r="F333" s="39"/>
      <c r="G333" s="39"/>
      <c r="H333" s="39"/>
      <c r="I333" s="39"/>
      <c r="J333" s="38">
        <v>1547.0</v>
      </c>
      <c r="K333" s="39"/>
      <c r="L333" s="39"/>
      <c r="M333" s="37">
        <v>1.0</v>
      </c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32" t="s">
        <v>2564</v>
      </c>
      <c r="B334" s="32" t="s">
        <v>1280</v>
      </c>
      <c r="C334" s="45" t="s">
        <v>1281</v>
      </c>
      <c r="D334" s="32" t="s">
        <v>2567</v>
      </c>
      <c r="E334" s="32"/>
      <c r="F334" s="32"/>
      <c r="G334" s="32"/>
      <c r="H334" s="32"/>
      <c r="I334" s="32"/>
      <c r="J334" s="35">
        <v>8330.0</v>
      </c>
      <c r="K334" s="32"/>
      <c r="L334" s="32"/>
      <c r="M334" s="33">
        <v>1.0</v>
      </c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39" t="s">
        <v>2564</v>
      </c>
      <c r="B335" s="39" t="s">
        <v>2568</v>
      </c>
      <c r="C335" s="44" t="s">
        <v>2569</v>
      </c>
      <c r="D335" s="39" t="s">
        <v>2567</v>
      </c>
      <c r="E335" s="39"/>
      <c r="F335" s="39"/>
      <c r="G335" s="39"/>
      <c r="H335" s="39"/>
      <c r="I335" s="39"/>
      <c r="J335" s="38">
        <v>4760.0</v>
      </c>
      <c r="K335" s="39"/>
      <c r="L335" s="39"/>
      <c r="M335" s="37">
        <v>1.0</v>
      </c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32" t="s">
        <v>2564</v>
      </c>
      <c r="B336" s="32" t="s">
        <v>1276</v>
      </c>
      <c r="C336" s="45" t="s">
        <v>1277</v>
      </c>
      <c r="D336" s="32" t="s">
        <v>2570</v>
      </c>
      <c r="E336" s="32"/>
      <c r="F336" s="32"/>
      <c r="G336" s="32"/>
      <c r="H336" s="32"/>
      <c r="I336" s="32"/>
      <c r="J336" s="35">
        <v>9520.0</v>
      </c>
      <c r="K336" s="32"/>
      <c r="L336" s="32"/>
      <c r="M336" s="33">
        <v>1.0</v>
      </c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39" t="s">
        <v>2564</v>
      </c>
      <c r="B337" s="39" t="s">
        <v>1292</v>
      </c>
      <c r="C337" s="44" t="s">
        <v>1293</v>
      </c>
      <c r="D337" s="39" t="s">
        <v>2570</v>
      </c>
      <c r="E337" s="39"/>
      <c r="F337" s="39"/>
      <c r="G337" s="39"/>
      <c r="H337" s="39"/>
      <c r="I337" s="39"/>
      <c r="J337" s="38">
        <v>9520.0</v>
      </c>
      <c r="K337" s="39"/>
      <c r="L337" s="39"/>
      <c r="M337" s="37">
        <v>1.0</v>
      </c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32" t="s">
        <v>2564</v>
      </c>
      <c r="B338" s="32" t="s">
        <v>1288</v>
      </c>
      <c r="C338" s="45" t="s">
        <v>1289</v>
      </c>
      <c r="D338" s="32" t="s">
        <v>2571</v>
      </c>
      <c r="E338" s="32"/>
      <c r="F338" s="32"/>
      <c r="G338" s="32"/>
      <c r="H338" s="32"/>
      <c r="I338" s="32"/>
      <c r="J338" s="35">
        <v>8687.0</v>
      </c>
      <c r="K338" s="32"/>
      <c r="L338" s="32"/>
      <c r="M338" s="33">
        <v>1.0</v>
      </c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39" t="s">
        <v>2564</v>
      </c>
      <c r="B339" s="39" t="s">
        <v>1441</v>
      </c>
      <c r="C339" s="44" t="s">
        <v>1442</v>
      </c>
      <c r="D339" s="39" t="s">
        <v>2572</v>
      </c>
      <c r="E339" s="39"/>
      <c r="F339" s="39"/>
      <c r="G339" s="39"/>
      <c r="H339" s="39"/>
      <c r="I339" s="39"/>
      <c r="J339" s="38">
        <v>4760.0</v>
      </c>
      <c r="K339" s="39"/>
      <c r="L339" s="39"/>
      <c r="M339" s="37">
        <v>1.0</v>
      </c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32" t="s">
        <v>2564</v>
      </c>
      <c r="B340" s="32" t="s">
        <v>1393</v>
      </c>
      <c r="C340" s="45" t="s">
        <v>1394</v>
      </c>
      <c r="D340" s="32" t="s">
        <v>2573</v>
      </c>
      <c r="E340" s="32"/>
      <c r="F340" s="32"/>
      <c r="G340" s="32"/>
      <c r="H340" s="32"/>
      <c r="I340" s="32"/>
      <c r="J340" s="35">
        <v>7021.0</v>
      </c>
      <c r="K340" s="32"/>
      <c r="L340" s="32"/>
      <c r="M340" s="33">
        <v>1.0</v>
      </c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39" t="s">
        <v>2574</v>
      </c>
      <c r="B341" s="39" t="s">
        <v>538</v>
      </c>
      <c r="C341" s="44" t="s">
        <v>539</v>
      </c>
      <c r="D341" s="39" t="s">
        <v>2575</v>
      </c>
      <c r="E341" s="37" t="s">
        <v>2456</v>
      </c>
      <c r="F341" s="36">
        <v>0.11</v>
      </c>
      <c r="G341" s="37" t="s">
        <v>2576</v>
      </c>
      <c r="H341" s="37" t="s">
        <v>1942</v>
      </c>
      <c r="I341" s="37" t="s">
        <v>2223</v>
      </c>
      <c r="J341" s="38">
        <v>3865.0</v>
      </c>
      <c r="K341" s="37" t="s">
        <v>2164</v>
      </c>
      <c r="L341" s="37" t="s">
        <v>2577</v>
      </c>
      <c r="M341" s="37">
        <v>1.0</v>
      </c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32" t="s">
        <v>2574</v>
      </c>
      <c r="B342" s="32" t="s">
        <v>737</v>
      </c>
      <c r="C342" s="45">
        <v>6.59525149413E11</v>
      </c>
      <c r="D342" s="32" t="s">
        <v>738</v>
      </c>
      <c r="E342" s="32"/>
      <c r="F342" s="32"/>
      <c r="G342" s="33" t="s">
        <v>1942</v>
      </c>
      <c r="H342" s="32"/>
      <c r="I342" s="33" t="s">
        <v>1942</v>
      </c>
      <c r="J342" s="35">
        <v>2303.0</v>
      </c>
      <c r="K342" s="33" t="s">
        <v>2578</v>
      </c>
      <c r="L342" s="33" t="s">
        <v>1947</v>
      </c>
      <c r="M342" s="33">
        <v>1.0</v>
      </c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39" t="s">
        <v>2574</v>
      </c>
      <c r="B343" s="39" t="s">
        <v>2579</v>
      </c>
      <c r="C343" s="44">
        <v>6.59525149437E11</v>
      </c>
      <c r="D343" s="39" t="s">
        <v>2580</v>
      </c>
      <c r="E343" s="39"/>
      <c r="F343" s="39"/>
      <c r="G343" s="37" t="s">
        <v>1942</v>
      </c>
      <c r="H343" s="39"/>
      <c r="I343" s="37" t="s">
        <v>1942</v>
      </c>
      <c r="J343" s="38">
        <v>2303.0</v>
      </c>
      <c r="K343" s="37" t="s">
        <v>2578</v>
      </c>
      <c r="L343" s="37" t="s">
        <v>1947</v>
      </c>
      <c r="M343" s="37">
        <v>1.0</v>
      </c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32" t="s">
        <v>2574</v>
      </c>
      <c r="B344" s="32" t="s">
        <v>734</v>
      </c>
      <c r="C344" s="45">
        <v>7.45853842901E11</v>
      </c>
      <c r="D344" s="32" t="s">
        <v>735</v>
      </c>
      <c r="E344" s="32"/>
      <c r="F344" s="32"/>
      <c r="G344" s="33" t="s">
        <v>1942</v>
      </c>
      <c r="H344" s="32"/>
      <c r="I344" s="33" t="s">
        <v>1942</v>
      </c>
      <c r="J344" s="35">
        <v>2303.0</v>
      </c>
      <c r="K344" s="33" t="s">
        <v>2578</v>
      </c>
      <c r="L344" s="33" t="s">
        <v>1947</v>
      </c>
      <c r="M344" s="33">
        <v>1.0</v>
      </c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39" t="s">
        <v>2574</v>
      </c>
      <c r="B345" s="39" t="s">
        <v>2581</v>
      </c>
      <c r="C345" s="44">
        <v>7.45853842901E11</v>
      </c>
      <c r="D345" s="39" t="s">
        <v>735</v>
      </c>
      <c r="E345" s="39"/>
      <c r="F345" s="39"/>
      <c r="G345" s="37" t="s">
        <v>1942</v>
      </c>
      <c r="H345" s="39"/>
      <c r="I345" s="37" t="s">
        <v>1942</v>
      </c>
      <c r="J345" s="38">
        <v>2303.0</v>
      </c>
      <c r="K345" s="37" t="s">
        <v>2578</v>
      </c>
      <c r="L345" s="37" t="s">
        <v>1947</v>
      </c>
      <c r="M345" s="37">
        <v>1.0</v>
      </c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32" t="s">
        <v>2574</v>
      </c>
      <c r="B346" s="32" t="s">
        <v>740</v>
      </c>
      <c r="C346" s="45">
        <v>6.58325660784E11</v>
      </c>
      <c r="D346" s="32" t="s">
        <v>741</v>
      </c>
      <c r="E346" s="32"/>
      <c r="F346" s="32"/>
      <c r="G346" s="33" t="s">
        <v>1942</v>
      </c>
      <c r="H346" s="32"/>
      <c r="I346" s="33" t="s">
        <v>1942</v>
      </c>
      <c r="J346" s="35">
        <v>2303.0</v>
      </c>
      <c r="K346" s="33" t="s">
        <v>2578</v>
      </c>
      <c r="L346" s="33" t="s">
        <v>1947</v>
      </c>
      <c r="M346" s="33">
        <v>1.0</v>
      </c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39" t="s">
        <v>2574</v>
      </c>
      <c r="B347" s="39" t="s">
        <v>731</v>
      </c>
      <c r="C347" s="44">
        <v>6.59525149437E11</v>
      </c>
      <c r="D347" s="39" t="s">
        <v>2580</v>
      </c>
      <c r="E347" s="39"/>
      <c r="F347" s="39"/>
      <c r="G347" s="37" t="s">
        <v>1942</v>
      </c>
      <c r="H347" s="39"/>
      <c r="I347" s="37" t="s">
        <v>1942</v>
      </c>
      <c r="J347" s="38">
        <v>2303.0</v>
      </c>
      <c r="K347" s="37" t="s">
        <v>2578</v>
      </c>
      <c r="L347" s="37" t="s">
        <v>1947</v>
      </c>
      <c r="M347" s="37">
        <v>1.0</v>
      </c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20" t="s">
        <v>2574</v>
      </c>
      <c r="B348" s="32" t="s">
        <v>1852</v>
      </c>
      <c r="C348" s="45">
        <v>6.58325660784E11</v>
      </c>
      <c r="D348" s="32" t="s">
        <v>2582</v>
      </c>
      <c r="E348" s="32"/>
      <c r="F348" s="32"/>
      <c r="G348" s="32"/>
      <c r="H348" s="32"/>
      <c r="I348" s="32"/>
      <c r="J348" s="35">
        <v>2303.0</v>
      </c>
      <c r="K348" s="32"/>
      <c r="L348" s="32"/>
      <c r="M348" s="33">
        <v>1.0</v>
      </c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25" t="s">
        <v>2583</v>
      </c>
      <c r="B349" s="25" t="s">
        <v>648</v>
      </c>
      <c r="C349" s="44" t="s">
        <v>649</v>
      </c>
      <c r="D349" s="25" t="s">
        <v>2584</v>
      </c>
      <c r="E349" s="26" t="s">
        <v>2585</v>
      </c>
      <c r="F349" s="27">
        <v>0.16</v>
      </c>
      <c r="G349" s="26" t="s">
        <v>2586</v>
      </c>
      <c r="H349" s="26" t="s">
        <v>1942</v>
      </c>
      <c r="I349" s="26" t="s">
        <v>2587</v>
      </c>
      <c r="J349" s="28">
        <v>3773.0</v>
      </c>
      <c r="K349" s="26" t="s">
        <v>2588</v>
      </c>
      <c r="L349" s="26" t="s">
        <v>2589</v>
      </c>
      <c r="M349" s="37">
        <v>1.0</v>
      </c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20" t="s">
        <v>2590</v>
      </c>
      <c r="B350" s="20" t="s">
        <v>2591</v>
      </c>
      <c r="C350" s="45">
        <v>4.3160296024E11</v>
      </c>
      <c r="D350" s="20" t="s">
        <v>625</v>
      </c>
      <c r="E350" s="22" t="s">
        <v>2592</v>
      </c>
      <c r="F350" s="23">
        <v>0.15</v>
      </c>
      <c r="G350" s="22" t="s">
        <v>2593</v>
      </c>
      <c r="H350" s="22" t="s">
        <v>1935</v>
      </c>
      <c r="I350" s="22" t="s">
        <v>2594</v>
      </c>
      <c r="J350" s="24">
        <v>16219.0</v>
      </c>
      <c r="K350" s="22" t="s">
        <v>2595</v>
      </c>
      <c r="L350" s="22" t="s">
        <v>2596</v>
      </c>
      <c r="M350" s="33">
        <v>1.0</v>
      </c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25" t="s">
        <v>2590</v>
      </c>
      <c r="B351" s="25" t="s">
        <v>624</v>
      </c>
      <c r="C351" s="29">
        <v>4.3160296024E11</v>
      </c>
      <c r="D351" s="25" t="s">
        <v>625</v>
      </c>
      <c r="E351" s="26" t="s">
        <v>2592</v>
      </c>
      <c r="F351" s="27">
        <v>0.15</v>
      </c>
      <c r="G351" s="26" t="s">
        <v>2593</v>
      </c>
      <c r="H351" s="26" t="s">
        <v>1935</v>
      </c>
      <c r="I351" s="26" t="s">
        <v>2594</v>
      </c>
      <c r="J351" s="28">
        <v>16219.0</v>
      </c>
      <c r="K351" s="26" t="s">
        <v>2595</v>
      </c>
      <c r="L351" s="26" t="s">
        <v>2596</v>
      </c>
      <c r="M351" s="37">
        <v>1.0</v>
      </c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20" t="s">
        <v>2590</v>
      </c>
      <c r="B352" s="20" t="s">
        <v>630</v>
      </c>
      <c r="C352" s="30">
        <v>4.31602960235E11</v>
      </c>
      <c r="D352" s="20" t="s">
        <v>2597</v>
      </c>
      <c r="E352" s="22" t="s">
        <v>2598</v>
      </c>
      <c r="F352" s="23">
        <v>0.15</v>
      </c>
      <c r="G352" s="22" t="s">
        <v>2599</v>
      </c>
      <c r="H352" s="22" t="s">
        <v>1935</v>
      </c>
      <c r="I352" s="22" t="s">
        <v>2600</v>
      </c>
      <c r="J352" s="24">
        <v>11242.0</v>
      </c>
      <c r="K352" s="22" t="s">
        <v>2601</v>
      </c>
      <c r="L352" s="22" t="s">
        <v>2602</v>
      </c>
      <c r="M352" s="33">
        <v>1.0</v>
      </c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25" t="s">
        <v>2590</v>
      </c>
      <c r="B353" s="25" t="s">
        <v>2603</v>
      </c>
      <c r="C353" s="29">
        <v>4.31602960235E11</v>
      </c>
      <c r="D353" s="25" t="s">
        <v>2597</v>
      </c>
      <c r="E353" s="26" t="s">
        <v>2598</v>
      </c>
      <c r="F353" s="27">
        <v>0.15</v>
      </c>
      <c r="G353" s="26" t="s">
        <v>2599</v>
      </c>
      <c r="H353" s="26" t="s">
        <v>1935</v>
      </c>
      <c r="I353" s="26" t="s">
        <v>2600</v>
      </c>
      <c r="J353" s="28">
        <v>11242.0</v>
      </c>
      <c r="K353" s="26" t="s">
        <v>2601</v>
      </c>
      <c r="L353" s="26" t="s">
        <v>2602</v>
      </c>
      <c r="M353" s="37">
        <v>1.0</v>
      </c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20" t="s">
        <v>2604</v>
      </c>
      <c r="B354" s="20" t="s">
        <v>2605</v>
      </c>
      <c r="C354" s="30">
        <v>788133.0</v>
      </c>
      <c r="D354" s="20" t="s">
        <v>2606</v>
      </c>
      <c r="E354" s="22" t="s">
        <v>2270</v>
      </c>
      <c r="F354" s="23">
        <v>0.16</v>
      </c>
      <c r="G354" s="22" t="s">
        <v>2607</v>
      </c>
      <c r="H354" s="22" t="s">
        <v>1942</v>
      </c>
      <c r="I354" s="22" t="s">
        <v>2608</v>
      </c>
      <c r="J354" s="24">
        <v>4200.0</v>
      </c>
      <c r="K354" s="22" t="s">
        <v>2609</v>
      </c>
      <c r="L354" s="22" t="s">
        <v>2610</v>
      </c>
      <c r="M354" s="33">
        <v>1.0</v>
      </c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25" t="s">
        <v>2604</v>
      </c>
      <c r="B355" s="25" t="s">
        <v>1866</v>
      </c>
      <c r="C355" s="29" t="s">
        <v>25</v>
      </c>
      <c r="D355" s="25" t="s">
        <v>2611</v>
      </c>
      <c r="E355" s="26" t="s">
        <v>2612</v>
      </c>
      <c r="F355" s="27">
        <v>0.14</v>
      </c>
      <c r="G355" s="26" t="s">
        <v>2613</v>
      </c>
      <c r="H355" s="26" t="s">
        <v>1942</v>
      </c>
      <c r="I355" s="26" t="s">
        <v>2614</v>
      </c>
      <c r="J355" s="28">
        <v>1848.0</v>
      </c>
      <c r="K355" s="26" t="s">
        <v>2615</v>
      </c>
      <c r="L355" s="26" t="s">
        <v>2616</v>
      </c>
      <c r="M355" s="37">
        <v>1.0</v>
      </c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20" t="s">
        <v>2604</v>
      </c>
      <c r="B356" s="20" t="s">
        <v>194</v>
      </c>
      <c r="C356" s="30">
        <v>107175.0</v>
      </c>
      <c r="D356" s="20" t="s">
        <v>2617</v>
      </c>
      <c r="E356" s="22" t="s">
        <v>2618</v>
      </c>
      <c r="F356" s="23">
        <v>0.16</v>
      </c>
      <c r="G356" s="22" t="s">
        <v>2619</v>
      </c>
      <c r="H356" s="22" t="s">
        <v>1942</v>
      </c>
      <c r="I356" s="22" t="s">
        <v>2620</v>
      </c>
      <c r="J356" s="24">
        <v>2730.0</v>
      </c>
      <c r="K356" s="22" t="s">
        <v>2621</v>
      </c>
      <c r="L356" s="22" t="s">
        <v>2622</v>
      </c>
      <c r="M356" s="33">
        <v>1.0</v>
      </c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25" t="s">
        <v>2604</v>
      </c>
      <c r="B357" s="25" t="s">
        <v>2623</v>
      </c>
      <c r="C357" s="29">
        <v>104996.0</v>
      </c>
      <c r="D357" s="25" t="s">
        <v>2624</v>
      </c>
      <c r="E357" s="26" t="s">
        <v>2473</v>
      </c>
      <c r="F357" s="27">
        <v>0.17</v>
      </c>
      <c r="G357" s="26" t="s">
        <v>2625</v>
      </c>
      <c r="H357" s="26" t="s">
        <v>1942</v>
      </c>
      <c r="I357" s="26" t="s">
        <v>2626</v>
      </c>
      <c r="J357" s="28">
        <v>1260.0</v>
      </c>
      <c r="K357" s="26" t="s">
        <v>2627</v>
      </c>
      <c r="L357" s="26" t="s">
        <v>2628</v>
      </c>
      <c r="M357" s="37">
        <v>1.0</v>
      </c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20" t="s">
        <v>2604</v>
      </c>
      <c r="B358" s="20" t="s">
        <v>2629</v>
      </c>
      <c r="C358" s="30">
        <v>107427.0</v>
      </c>
      <c r="D358" s="20" t="s">
        <v>2630</v>
      </c>
      <c r="E358" s="22" t="s">
        <v>2631</v>
      </c>
      <c r="F358" s="23">
        <v>0.14</v>
      </c>
      <c r="G358" s="22" t="s">
        <v>2632</v>
      </c>
      <c r="H358" s="22" t="s">
        <v>1942</v>
      </c>
      <c r="I358" s="22" t="s">
        <v>2633</v>
      </c>
      <c r="J358" s="24">
        <v>5880.0</v>
      </c>
      <c r="K358" s="22" t="s">
        <v>2634</v>
      </c>
      <c r="L358" s="22" t="s">
        <v>2635</v>
      </c>
      <c r="M358" s="33">
        <v>1.0</v>
      </c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25" t="s">
        <v>2604</v>
      </c>
      <c r="B359" s="25" t="s">
        <v>69</v>
      </c>
      <c r="C359" s="29">
        <v>107179.0</v>
      </c>
      <c r="D359" s="25" t="s">
        <v>2636</v>
      </c>
      <c r="E359" s="26" t="s">
        <v>2637</v>
      </c>
      <c r="F359" s="27">
        <v>0.16</v>
      </c>
      <c r="G359" s="26" t="s">
        <v>2638</v>
      </c>
      <c r="H359" s="26" t="s">
        <v>1942</v>
      </c>
      <c r="I359" s="26" t="s">
        <v>2639</v>
      </c>
      <c r="J359" s="28">
        <v>6720.0</v>
      </c>
      <c r="K359" s="26" t="s">
        <v>2640</v>
      </c>
      <c r="L359" s="26" t="s">
        <v>2641</v>
      </c>
      <c r="M359" s="37">
        <v>1.0</v>
      </c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20" t="s">
        <v>2604</v>
      </c>
      <c r="B360" s="20" t="s">
        <v>2642</v>
      </c>
      <c r="C360" s="30" t="s">
        <v>117</v>
      </c>
      <c r="D360" s="20" t="s">
        <v>2643</v>
      </c>
      <c r="E360" s="22" t="s">
        <v>2644</v>
      </c>
      <c r="F360" s="23">
        <v>0.16</v>
      </c>
      <c r="G360" s="22" t="s">
        <v>2645</v>
      </c>
      <c r="H360" s="22" t="s">
        <v>1942</v>
      </c>
      <c r="I360" s="22" t="s">
        <v>2646</v>
      </c>
      <c r="J360" s="24">
        <v>5880.0</v>
      </c>
      <c r="K360" s="22" t="s">
        <v>2647</v>
      </c>
      <c r="L360" s="22" t="s">
        <v>2648</v>
      </c>
      <c r="M360" s="33">
        <v>1.0</v>
      </c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25" t="s">
        <v>2604</v>
      </c>
      <c r="B361" s="25" t="s">
        <v>2649</v>
      </c>
      <c r="C361" s="29" t="s">
        <v>167</v>
      </c>
      <c r="D361" s="25" t="s">
        <v>2650</v>
      </c>
      <c r="E361" s="26" t="s">
        <v>2651</v>
      </c>
      <c r="F361" s="27">
        <v>0.16</v>
      </c>
      <c r="G361" s="26" t="s">
        <v>2652</v>
      </c>
      <c r="H361" s="26" t="s">
        <v>1942</v>
      </c>
      <c r="I361" s="26" t="s">
        <v>2653</v>
      </c>
      <c r="J361" s="28">
        <v>5880.0</v>
      </c>
      <c r="K361" s="26" t="s">
        <v>2654</v>
      </c>
      <c r="L361" s="26" t="s">
        <v>2655</v>
      </c>
      <c r="M361" s="37">
        <v>16.0</v>
      </c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20" t="s">
        <v>2604</v>
      </c>
      <c r="B362" s="20" t="s">
        <v>147</v>
      </c>
      <c r="C362" s="30">
        <v>105493.0</v>
      </c>
      <c r="D362" s="20" t="s">
        <v>2611</v>
      </c>
      <c r="E362" s="22" t="s">
        <v>2656</v>
      </c>
      <c r="F362" s="23">
        <v>0.14</v>
      </c>
      <c r="G362" s="22" t="s">
        <v>2657</v>
      </c>
      <c r="H362" s="22" t="s">
        <v>1942</v>
      </c>
      <c r="I362" s="22" t="s">
        <v>2658</v>
      </c>
      <c r="J362" s="22" t="s">
        <v>2659</v>
      </c>
      <c r="K362" s="22" t="s">
        <v>2660</v>
      </c>
      <c r="L362" s="22" t="s">
        <v>2661</v>
      </c>
      <c r="M362" s="33">
        <v>1.0</v>
      </c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25" t="s">
        <v>2604</v>
      </c>
      <c r="B363" s="25" t="s">
        <v>84</v>
      </c>
      <c r="C363" s="29">
        <v>103368.0</v>
      </c>
      <c r="D363" s="25" t="s">
        <v>85</v>
      </c>
      <c r="E363" s="26" t="s">
        <v>2662</v>
      </c>
      <c r="F363" s="27">
        <v>0.11</v>
      </c>
      <c r="G363" s="26" t="s">
        <v>2663</v>
      </c>
      <c r="H363" s="26" t="s">
        <v>1942</v>
      </c>
      <c r="I363" s="26" t="s">
        <v>2664</v>
      </c>
      <c r="J363" s="28">
        <v>6720.0</v>
      </c>
      <c r="K363" s="26" t="s">
        <v>2665</v>
      </c>
      <c r="L363" s="26" t="s">
        <v>2666</v>
      </c>
      <c r="M363" s="37">
        <v>1.0</v>
      </c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20" t="s">
        <v>2604</v>
      </c>
      <c r="B364" s="20" t="s">
        <v>2667</v>
      </c>
      <c r="C364" s="30">
        <v>103368.0</v>
      </c>
      <c r="D364" s="20" t="s">
        <v>2668</v>
      </c>
      <c r="E364" s="22" t="s">
        <v>2669</v>
      </c>
      <c r="F364" s="23">
        <v>0.11</v>
      </c>
      <c r="G364" s="22" t="s">
        <v>2670</v>
      </c>
      <c r="H364" s="22" t="s">
        <v>1942</v>
      </c>
      <c r="I364" s="22" t="s">
        <v>2671</v>
      </c>
      <c r="J364" s="24">
        <v>6720.0</v>
      </c>
      <c r="K364" s="22" t="s">
        <v>2672</v>
      </c>
      <c r="L364" s="22" t="s">
        <v>2673</v>
      </c>
      <c r="M364" s="33">
        <v>1.0</v>
      </c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25" t="s">
        <v>2604</v>
      </c>
      <c r="B365" s="25" t="s">
        <v>166</v>
      </c>
      <c r="C365" s="29" t="s">
        <v>167</v>
      </c>
      <c r="D365" s="25" t="s">
        <v>2674</v>
      </c>
      <c r="E365" s="26" t="s">
        <v>2651</v>
      </c>
      <c r="F365" s="27">
        <v>0.16</v>
      </c>
      <c r="G365" s="26" t="s">
        <v>2652</v>
      </c>
      <c r="H365" s="26" t="s">
        <v>1942</v>
      </c>
      <c r="I365" s="26" t="s">
        <v>2653</v>
      </c>
      <c r="J365" s="28">
        <v>5880.0</v>
      </c>
      <c r="K365" s="26" t="s">
        <v>2654</v>
      </c>
      <c r="L365" s="26" t="s">
        <v>2655</v>
      </c>
      <c r="M365" s="37">
        <v>16.0</v>
      </c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20" t="s">
        <v>2604</v>
      </c>
      <c r="B366" s="20" t="s">
        <v>49</v>
      </c>
      <c r="C366" s="30">
        <v>45100.0</v>
      </c>
      <c r="D366" s="20" t="s">
        <v>2675</v>
      </c>
      <c r="E366" s="22" t="s">
        <v>2496</v>
      </c>
      <c r="F366" s="23">
        <v>0.14</v>
      </c>
      <c r="G366" s="22" t="s">
        <v>2676</v>
      </c>
      <c r="H366" s="22" t="s">
        <v>1935</v>
      </c>
      <c r="I366" s="22" t="s">
        <v>2677</v>
      </c>
      <c r="J366" s="24">
        <v>6852.0</v>
      </c>
      <c r="K366" s="22" t="s">
        <v>2678</v>
      </c>
      <c r="L366" s="22" t="s">
        <v>2679</v>
      </c>
      <c r="M366" s="33">
        <v>1.0</v>
      </c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25" t="s">
        <v>2604</v>
      </c>
      <c r="B367" s="25" t="s">
        <v>2680</v>
      </c>
      <c r="C367" s="29">
        <v>107179.0</v>
      </c>
      <c r="D367" s="25" t="s">
        <v>2681</v>
      </c>
      <c r="E367" s="26" t="s">
        <v>2682</v>
      </c>
      <c r="F367" s="27">
        <v>0.16</v>
      </c>
      <c r="G367" s="26" t="s">
        <v>2683</v>
      </c>
      <c r="H367" s="26" t="s">
        <v>1942</v>
      </c>
      <c r="I367" s="26" t="s">
        <v>2684</v>
      </c>
      <c r="J367" s="28">
        <v>6720.0</v>
      </c>
      <c r="K367" s="26" t="s">
        <v>2685</v>
      </c>
      <c r="L367" s="26" t="s">
        <v>2686</v>
      </c>
      <c r="M367" s="37">
        <v>1.0</v>
      </c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20" t="s">
        <v>2604</v>
      </c>
      <c r="B368" s="20" t="s">
        <v>2687</v>
      </c>
      <c r="C368" s="30">
        <v>45094.0</v>
      </c>
      <c r="D368" s="20" t="s">
        <v>2688</v>
      </c>
      <c r="E368" s="22" t="s">
        <v>2689</v>
      </c>
      <c r="F368" s="23">
        <v>0.14</v>
      </c>
      <c r="G368" s="22" t="s">
        <v>2690</v>
      </c>
      <c r="H368" s="22" t="s">
        <v>1942</v>
      </c>
      <c r="I368" s="22" t="s">
        <v>2691</v>
      </c>
      <c r="J368" s="24">
        <v>7710.0</v>
      </c>
      <c r="K368" s="22" t="s">
        <v>2692</v>
      </c>
      <c r="L368" s="22" t="s">
        <v>2693</v>
      </c>
      <c r="M368" s="33">
        <v>1.0</v>
      </c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25" t="s">
        <v>2604</v>
      </c>
      <c r="B369" s="25" t="s">
        <v>2694</v>
      </c>
      <c r="C369" s="29" t="s">
        <v>124</v>
      </c>
      <c r="D369" s="25" t="s">
        <v>2695</v>
      </c>
      <c r="E369" s="26" t="s">
        <v>2696</v>
      </c>
      <c r="F369" s="27">
        <v>0.16</v>
      </c>
      <c r="G369" s="26" t="s">
        <v>2697</v>
      </c>
      <c r="H369" s="26" t="s">
        <v>2698</v>
      </c>
      <c r="I369" s="26" t="s">
        <v>2699</v>
      </c>
      <c r="J369" s="28">
        <v>12800.0</v>
      </c>
      <c r="K369" s="26" t="s">
        <v>2700</v>
      </c>
      <c r="L369" s="26" t="s">
        <v>2701</v>
      </c>
      <c r="M369" s="37">
        <v>1.0</v>
      </c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20" t="s">
        <v>2604</v>
      </c>
      <c r="B370" s="20" t="s">
        <v>123</v>
      </c>
      <c r="C370" s="30" t="s">
        <v>124</v>
      </c>
      <c r="D370" s="20" t="s">
        <v>2702</v>
      </c>
      <c r="E370" s="22" t="s">
        <v>2703</v>
      </c>
      <c r="F370" s="23">
        <v>0.16</v>
      </c>
      <c r="G370" s="22" t="s">
        <v>2704</v>
      </c>
      <c r="H370" s="22" t="s">
        <v>2698</v>
      </c>
      <c r="I370" s="22" t="s">
        <v>2705</v>
      </c>
      <c r="J370" s="24">
        <v>12600.0</v>
      </c>
      <c r="K370" s="22" t="s">
        <v>2706</v>
      </c>
      <c r="L370" s="22" t="s">
        <v>2707</v>
      </c>
      <c r="M370" s="33">
        <v>1.0</v>
      </c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25" t="s">
        <v>2604</v>
      </c>
      <c r="B371" s="25" t="s">
        <v>127</v>
      </c>
      <c r="C371" s="29">
        <v>105651.0</v>
      </c>
      <c r="D371" s="25" t="s">
        <v>2708</v>
      </c>
      <c r="E371" s="26" t="s">
        <v>2709</v>
      </c>
      <c r="F371" s="27">
        <v>0.16</v>
      </c>
      <c r="G371" s="26" t="s">
        <v>2710</v>
      </c>
      <c r="H371" s="26" t="s">
        <v>1942</v>
      </c>
      <c r="I371" s="26" t="s">
        <v>2711</v>
      </c>
      <c r="J371" s="28">
        <v>2730.0</v>
      </c>
      <c r="K371" s="26" t="s">
        <v>2712</v>
      </c>
      <c r="L371" s="26" t="s">
        <v>2713</v>
      </c>
      <c r="M371" s="37">
        <v>1.0</v>
      </c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20" t="s">
        <v>2604</v>
      </c>
      <c r="B372" s="20" t="s">
        <v>2714</v>
      </c>
      <c r="C372" s="30" t="s">
        <v>2715</v>
      </c>
      <c r="D372" s="20" t="s">
        <v>2716</v>
      </c>
      <c r="E372" s="22" t="s">
        <v>2717</v>
      </c>
      <c r="F372" s="23">
        <v>0.14</v>
      </c>
      <c r="G372" s="22" t="s">
        <v>2718</v>
      </c>
      <c r="H372" s="22" t="s">
        <v>1942</v>
      </c>
      <c r="I372" s="22" t="s">
        <v>2719</v>
      </c>
      <c r="J372" s="24">
        <v>1344.0</v>
      </c>
      <c r="K372" s="22" t="s">
        <v>2720</v>
      </c>
      <c r="L372" s="22" t="s">
        <v>2721</v>
      </c>
      <c r="M372" s="33">
        <v>1.0</v>
      </c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25" t="s">
        <v>2604</v>
      </c>
      <c r="B373" s="25" t="s">
        <v>113</v>
      </c>
      <c r="C373" s="29">
        <v>107427.0</v>
      </c>
      <c r="D373" s="25" t="s">
        <v>2722</v>
      </c>
      <c r="E373" s="26" t="s">
        <v>2631</v>
      </c>
      <c r="F373" s="27">
        <v>0.14</v>
      </c>
      <c r="G373" s="26" t="s">
        <v>2632</v>
      </c>
      <c r="H373" s="26" t="s">
        <v>1942</v>
      </c>
      <c r="I373" s="26" t="s">
        <v>2633</v>
      </c>
      <c r="J373" s="28">
        <v>5880.0</v>
      </c>
      <c r="K373" s="26" t="s">
        <v>2634</v>
      </c>
      <c r="L373" s="26" t="s">
        <v>2635</v>
      </c>
      <c r="M373" s="37">
        <v>1.0</v>
      </c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20" t="s">
        <v>2604</v>
      </c>
      <c r="B374" s="20" t="s">
        <v>1869</v>
      </c>
      <c r="C374" s="30" t="s">
        <v>151</v>
      </c>
      <c r="D374" s="20" t="s">
        <v>1870</v>
      </c>
      <c r="E374" s="22" t="s">
        <v>2723</v>
      </c>
      <c r="F374" s="23">
        <v>0.16</v>
      </c>
      <c r="G374" s="22" t="s">
        <v>2724</v>
      </c>
      <c r="H374" s="22" t="s">
        <v>1942</v>
      </c>
      <c r="I374" s="22" t="s">
        <v>2725</v>
      </c>
      <c r="J374" s="24">
        <v>6300.0</v>
      </c>
      <c r="K374" s="22" t="s">
        <v>2726</v>
      </c>
      <c r="L374" s="22" t="s">
        <v>2727</v>
      </c>
      <c r="M374" s="33">
        <v>1.0</v>
      </c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25" t="s">
        <v>2604</v>
      </c>
      <c r="B375" s="25" t="s">
        <v>357</v>
      </c>
      <c r="C375" s="29" t="s">
        <v>358</v>
      </c>
      <c r="D375" s="25" t="s">
        <v>2728</v>
      </c>
      <c r="E375" s="26" t="s">
        <v>2703</v>
      </c>
      <c r="F375" s="27">
        <v>0.16</v>
      </c>
      <c r="G375" s="26" t="s">
        <v>2704</v>
      </c>
      <c r="H375" s="26" t="s">
        <v>2729</v>
      </c>
      <c r="I375" s="26" t="s">
        <v>2730</v>
      </c>
      <c r="J375" s="28">
        <v>15000.0</v>
      </c>
      <c r="K375" s="26" t="s">
        <v>2731</v>
      </c>
      <c r="L375" s="26" t="s">
        <v>2732</v>
      </c>
      <c r="M375" s="37">
        <v>1.0</v>
      </c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20" t="s">
        <v>2604</v>
      </c>
      <c r="B376" s="20" t="s">
        <v>45</v>
      </c>
      <c r="C376" s="30">
        <v>104922.0</v>
      </c>
      <c r="D376" s="20" t="s">
        <v>2733</v>
      </c>
      <c r="E376" s="22" t="s">
        <v>2198</v>
      </c>
      <c r="F376" s="23">
        <v>0.14</v>
      </c>
      <c r="G376" s="22" t="s">
        <v>2734</v>
      </c>
      <c r="H376" s="22" t="s">
        <v>1942</v>
      </c>
      <c r="I376" s="22" t="s">
        <v>2735</v>
      </c>
      <c r="J376" s="24">
        <v>4032.0</v>
      </c>
      <c r="K376" s="22" t="s">
        <v>2736</v>
      </c>
      <c r="L376" s="22" t="s">
        <v>2737</v>
      </c>
      <c r="M376" s="33">
        <v>1.0</v>
      </c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25" t="s">
        <v>2604</v>
      </c>
      <c r="B377" s="25" t="s">
        <v>2738</v>
      </c>
      <c r="C377" s="29">
        <v>104922.0</v>
      </c>
      <c r="D377" s="25" t="s">
        <v>2739</v>
      </c>
      <c r="E377" s="26" t="s">
        <v>2637</v>
      </c>
      <c r="F377" s="27">
        <v>0.14</v>
      </c>
      <c r="G377" s="26" t="s">
        <v>2041</v>
      </c>
      <c r="H377" s="26" t="s">
        <v>1942</v>
      </c>
      <c r="I377" s="26" t="s">
        <v>2740</v>
      </c>
      <c r="J377" s="28">
        <v>4032.0</v>
      </c>
      <c r="K377" s="26" t="s">
        <v>2741</v>
      </c>
      <c r="L377" s="26" t="s">
        <v>2742</v>
      </c>
      <c r="M377" s="37">
        <v>1.0</v>
      </c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20" t="s">
        <v>2604</v>
      </c>
      <c r="B378" s="20" t="s">
        <v>225</v>
      </c>
      <c r="C378" s="30">
        <v>104996.0</v>
      </c>
      <c r="D378" s="20" t="s">
        <v>2743</v>
      </c>
      <c r="E378" s="22" t="s">
        <v>2744</v>
      </c>
      <c r="F378" s="23">
        <v>0.17</v>
      </c>
      <c r="G378" s="22" t="s">
        <v>2745</v>
      </c>
      <c r="H378" s="22" t="s">
        <v>1942</v>
      </c>
      <c r="I378" s="22" t="s">
        <v>2746</v>
      </c>
      <c r="J378" s="24">
        <v>1260.0</v>
      </c>
      <c r="K378" s="22" t="s">
        <v>2747</v>
      </c>
      <c r="L378" s="22" t="s">
        <v>2748</v>
      </c>
      <c r="M378" s="33">
        <v>1.0</v>
      </c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25" t="s">
        <v>2604</v>
      </c>
      <c r="B379" s="25" t="s">
        <v>2749</v>
      </c>
      <c r="C379" s="29" t="s">
        <v>2750</v>
      </c>
      <c r="D379" s="25" t="s">
        <v>2751</v>
      </c>
      <c r="E379" s="26" t="s">
        <v>2752</v>
      </c>
      <c r="F379" s="27">
        <v>0.14</v>
      </c>
      <c r="G379" s="26" t="s">
        <v>2753</v>
      </c>
      <c r="H379" s="26" t="s">
        <v>1942</v>
      </c>
      <c r="I379" s="26" t="s">
        <v>2754</v>
      </c>
      <c r="J379" s="28">
        <v>1848.0</v>
      </c>
      <c r="K379" s="26" t="s">
        <v>2755</v>
      </c>
      <c r="L379" s="26" t="s">
        <v>2756</v>
      </c>
      <c r="M379" s="37">
        <v>1.0</v>
      </c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20" t="s">
        <v>2604</v>
      </c>
      <c r="B380" s="20" t="s">
        <v>306</v>
      </c>
      <c r="C380" s="30" t="s">
        <v>307</v>
      </c>
      <c r="D380" s="20" t="s">
        <v>2757</v>
      </c>
      <c r="E380" s="22" t="s">
        <v>2758</v>
      </c>
      <c r="F380" s="23">
        <v>0.14</v>
      </c>
      <c r="G380" s="22" t="s">
        <v>2759</v>
      </c>
      <c r="H380" s="22" t="s">
        <v>1942</v>
      </c>
      <c r="I380" s="22" t="s">
        <v>2760</v>
      </c>
      <c r="J380" s="24">
        <v>1848.0</v>
      </c>
      <c r="K380" s="22" t="s">
        <v>2761</v>
      </c>
      <c r="L380" s="22" t="s">
        <v>2762</v>
      </c>
      <c r="M380" s="33">
        <v>1.0</v>
      </c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25" t="s">
        <v>2604</v>
      </c>
      <c r="B381" s="25" t="s">
        <v>302</v>
      </c>
      <c r="C381" s="29" t="s">
        <v>303</v>
      </c>
      <c r="D381" s="25" t="s">
        <v>2763</v>
      </c>
      <c r="E381" s="26" t="s">
        <v>2764</v>
      </c>
      <c r="F381" s="27">
        <v>0.14</v>
      </c>
      <c r="G381" s="26" t="s">
        <v>2765</v>
      </c>
      <c r="H381" s="26" t="s">
        <v>1942</v>
      </c>
      <c r="I381" s="26" t="s">
        <v>2766</v>
      </c>
      <c r="J381" s="28">
        <v>1176.0</v>
      </c>
      <c r="K381" s="26" t="s">
        <v>2767</v>
      </c>
      <c r="L381" s="26" t="s">
        <v>2768</v>
      </c>
      <c r="M381" s="37">
        <v>1.0</v>
      </c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20" t="s">
        <v>2604</v>
      </c>
      <c r="B382" s="20" t="s">
        <v>294</v>
      </c>
      <c r="C382" s="30" t="s">
        <v>295</v>
      </c>
      <c r="D382" s="20" t="s">
        <v>2769</v>
      </c>
      <c r="E382" s="22" t="s">
        <v>2206</v>
      </c>
      <c r="F382" s="23">
        <v>0.14</v>
      </c>
      <c r="G382" s="22" t="s">
        <v>2770</v>
      </c>
      <c r="H382" s="22" t="s">
        <v>1942</v>
      </c>
      <c r="I382" s="22" t="s">
        <v>2771</v>
      </c>
      <c r="J382" s="24">
        <v>1680.0</v>
      </c>
      <c r="K382" s="22" t="s">
        <v>2772</v>
      </c>
      <c r="L382" s="22" t="s">
        <v>2773</v>
      </c>
      <c r="M382" s="33">
        <v>1.0</v>
      </c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25" t="s">
        <v>2604</v>
      </c>
      <c r="B383" s="25" t="s">
        <v>222</v>
      </c>
      <c r="C383" s="29">
        <v>106958.0</v>
      </c>
      <c r="D383" s="25" t="s">
        <v>2774</v>
      </c>
      <c r="E383" s="26" t="s">
        <v>2775</v>
      </c>
      <c r="F383" s="27">
        <v>0.16</v>
      </c>
      <c r="G383" s="26" t="s">
        <v>2776</v>
      </c>
      <c r="H383" s="26" t="s">
        <v>1942</v>
      </c>
      <c r="I383" s="26" t="s">
        <v>2777</v>
      </c>
      <c r="J383" s="28">
        <v>9800.0</v>
      </c>
      <c r="K383" s="26" t="s">
        <v>2778</v>
      </c>
      <c r="L383" s="26" t="s">
        <v>2779</v>
      </c>
      <c r="M383" s="37">
        <v>1.0</v>
      </c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20" t="s">
        <v>2604</v>
      </c>
      <c r="B384" s="20" t="s">
        <v>144</v>
      </c>
      <c r="C384" s="30">
        <v>105741.0</v>
      </c>
      <c r="D384" s="20" t="s">
        <v>2780</v>
      </c>
      <c r="E384" s="22" t="s">
        <v>2781</v>
      </c>
      <c r="F384" s="23">
        <v>0.14</v>
      </c>
      <c r="G384" s="22" t="s">
        <v>2782</v>
      </c>
      <c r="H384" s="22" t="s">
        <v>1942</v>
      </c>
      <c r="I384" s="22" t="s">
        <v>2783</v>
      </c>
      <c r="J384" s="24">
        <v>7560.0</v>
      </c>
      <c r="K384" s="22" t="s">
        <v>2784</v>
      </c>
      <c r="L384" s="22" t="s">
        <v>2785</v>
      </c>
      <c r="M384" s="33">
        <v>1.0</v>
      </c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25" t="s">
        <v>2604</v>
      </c>
      <c r="B385" s="25" t="s">
        <v>130</v>
      </c>
      <c r="C385" s="29">
        <v>105650.0</v>
      </c>
      <c r="D385" s="25" t="s">
        <v>2786</v>
      </c>
      <c r="E385" s="26" t="s">
        <v>2787</v>
      </c>
      <c r="F385" s="27">
        <v>0.16</v>
      </c>
      <c r="G385" s="26" t="s">
        <v>2788</v>
      </c>
      <c r="H385" s="26" t="s">
        <v>1942</v>
      </c>
      <c r="I385" s="26" t="s">
        <v>2789</v>
      </c>
      <c r="J385" s="28">
        <v>2030.0</v>
      </c>
      <c r="K385" s="26" t="s">
        <v>2790</v>
      </c>
      <c r="L385" s="26" t="s">
        <v>2791</v>
      </c>
      <c r="M385" s="37">
        <v>1.0</v>
      </c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20" t="s">
        <v>2604</v>
      </c>
      <c r="B386" s="20" t="s">
        <v>2792</v>
      </c>
      <c r="C386" s="30">
        <v>105022.0</v>
      </c>
      <c r="D386" s="20" t="s">
        <v>2793</v>
      </c>
      <c r="E386" s="22" t="s">
        <v>2794</v>
      </c>
      <c r="F386" s="23">
        <v>0.16</v>
      </c>
      <c r="G386" s="22" t="s">
        <v>2795</v>
      </c>
      <c r="H386" s="22" t="s">
        <v>2041</v>
      </c>
      <c r="I386" s="22" t="s">
        <v>2796</v>
      </c>
      <c r="J386" s="24">
        <v>3360.0</v>
      </c>
      <c r="K386" s="22" t="s">
        <v>2797</v>
      </c>
      <c r="L386" s="22" t="s">
        <v>2798</v>
      </c>
      <c r="M386" s="33">
        <v>1.0</v>
      </c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25" t="s">
        <v>2604</v>
      </c>
      <c r="B387" s="25" t="s">
        <v>174</v>
      </c>
      <c r="C387" s="29" t="s">
        <v>175</v>
      </c>
      <c r="D387" s="25" t="s">
        <v>2799</v>
      </c>
      <c r="E387" s="26" t="s">
        <v>2800</v>
      </c>
      <c r="F387" s="27">
        <v>0.16</v>
      </c>
      <c r="G387" s="26" t="s">
        <v>2801</v>
      </c>
      <c r="H387" s="26" t="s">
        <v>1942</v>
      </c>
      <c r="I387" s="26" t="s">
        <v>2802</v>
      </c>
      <c r="J387" s="28">
        <v>6300.0</v>
      </c>
      <c r="K387" s="26" t="s">
        <v>2803</v>
      </c>
      <c r="L387" s="26" t="s">
        <v>2804</v>
      </c>
      <c r="M387" s="37">
        <v>1.0</v>
      </c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20" t="s">
        <v>2604</v>
      </c>
      <c r="B388" s="20" t="s">
        <v>170</v>
      </c>
      <c r="C388" s="30" t="s">
        <v>171</v>
      </c>
      <c r="D388" s="20" t="s">
        <v>2805</v>
      </c>
      <c r="E388" s="22" t="s">
        <v>2806</v>
      </c>
      <c r="F388" s="23">
        <v>0.16</v>
      </c>
      <c r="G388" s="22" t="s">
        <v>2807</v>
      </c>
      <c r="H388" s="22" t="s">
        <v>2808</v>
      </c>
      <c r="I388" s="22" t="s">
        <v>2809</v>
      </c>
      <c r="J388" s="24">
        <v>16800.0</v>
      </c>
      <c r="K388" s="22" t="s">
        <v>2810</v>
      </c>
      <c r="L388" s="22" t="s">
        <v>2811</v>
      </c>
      <c r="M388" s="33">
        <v>1.0</v>
      </c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25" t="s">
        <v>2604</v>
      </c>
      <c r="B389" s="25" t="s">
        <v>207</v>
      </c>
      <c r="C389" s="29">
        <v>58484.0</v>
      </c>
      <c r="D389" s="25" t="s">
        <v>2812</v>
      </c>
      <c r="E389" s="26" t="s">
        <v>2813</v>
      </c>
      <c r="F389" s="27">
        <v>0.17</v>
      </c>
      <c r="G389" s="26" t="s">
        <v>2814</v>
      </c>
      <c r="H389" s="26" t="s">
        <v>2815</v>
      </c>
      <c r="I389" s="26" t="s">
        <v>2816</v>
      </c>
      <c r="J389" s="28">
        <v>40700.0</v>
      </c>
      <c r="K389" s="26" t="s">
        <v>2817</v>
      </c>
      <c r="L389" s="26" t="s">
        <v>2818</v>
      </c>
      <c r="M389" s="37">
        <v>1.0</v>
      </c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20" t="s">
        <v>2604</v>
      </c>
      <c r="B390" s="20" t="s">
        <v>2819</v>
      </c>
      <c r="C390" s="30" t="s">
        <v>2820</v>
      </c>
      <c r="D390" s="20" t="s">
        <v>2821</v>
      </c>
      <c r="E390" s="22" t="s">
        <v>2822</v>
      </c>
      <c r="F390" s="23">
        <v>0.14</v>
      </c>
      <c r="G390" s="22" t="s">
        <v>2250</v>
      </c>
      <c r="H390" s="22" t="s">
        <v>1942</v>
      </c>
      <c r="I390" s="22" t="s">
        <v>2823</v>
      </c>
      <c r="J390" s="24">
        <v>1848.0</v>
      </c>
      <c r="K390" s="22" t="s">
        <v>2824</v>
      </c>
      <c r="L390" s="22" t="s">
        <v>2825</v>
      </c>
      <c r="M390" s="33">
        <v>1.0</v>
      </c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25" t="s">
        <v>2604</v>
      </c>
      <c r="B391" s="25" t="s">
        <v>2826</v>
      </c>
      <c r="C391" s="29" t="s">
        <v>323</v>
      </c>
      <c r="D391" s="25" t="s">
        <v>2827</v>
      </c>
      <c r="E391" s="26" t="s">
        <v>2828</v>
      </c>
      <c r="F391" s="27">
        <v>0.14</v>
      </c>
      <c r="G391" s="26" t="s">
        <v>2829</v>
      </c>
      <c r="H391" s="26" t="s">
        <v>1942</v>
      </c>
      <c r="I391" s="26" t="s">
        <v>2830</v>
      </c>
      <c r="J391" s="28">
        <v>2520.0</v>
      </c>
      <c r="K391" s="26" t="s">
        <v>2831</v>
      </c>
      <c r="L391" s="26" t="s">
        <v>2832</v>
      </c>
      <c r="M391" s="37">
        <v>1.0</v>
      </c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20" t="s">
        <v>2604</v>
      </c>
      <c r="B392" s="20" t="s">
        <v>298</v>
      </c>
      <c r="C392" s="30" t="s">
        <v>299</v>
      </c>
      <c r="D392" s="20" t="s">
        <v>2833</v>
      </c>
      <c r="E392" s="22" t="s">
        <v>2834</v>
      </c>
      <c r="F392" s="23">
        <v>0.14</v>
      </c>
      <c r="G392" s="22" t="s">
        <v>2017</v>
      </c>
      <c r="H392" s="22" t="s">
        <v>1942</v>
      </c>
      <c r="I392" s="22" t="s">
        <v>2835</v>
      </c>
      <c r="J392" s="24">
        <v>3780.0</v>
      </c>
      <c r="K392" s="22" t="s">
        <v>2836</v>
      </c>
      <c r="L392" s="22" t="s">
        <v>2837</v>
      </c>
      <c r="M392" s="33">
        <v>1.0</v>
      </c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25" t="s">
        <v>2604</v>
      </c>
      <c r="B393" s="25" t="s">
        <v>2838</v>
      </c>
      <c r="C393" s="29" t="s">
        <v>2839</v>
      </c>
      <c r="D393" s="25" t="s">
        <v>2840</v>
      </c>
      <c r="E393" s="26" t="s">
        <v>2841</v>
      </c>
      <c r="F393" s="27">
        <v>0.14</v>
      </c>
      <c r="G393" s="26" t="s">
        <v>2842</v>
      </c>
      <c r="H393" s="26" t="s">
        <v>1942</v>
      </c>
      <c r="I393" s="26" t="s">
        <v>2843</v>
      </c>
      <c r="J393" s="28">
        <v>2730.0</v>
      </c>
      <c r="K393" s="26" t="s">
        <v>2844</v>
      </c>
      <c r="L393" s="26" t="s">
        <v>2845</v>
      </c>
      <c r="M393" s="37">
        <v>1.0</v>
      </c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20" t="s">
        <v>2604</v>
      </c>
      <c r="B394" s="20" t="s">
        <v>393</v>
      </c>
      <c r="C394" s="30">
        <v>107123.0</v>
      </c>
      <c r="D394" s="20" t="s">
        <v>2846</v>
      </c>
      <c r="E394" s="22" t="s">
        <v>2847</v>
      </c>
      <c r="F394" s="23">
        <v>0.16</v>
      </c>
      <c r="G394" s="22" t="s">
        <v>2848</v>
      </c>
      <c r="H394" s="22" t="s">
        <v>2849</v>
      </c>
      <c r="I394" s="22" t="s">
        <v>2850</v>
      </c>
      <c r="J394" s="24">
        <v>10080.0</v>
      </c>
      <c r="K394" s="22" t="s">
        <v>2851</v>
      </c>
      <c r="L394" s="22" t="s">
        <v>2852</v>
      </c>
      <c r="M394" s="33">
        <v>1.0</v>
      </c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25" t="s">
        <v>2604</v>
      </c>
      <c r="B395" s="25" t="s">
        <v>75</v>
      </c>
      <c r="C395" s="29">
        <v>788133.0</v>
      </c>
      <c r="D395" s="25" t="s">
        <v>2853</v>
      </c>
      <c r="E395" s="26" t="s">
        <v>2854</v>
      </c>
      <c r="F395" s="27">
        <v>0.16</v>
      </c>
      <c r="G395" s="26" t="s">
        <v>2855</v>
      </c>
      <c r="H395" s="26" t="s">
        <v>1942</v>
      </c>
      <c r="I395" s="26" t="s">
        <v>2856</v>
      </c>
      <c r="J395" s="28">
        <v>4200.0</v>
      </c>
      <c r="K395" s="26" t="s">
        <v>2857</v>
      </c>
      <c r="L395" s="26" t="s">
        <v>2858</v>
      </c>
      <c r="M395" s="37">
        <v>1.0</v>
      </c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20" t="s">
        <v>2604</v>
      </c>
      <c r="B396" s="20" t="s">
        <v>116</v>
      </c>
      <c r="C396" s="30" t="s">
        <v>117</v>
      </c>
      <c r="D396" s="20" t="s">
        <v>2859</v>
      </c>
      <c r="E396" s="22" t="s">
        <v>2644</v>
      </c>
      <c r="F396" s="23">
        <v>0.16</v>
      </c>
      <c r="G396" s="22" t="s">
        <v>2645</v>
      </c>
      <c r="H396" s="22" t="s">
        <v>1942</v>
      </c>
      <c r="I396" s="22" t="s">
        <v>2646</v>
      </c>
      <c r="J396" s="24">
        <v>5880.0</v>
      </c>
      <c r="K396" s="22" t="s">
        <v>2647</v>
      </c>
      <c r="L396" s="22" t="s">
        <v>2648</v>
      </c>
      <c r="M396" s="33">
        <v>1.0</v>
      </c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25" t="s">
        <v>2604</v>
      </c>
      <c r="B397" s="25" t="s">
        <v>150</v>
      </c>
      <c r="C397" s="29" t="s">
        <v>151</v>
      </c>
      <c r="D397" s="25" t="s">
        <v>2860</v>
      </c>
      <c r="E397" s="26" t="s">
        <v>2723</v>
      </c>
      <c r="F397" s="27">
        <v>0.16</v>
      </c>
      <c r="G397" s="26" t="s">
        <v>2724</v>
      </c>
      <c r="H397" s="26" t="s">
        <v>1942</v>
      </c>
      <c r="I397" s="26" t="s">
        <v>2725</v>
      </c>
      <c r="J397" s="28">
        <v>6300.0</v>
      </c>
      <c r="K397" s="26" t="s">
        <v>2726</v>
      </c>
      <c r="L397" s="26" t="s">
        <v>2727</v>
      </c>
      <c r="M397" s="37">
        <v>1.0</v>
      </c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20" t="s">
        <v>2604</v>
      </c>
      <c r="B398" s="20" t="s">
        <v>290</v>
      </c>
      <c r="C398" s="30" t="s">
        <v>291</v>
      </c>
      <c r="D398" s="20" t="s">
        <v>2861</v>
      </c>
      <c r="E398" s="22" t="s">
        <v>2387</v>
      </c>
      <c r="F398" s="23">
        <v>0.14</v>
      </c>
      <c r="G398" s="22" t="s">
        <v>2862</v>
      </c>
      <c r="H398" s="22" t="s">
        <v>1942</v>
      </c>
      <c r="I398" s="22" t="s">
        <v>2863</v>
      </c>
      <c r="J398" s="24">
        <v>2520.0</v>
      </c>
      <c r="K398" s="22" t="s">
        <v>2864</v>
      </c>
      <c r="L398" s="22" t="s">
        <v>2865</v>
      </c>
      <c r="M398" s="33">
        <v>1.0</v>
      </c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25" t="s">
        <v>2604</v>
      </c>
      <c r="B399" s="25" t="s">
        <v>2866</v>
      </c>
      <c r="C399" s="29" t="s">
        <v>2867</v>
      </c>
      <c r="D399" s="25" t="s">
        <v>2868</v>
      </c>
      <c r="E399" s="26" t="s">
        <v>2387</v>
      </c>
      <c r="F399" s="27">
        <v>0.14</v>
      </c>
      <c r="G399" s="26" t="s">
        <v>2862</v>
      </c>
      <c r="H399" s="26" t="s">
        <v>1942</v>
      </c>
      <c r="I399" s="26" t="s">
        <v>2863</v>
      </c>
      <c r="J399" s="28">
        <v>1512.0</v>
      </c>
      <c r="K399" s="26" t="s">
        <v>2869</v>
      </c>
      <c r="L399" s="26" t="s">
        <v>2870</v>
      </c>
      <c r="M399" s="37">
        <v>1.0</v>
      </c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20" t="s">
        <v>2604</v>
      </c>
      <c r="B400" s="20" t="s">
        <v>286</v>
      </c>
      <c r="C400" s="30" t="s">
        <v>287</v>
      </c>
      <c r="D400" s="20" t="s">
        <v>2871</v>
      </c>
      <c r="E400" s="22" t="s">
        <v>2387</v>
      </c>
      <c r="F400" s="23">
        <v>0.14</v>
      </c>
      <c r="G400" s="22" t="s">
        <v>2862</v>
      </c>
      <c r="H400" s="22" t="s">
        <v>1942</v>
      </c>
      <c r="I400" s="22" t="s">
        <v>2863</v>
      </c>
      <c r="J400" s="24">
        <v>1512.0</v>
      </c>
      <c r="K400" s="22" t="s">
        <v>2869</v>
      </c>
      <c r="L400" s="22" t="s">
        <v>2870</v>
      </c>
      <c r="M400" s="33">
        <v>1.0</v>
      </c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25" t="s">
        <v>2604</v>
      </c>
      <c r="B401" s="25" t="s">
        <v>282</v>
      </c>
      <c r="C401" s="29" t="s">
        <v>283</v>
      </c>
      <c r="D401" s="25" t="s">
        <v>2872</v>
      </c>
      <c r="E401" s="26" t="s">
        <v>2387</v>
      </c>
      <c r="F401" s="27">
        <v>0.14</v>
      </c>
      <c r="G401" s="26" t="s">
        <v>2862</v>
      </c>
      <c r="H401" s="26" t="s">
        <v>1942</v>
      </c>
      <c r="I401" s="26" t="s">
        <v>2863</v>
      </c>
      <c r="J401" s="28">
        <v>1512.0</v>
      </c>
      <c r="K401" s="26" t="s">
        <v>2869</v>
      </c>
      <c r="L401" s="26" t="s">
        <v>2870</v>
      </c>
      <c r="M401" s="37">
        <v>1.0</v>
      </c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20" t="s">
        <v>2604</v>
      </c>
      <c r="B402" s="20" t="s">
        <v>2873</v>
      </c>
      <c r="C402" s="30" t="s">
        <v>2874</v>
      </c>
      <c r="D402" s="20" t="s">
        <v>2875</v>
      </c>
      <c r="E402" s="22" t="s">
        <v>2387</v>
      </c>
      <c r="F402" s="23">
        <v>0.14</v>
      </c>
      <c r="G402" s="22" t="s">
        <v>2862</v>
      </c>
      <c r="H402" s="22" t="s">
        <v>1942</v>
      </c>
      <c r="I402" s="22" t="s">
        <v>2863</v>
      </c>
      <c r="J402" s="24">
        <v>3360.0</v>
      </c>
      <c r="K402" s="22" t="s">
        <v>2876</v>
      </c>
      <c r="L402" s="22" t="s">
        <v>2877</v>
      </c>
      <c r="M402" s="33">
        <v>1.0</v>
      </c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25" t="s">
        <v>2604</v>
      </c>
      <c r="B403" s="25" t="s">
        <v>322</v>
      </c>
      <c r="C403" s="29" t="s">
        <v>323</v>
      </c>
      <c r="D403" s="25" t="s">
        <v>2878</v>
      </c>
      <c r="E403" s="26" t="s">
        <v>2828</v>
      </c>
      <c r="F403" s="27">
        <v>0.14</v>
      </c>
      <c r="G403" s="26" t="s">
        <v>2829</v>
      </c>
      <c r="H403" s="26" t="s">
        <v>1942</v>
      </c>
      <c r="I403" s="26" t="s">
        <v>2830</v>
      </c>
      <c r="J403" s="28">
        <v>2520.0</v>
      </c>
      <c r="K403" s="26" t="s">
        <v>2831</v>
      </c>
      <c r="L403" s="26" t="s">
        <v>2832</v>
      </c>
      <c r="M403" s="37">
        <v>1.0</v>
      </c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20" t="s">
        <v>2604</v>
      </c>
      <c r="B404" s="20" t="s">
        <v>214</v>
      </c>
      <c r="C404" s="30" t="s">
        <v>215</v>
      </c>
      <c r="D404" s="20" t="s">
        <v>216</v>
      </c>
      <c r="E404" s="22" t="s">
        <v>2879</v>
      </c>
      <c r="F404" s="23">
        <v>0.16</v>
      </c>
      <c r="G404" s="22" t="s">
        <v>2880</v>
      </c>
      <c r="H404" s="22" t="s">
        <v>1942</v>
      </c>
      <c r="I404" s="22" t="s">
        <v>2881</v>
      </c>
      <c r="J404" s="24">
        <v>2730.0</v>
      </c>
      <c r="K404" s="22" t="s">
        <v>2882</v>
      </c>
      <c r="L404" s="22" t="s">
        <v>2883</v>
      </c>
      <c r="M404" s="33">
        <v>1.0</v>
      </c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25" t="s">
        <v>2604</v>
      </c>
      <c r="B405" s="25" t="s">
        <v>66</v>
      </c>
      <c r="C405" s="29">
        <v>107180.0</v>
      </c>
      <c r="D405" s="25" t="s">
        <v>2636</v>
      </c>
      <c r="E405" s="26" t="s">
        <v>2637</v>
      </c>
      <c r="F405" s="27">
        <v>0.16</v>
      </c>
      <c r="G405" s="26" t="s">
        <v>2638</v>
      </c>
      <c r="H405" s="26" t="s">
        <v>1942</v>
      </c>
      <c r="I405" s="26" t="s">
        <v>2639</v>
      </c>
      <c r="J405" s="28">
        <v>5880.0</v>
      </c>
      <c r="K405" s="26" t="s">
        <v>2884</v>
      </c>
      <c r="L405" s="26" t="s">
        <v>2885</v>
      </c>
      <c r="M405" s="37">
        <v>1.0</v>
      </c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20" t="s">
        <v>2604</v>
      </c>
      <c r="B406" s="20" t="s">
        <v>1863</v>
      </c>
      <c r="C406" s="30">
        <v>103370.0</v>
      </c>
      <c r="D406" s="20" t="s">
        <v>1864</v>
      </c>
      <c r="E406" s="22" t="s">
        <v>1960</v>
      </c>
      <c r="F406" s="23">
        <v>0.11</v>
      </c>
      <c r="G406" s="22" t="s">
        <v>2801</v>
      </c>
      <c r="H406" s="22" t="s">
        <v>1942</v>
      </c>
      <c r="I406" s="22" t="s">
        <v>2886</v>
      </c>
      <c r="J406" s="24">
        <v>11760.0</v>
      </c>
      <c r="K406" s="22" t="s">
        <v>2887</v>
      </c>
      <c r="L406" s="22" t="s">
        <v>2888</v>
      </c>
      <c r="M406" s="33">
        <v>1.0</v>
      </c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25" t="s">
        <v>2604</v>
      </c>
      <c r="B407" s="25" t="s">
        <v>2889</v>
      </c>
      <c r="C407" s="29">
        <v>103366.0</v>
      </c>
      <c r="D407" s="25" t="s">
        <v>2890</v>
      </c>
      <c r="E407" s="26" t="s">
        <v>2891</v>
      </c>
      <c r="F407" s="27">
        <v>0.11</v>
      </c>
      <c r="G407" s="26" t="s">
        <v>2892</v>
      </c>
      <c r="H407" s="26" t="s">
        <v>1942</v>
      </c>
      <c r="I407" s="26" t="s">
        <v>2893</v>
      </c>
      <c r="J407" s="28">
        <v>3780.0</v>
      </c>
      <c r="K407" s="26" t="s">
        <v>2894</v>
      </c>
      <c r="L407" s="26" t="s">
        <v>2895</v>
      </c>
      <c r="M407" s="37">
        <v>1.0</v>
      </c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20" t="s">
        <v>2604</v>
      </c>
      <c r="B408" s="20" t="s">
        <v>210</v>
      </c>
      <c r="C408" s="30" t="s">
        <v>211</v>
      </c>
      <c r="D408" s="20" t="s">
        <v>212</v>
      </c>
      <c r="E408" s="22" t="s">
        <v>2879</v>
      </c>
      <c r="F408" s="23">
        <v>0.16</v>
      </c>
      <c r="G408" s="22" t="s">
        <v>2880</v>
      </c>
      <c r="H408" s="22" t="s">
        <v>1942</v>
      </c>
      <c r="I408" s="22" t="s">
        <v>2881</v>
      </c>
      <c r="J408" s="24">
        <v>2730.0</v>
      </c>
      <c r="K408" s="22" t="s">
        <v>2882</v>
      </c>
      <c r="L408" s="22" t="s">
        <v>2883</v>
      </c>
      <c r="M408" s="33">
        <v>1.0</v>
      </c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25" t="s">
        <v>2604</v>
      </c>
      <c r="B409" s="25" t="s">
        <v>218</v>
      </c>
      <c r="C409" s="29" t="s">
        <v>219</v>
      </c>
      <c r="D409" s="25" t="s">
        <v>220</v>
      </c>
      <c r="E409" s="26" t="s">
        <v>2879</v>
      </c>
      <c r="F409" s="27">
        <v>0.16</v>
      </c>
      <c r="G409" s="26" t="s">
        <v>2880</v>
      </c>
      <c r="H409" s="26" t="s">
        <v>1942</v>
      </c>
      <c r="I409" s="26" t="s">
        <v>2881</v>
      </c>
      <c r="J409" s="28">
        <v>2730.0</v>
      </c>
      <c r="K409" s="26" t="s">
        <v>2882</v>
      </c>
      <c r="L409" s="26" t="s">
        <v>2883</v>
      </c>
      <c r="M409" s="37">
        <v>1.0</v>
      </c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20" t="s">
        <v>2604</v>
      </c>
      <c r="B410" s="20" t="s">
        <v>28</v>
      </c>
      <c r="C410" s="30" t="s">
        <v>29</v>
      </c>
      <c r="D410" s="20" t="s">
        <v>2896</v>
      </c>
      <c r="E410" s="22" t="s">
        <v>2897</v>
      </c>
      <c r="F410" s="23">
        <v>0.15</v>
      </c>
      <c r="G410" s="22" t="s">
        <v>2898</v>
      </c>
      <c r="H410" s="22" t="s">
        <v>2808</v>
      </c>
      <c r="I410" s="22" t="s">
        <v>2899</v>
      </c>
      <c r="J410" s="24">
        <v>14400.0</v>
      </c>
      <c r="K410" s="22" t="s">
        <v>2900</v>
      </c>
      <c r="L410" s="22" t="s">
        <v>2901</v>
      </c>
      <c r="M410" s="33">
        <v>1.0</v>
      </c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25" t="s">
        <v>2604</v>
      </c>
      <c r="B411" s="25" t="s">
        <v>1860</v>
      </c>
      <c r="C411" s="29">
        <v>107833.0</v>
      </c>
      <c r="D411" s="25" t="s">
        <v>1861</v>
      </c>
      <c r="E411" s="26" t="s">
        <v>2902</v>
      </c>
      <c r="F411" s="27">
        <v>0.11</v>
      </c>
      <c r="G411" s="26" t="s">
        <v>2903</v>
      </c>
      <c r="H411" s="26" t="s">
        <v>1942</v>
      </c>
      <c r="I411" s="26" t="s">
        <v>2904</v>
      </c>
      <c r="J411" s="28">
        <v>8400.0</v>
      </c>
      <c r="K411" s="26" t="s">
        <v>2905</v>
      </c>
      <c r="L411" s="26" t="s">
        <v>2906</v>
      </c>
      <c r="M411" s="37">
        <v>1.0</v>
      </c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20" t="s">
        <v>2604</v>
      </c>
      <c r="B412" s="20" t="s">
        <v>178</v>
      </c>
      <c r="C412" s="30" t="s">
        <v>179</v>
      </c>
      <c r="D412" s="20" t="s">
        <v>2907</v>
      </c>
      <c r="E412" s="22" t="s">
        <v>2651</v>
      </c>
      <c r="F412" s="23">
        <v>0.16</v>
      </c>
      <c r="G412" s="22" t="s">
        <v>2652</v>
      </c>
      <c r="H412" s="22" t="s">
        <v>1942</v>
      </c>
      <c r="I412" s="22" t="s">
        <v>2653</v>
      </c>
      <c r="J412" s="24">
        <v>5580.0</v>
      </c>
      <c r="K412" s="22" t="s">
        <v>2908</v>
      </c>
      <c r="L412" s="22" t="s">
        <v>2909</v>
      </c>
      <c r="M412" s="33">
        <v>1.0</v>
      </c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25" t="s">
        <v>2604</v>
      </c>
      <c r="B413" s="25" t="s">
        <v>72</v>
      </c>
      <c r="C413" s="29">
        <v>107833.0</v>
      </c>
      <c r="D413" s="25" t="s">
        <v>2910</v>
      </c>
      <c r="E413" s="26" t="s">
        <v>2902</v>
      </c>
      <c r="F413" s="27">
        <v>0.11</v>
      </c>
      <c r="G413" s="26" t="s">
        <v>2903</v>
      </c>
      <c r="H413" s="26" t="s">
        <v>1942</v>
      </c>
      <c r="I413" s="26" t="s">
        <v>2904</v>
      </c>
      <c r="J413" s="28">
        <v>8400.0</v>
      </c>
      <c r="K413" s="26" t="s">
        <v>2905</v>
      </c>
      <c r="L413" s="26" t="s">
        <v>2906</v>
      </c>
      <c r="M413" s="37">
        <v>1.0</v>
      </c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20" t="s">
        <v>2604</v>
      </c>
      <c r="B414" s="20" t="s">
        <v>204</v>
      </c>
      <c r="C414" s="30">
        <v>103367.0</v>
      </c>
      <c r="D414" s="20" t="s">
        <v>205</v>
      </c>
      <c r="E414" s="22" t="s">
        <v>2911</v>
      </c>
      <c r="F414" s="23">
        <v>0.11</v>
      </c>
      <c r="G414" s="22" t="s">
        <v>2912</v>
      </c>
      <c r="H414" s="22" t="s">
        <v>1942</v>
      </c>
      <c r="I414" s="22" t="s">
        <v>2913</v>
      </c>
      <c r="J414" s="24">
        <v>4550.0</v>
      </c>
      <c r="K414" s="22" t="s">
        <v>2914</v>
      </c>
      <c r="L414" s="22" t="s">
        <v>2915</v>
      </c>
      <c r="M414" s="33">
        <v>1.0</v>
      </c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25" t="s">
        <v>2604</v>
      </c>
      <c r="B415" s="25" t="s">
        <v>87</v>
      </c>
      <c r="C415" s="29">
        <v>103370.0</v>
      </c>
      <c r="D415" s="25" t="s">
        <v>2916</v>
      </c>
      <c r="E415" s="26" t="s">
        <v>1960</v>
      </c>
      <c r="F415" s="27">
        <v>0.11</v>
      </c>
      <c r="G415" s="26" t="s">
        <v>2801</v>
      </c>
      <c r="H415" s="26" t="s">
        <v>1942</v>
      </c>
      <c r="I415" s="26" t="s">
        <v>2886</v>
      </c>
      <c r="J415" s="28">
        <v>11760.0</v>
      </c>
      <c r="K415" s="26" t="s">
        <v>2887</v>
      </c>
      <c r="L415" s="26" t="s">
        <v>2888</v>
      </c>
      <c r="M415" s="37">
        <v>1.0</v>
      </c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20" t="s">
        <v>2604</v>
      </c>
      <c r="B416" s="20" t="s">
        <v>154</v>
      </c>
      <c r="C416" s="30" t="s">
        <v>155</v>
      </c>
      <c r="D416" s="20" t="s">
        <v>2917</v>
      </c>
      <c r="E416" s="22" t="s">
        <v>1960</v>
      </c>
      <c r="F416" s="23">
        <v>0.16</v>
      </c>
      <c r="G416" s="22" t="s">
        <v>1997</v>
      </c>
      <c r="H416" s="22" t="s">
        <v>1942</v>
      </c>
      <c r="I416" s="22" t="s">
        <v>1998</v>
      </c>
      <c r="J416" s="24">
        <v>11760.0</v>
      </c>
      <c r="K416" s="22" t="s">
        <v>2918</v>
      </c>
      <c r="L416" s="22" t="s">
        <v>2888</v>
      </c>
      <c r="M416" s="33">
        <v>1.0</v>
      </c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25" t="s">
        <v>2604</v>
      </c>
      <c r="B417" s="25" t="s">
        <v>197</v>
      </c>
      <c r="C417" s="29">
        <v>105007.0</v>
      </c>
      <c r="D417" s="25" t="s">
        <v>2743</v>
      </c>
      <c r="E417" s="26" t="s">
        <v>2919</v>
      </c>
      <c r="F417" s="27">
        <v>0.17</v>
      </c>
      <c r="G417" s="26" t="s">
        <v>2920</v>
      </c>
      <c r="H417" s="26" t="s">
        <v>1942</v>
      </c>
      <c r="I417" s="26" t="s">
        <v>2921</v>
      </c>
      <c r="J417" s="26" t="s">
        <v>2922</v>
      </c>
      <c r="K417" s="26" t="s">
        <v>2923</v>
      </c>
      <c r="L417" s="26" t="s">
        <v>2924</v>
      </c>
      <c r="M417" s="37">
        <v>1.0</v>
      </c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20" t="s">
        <v>2604</v>
      </c>
      <c r="B418" s="20" t="s">
        <v>120</v>
      </c>
      <c r="C418" s="30" t="s">
        <v>59</v>
      </c>
      <c r="D418" s="20" t="s">
        <v>121</v>
      </c>
      <c r="E418" s="22" t="s">
        <v>1960</v>
      </c>
      <c r="F418" s="23">
        <v>0.11</v>
      </c>
      <c r="G418" s="22" t="s">
        <v>2801</v>
      </c>
      <c r="H418" s="22" t="s">
        <v>1942</v>
      </c>
      <c r="I418" s="22" t="s">
        <v>2886</v>
      </c>
      <c r="J418" s="24">
        <v>8400.0</v>
      </c>
      <c r="K418" s="22" t="s">
        <v>2925</v>
      </c>
      <c r="L418" s="22" t="s">
        <v>2926</v>
      </c>
      <c r="M418" s="33">
        <v>1.0</v>
      </c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25" t="s">
        <v>2604</v>
      </c>
      <c r="B419" s="25" t="s">
        <v>106</v>
      </c>
      <c r="C419" s="29" t="s">
        <v>107</v>
      </c>
      <c r="D419" s="25" t="s">
        <v>108</v>
      </c>
      <c r="E419" s="26" t="s">
        <v>2927</v>
      </c>
      <c r="F419" s="27">
        <v>0.17</v>
      </c>
      <c r="G419" s="26" t="s">
        <v>2928</v>
      </c>
      <c r="H419" s="26" t="s">
        <v>1942</v>
      </c>
      <c r="I419" s="26" t="s">
        <v>2929</v>
      </c>
      <c r="J419" s="28">
        <v>6720.0</v>
      </c>
      <c r="K419" s="26" t="s">
        <v>2930</v>
      </c>
      <c r="L419" s="26" t="s">
        <v>2931</v>
      </c>
      <c r="M419" s="37">
        <v>1.0</v>
      </c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20" t="s">
        <v>2604</v>
      </c>
      <c r="B420" s="20" t="s">
        <v>37</v>
      </c>
      <c r="C420" s="30" t="s">
        <v>38</v>
      </c>
      <c r="D420" s="20" t="s">
        <v>2932</v>
      </c>
      <c r="E420" s="22" t="s">
        <v>2535</v>
      </c>
      <c r="F420" s="23">
        <v>0.16</v>
      </c>
      <c r="G420" s="22" t="s">
        <v>2933</v>
      </c>
      <c r="H420" s="22" t="s">
        <v>2849</v>
      </c>
      <c r="I420" s="22" t="s">
        <v>2934</v>
      </c>
      <c r="J420" s="24">
        <v>16800.0</v>
      </c>
      <c r="K420" s="22" t="s">
        <v>2935</v>
      </c>
      <c r="L420" s="22" t="s">
        <v>2936</v>
      </c>
      <c r="M420" s="33">
        <v>1.0</v>
      </c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25" t="s">
        <v>2604</v>
      </c>
      <c r="B421" s="25" t="s">
        <v>81</v>
      </c>
      <c r="C421" s="29">
        <v>103366.0</v>
      </c>
      <c r="D421" s="25" t="s">
        <v>2937</v>
      </c>
      <c r="E421" s="26" t="s">
        <v>2891</v>
      </c>
      <c r="F421" s="27">
        <v>0.11</v>
      </c>
      <c r="G421" s="26" t="s">
        <v>2892</v>
      </c>
      <c r="H421" s="26" t="s">
        <v>1942</v>
      </c>
      <c r="I421" s="26" t="s">
        <v>2893</v>
      </c>
      <c r="J421" s="28">
        <v>3780.0</v>
      </c>
      <c r="K421" s="26" t="s">
        <v>2894</v>
      </c>
      <c r="L421" s="26" t="s">
        <v>2895</v>
      </c>
      <c r="M421" s="37">
        <v>1.0</v>
      </c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20" t="s">
        <v>2604</v>
      </c>
      <c r="B422" s="20" t="s">
        <v>2938</v>
      </c>
      <c r="C422" s="30">
        <v>103367.0</v>
      </c>
      <c r="D422" s="20" t="s">
        <v>2939</v>
      </c>
      <c r="E422" s="22" t="s">
        <v>2911</v>
      </c>
      <c r="F422" s="23">
        <v>0.11</v>
      </c>
      <c r="G422" s="22" t="s">
        <v>2912</v>
      </c>
      <c r="H422" s="22" t="s">
        <v>1942</v>
      </c>
      <c r="I422" s="22" t="s">
        <v>2913</v>
      </c>
      <c r="J422" s="24">
        <v>4550.0</v>
      </c>
      <c r="K422" s="22" t="s">
        <v>2914</v>
      </c>
      <c r="L422" s="22" t="s">
        <v>2915</v>
      </c>
      <c r="M422" s="33">
        <v>1.0</v>
      </c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25" t="s">
        <v>2604</v>
      </c>
      <c r="B423" s="25" t="s">
        <v>200</v>
      </c>
      <c r="C423" s="29" t="s">
        <v>201</v>
      </c>
      <c r="D423" s="25" t="s">
        <v>2940</v>
      </c>
      <c r="E423" s="26" t="s">
        <v>2651</v>
      </c>
      <c r="F423" s="27">
        <v>0.16</v>
      </c>
      <c r="G423" s="26" t="s">
        <v>2652</v>
      </c>
      <c r="H423" s="26" t="s">
        <v>1942</v>
      </c>
      <c r="I423" s="26" t="s">
        <v>2653</v>
      </c>
      <c r="J423" s="28">
        <v>5880.0</v>
      </c>
      <c r="K423" s="26" t="s">
        <v>2654</v>
      </c>
      <c r="L423" s="26" t="s">
        <v>2655</v>
      </c>
      <c r="M423" s="37">
        <v>16.0</v>
      </c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20" t="s">
        <v>2604</v>
      </c>
      <c r="B424" s="20" t="s">
        <v>1885</v>
      </c>
      <c r="C424" s="30" t="s">
        <v>183</v>
      </c>
      <c r="D424" s="20" t="s">
        <v>1886</v>
      </c>
      <c r="E424" s="22" t="s">
        <v>2941</v>
      </c>
      <c r="F424" s="23">
        <v>0.16</v>
      </c>
      <c r="G424" s="22" t="s">
        <v>2676</v>
      </c>
      <c r="H424" s="22" t="s">
        <v>1942</v>
      </c>
      <c r="I424" s="22" t="s">
        <v>2942</v>
      </c>
      <c r="J424" s="24">
        <v>9240.0</v>
      </c>
      <c r="K424" s="22" t="s">
        <v>2943</v>
      </c>
      <c r="L424" s="22" t="s">
        <v>2944</v>
      </c>
      <c r="M424" s="33">
        <v>1.0</v>
      </c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25" t="s">
        <v>2604</v>
      </c>
      <c r="B425" s="25" t="s">
        <v>41</v>
      </c>
      <c r="C425" s="29" t="s">
        <v>42</v>
      </c>
      <c r="D425" s="25" t="s">
        <v>2945</v>
      </c>
      <c r="E425" s="26" t="s">
        <v>1960</v>
      </c>
      <c r="F425" s="27">
        <v>0.16</v>
      </c>
      <c r="G425" s="26" t="s">
        <v>1997</v>
      </c>
      <c r="H425" s="26" t="s">
        <v>1942</v>
      </c>
      <c r="I425" s="26" t="s">
        <v>1998</v>
      </c>
      <c r="J425" s="28">
        <v>12800.0</v>
      </c>
      <c r="K425" s="26" t="s">
        <v>2946</v>
      </c>
      <c r="L425" s="26" t="s">
        <v>2947</v>
      </c>
      <c r="M425" s="37">
        <v>1.0</v>
      </c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20" t="s">
        <v>2604</v>
      </c>
      <c r="B426" s="20" t="s">
        <v>2948</v>
      </c>
      <c r="C426" s="30" t="s">
        <v>103</v>
      </c>
      <c r="D426" s="20" t="s">
        <v>2949</v>
      </c>
      <c r="E426" s="22" t="s">
        <v>2696</v>
      </c>
      <c r="F426" s="23">
        <v>0.16</v>
      </c>
      <c r="G426" s="22" t="s">
        <v>2697</v>
      </c>
      <c r="H426" s="22" t="s">
        <v>2041</v>
      </c>
      <c r="I426" s="22" t="s">
        <v>2950</v>
      </c>
      <c r="J426" s="24">
        <v>12800.0</v>
      </c>
      <c r="K426" s="22" t="s">
        <v>2951</v>
      </c>
      <c r="L426" s="22" t="s">
        <v>2952</v>
      </c>
      <c r="M426" s="33">
        <v>1.0</v>
      </c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25" t="s">
        <v>2604</v>
      </c>
      <c r="B427" s="25" t="s">
        <v>33</v>
      </c>
      <c r="C427" s="29" t="s">
        <v>34</v>
      </c>
      <c r="D427" s="25" t="s">
        <v>2953</v>
      </c>
      <c r="E427" s="26" t="s">
        <v>1960</v>
      </c>
      <c r="F427" s="27">
        <v>0.14</v>
      </c>
      <c r="G427" s="26" t="s">
        <v>2954</v>
      </c>
      <c r="H427" s="26" t="s">
        <v>1942</v>
      </c>
      <c r="I427" s="26" t="s">
        <v>2955</v>
      </c>
      <c r="J427" s="28">
        <v>10080.0</v>
      </c>
      <c r="K427" s="26" t="s">
        <v>2956</v>
      </c>
      <c r="L427" s="26" t="s">
        <v>2957</v>
      </c>
      <c r="M427" s="37">
        <v>1.0</v>
      </c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20" t="s">
        <v>2604</v>
      </c>
      <c r="B428" s="20" t="s">
        <v>102</v>
      </c>
      <c r="C428" s="30" t="s">
        <v>103</v>
      </c>
      <c r="D428" s="20" t="s">
        <v>2958</v>
      </c>
      <c r="E428" s="22" t="s">
        <v>2696</v>
      </c>
      <c r="F428" s="23">
        <v>0.16</v>
      </c>
      <c r="G428" s="22" t="s">
        <v>2697</v>
      </c>
      <c r="H428" s="22" t="s">
        <v>1935</v>
      </c>
      <c r="I428" s="22" t="s">
        <v>2959</v>
      </c>
      <c r="J428" s="24">
        <v>12600.0</v>
      </c>
      <c r="K428" s="22" t="s">
        <v>2960</v>
      </c>
      <c r="L428" s="22" t="s">
        <v>2961</v>
      </c>
      <c r="M428" s="33">
        <v>1.0</v>
      </c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25" t="s">
        <v>2604</v>
      </c>
      <c r="B429" s="25" t="s">
        <v>140</v>
      </c>
      <c r="C429" s="29" t="s">
        <v>141</v>
      </c>
      <c r="D429" s="25" t="s">
        <v>2962</v>
      </c>
      <c r="E429" s="26" t="s">
        <v>2963</v>
      </c>
      <c r="F429" s="27">
        <v>0.16</v>
      </c>
      <c r="G429" s="26" t="s">
        <v>2964</v>
      </c>
      <c r="H429" s="26" t="s">
        <v>2698</v>
      </c>
      <c r="I429" s="26" t="s">
        <v>2965</v>
      </c>
      <c r="J429" s="28">
        <v>16800.0</v>
      </c>
      <c r="K429" s="26" t="s">
        <v>2966</v>
      </c>
      <c r="L429" s="26" t="s">
        <v>2967</v>
      </c>
      <c r="M429" s="37">
        <v>1.0</v>
      </c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20" t="s">
        <v>2604</v>
      </c>
      <c r="B430" s="20" t="s">
        <v>137</v>
      </c>
      <c r="C430" s="30">
        <v>107093.0</v>
      </c>
      <c r="D430" s="20" t="s">
        <v>2968</v>
      </c>
      <c r="E430" s="22" t="s">
        <v>2969</v>
      </c>
      <c r="F430" s="23">
        <v>0.14</v>
      </c>
      <c r="G430" s="22" t="s">
        <v>2970</v>
      </c>
      <c r="H430" s="22" t="s">
        <v>2849</v>
      </c>
      <c r="I430" s="22" t="s">
        <v>2971</v>
      </c>
      <c r="J430" s="24">
        <v>26208.0</v>
      </c>
      <c r="K430" s="22" t="s">
        <v>2972</v>
      </c>
      <c r="L430" s="22" t="s">
        <v>2973</v>
      </c>
      <c r="M430" s="33">
        <v>1.0</v>
      </c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25" t="s">
        <v>2604</v>
      </c>
      <c r="B431" s="25" t="s">
        <v>2974</v>
      </c>
      <c r="C431" s="29" t="s">
        <v>2975</v>
      </c>
      <c r="D431" s="25" t="s">
        <v>2976</v>
      </c>
      <c r="E431" s="26" t="s">
        <v>2977</v>
      </c>
      <c r="F431" s="27">
        <v>0.16</v>
      </c>
      <c r="G431" s="26" t="s">
        <v>2978</v>
      </c>
      <c r="H431" s="26" t="s">
        <v>2437</v>
      </c>
      <c r="I431" s="26" t="s">
        <v>2979</v>
      </c>
      <c r="J431" s="28">
        <v>8400.0</v>
      </c>
      <c r="K431" s="26" t="s">
        <v>2980</v>
      </c>
      <c r="L431" s="26" t="s">
        <v>2981</v>
      </c>
      <c r="M431" s="37">
        <v>1.0</v>
      </c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20" t="s">
        <v>2604</v>
      </c>
      <c r="B432" s="20" t="s">
        <v>133</v>
      </c>
      <c r="C432" s="30" t="s">
        <v>134</v>
      </c>
      <c r="D432" s="20" t="s">
        <v>2982</v>
      </c>
      <c r="E432" s="22" t="s">
        <v>2983</v>
      </c>
      <c r="F432" s="23">
        <v>0.16</v>
      </c>
      <c r="G432" s="22" t="s">
        <v>2984</v>
      </c>
      <c r="H432" s="22" t="s">
        <v>1935</v>
      </c>
      <c r="I432" s="22" t="s">
        <v>2985</v>
      </c>
      <c r="J432" s="24">
        <v>11760.0</v>
      </c>
      <c r="K432" s="22" t="s">
        <v>2986</v>
      </c>
      <c r="L432" s="22" t="s">
        <v>2987</v>
      </c>
      <c r="M432" s="33">
        <v>1.0</v>
      </c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25" t="s">
        <v>2604</v>
      </c>
      <c r="B433" s="25" t="s">
        <v>182</v>
      </c>
      <c r="C433" s="29" t="s">
        <v>183</v>
      </c>
      <c r="D433" s="25" t="s">
        <v>2988</v>
      </c>
      <c r="E433" s="26" t="s">
        <v>2941</v>
      </c>
      <c r="F433" s="27">
        <v>0.16</v>
      </c>
      <c r="G433" s="26" t="s">
        <v>2676</v>
      </c>
      <c r="H433" s="26" t="s">
        <v>1942</v>
      </c>
      <c r="I433" s="26" t="s">
        <v>2942</v>
      </c>
      <c r="J433" s="28">
        <v>9240.0</v>
      </c>
      <c r="K433" s="26" t="s">
        <v>2943</v>
      </c>
      <c r="L433" s="26" t="s">
        <v>2944</v>
      </c>
      <c r="M433" s="37">
        <v>1.0</v>
      </c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20" t="s">
        <v>2604</v>
      </c>
      <c r="B434" s="20" t="s">
        <v>162</v>
      </c>
      <c r="C434" s="30" t="s">
        <v>163</v>
      </c>
      <c r="D434" s="20" t="s">
        <v>2989</v>
      </c>
      <c r="E434" s="22" t="s">
        <v>2794</v>
      </c>
      <c r="F434" s="23">
        <v>0.16</v>
      </c>
      <c r="G434" s="22" t="s">
        <v>2795</v>
      </c>
      <c r="H434" s="22" t="s">
        <v>1935</v>
      </c>
      <c r="I434" s="22" t="s">
        <v>2990</v>
      </c>
      <c r="J434" s="24">
        <v>5880.0</v>
      </c>
      <c r="K434" s="22" t="s">
        <v>2991</v>
      </c>
      <c r="L434" s="22" t="s">
        <v>2992</v>
      </c>
      <c r="M434" s="33">
        <v>1.0</v>
      </c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25" t="s">
        <v>2604</v>
      </c>
      <c r="B435" s="25" t="s">
        <v>396</v>
      </c>
      <c r="C435" s="29">
        <v>102285.0</v>
      </c>
      <c r="D435" s="25" t="s">
        <v>2993</v>
      </c>
      <c r="E435" s="26" t="s">
        <v>2387</v>
      </c>
      <c r="F435" s="27">
        <v>0.16</v>
      </c>
      <c r="G435" s="26" t="s">
        <v>2994</v>
      </c>
      <c r="H435" s="26" t="s">
        <v>1942</v>
      </c>
      <c r="I435" s="26" t="s">
        <v>2995</v>
      </c>
      <c r="J435" s="28">
        <v>2100.0</v>
      </c>
      <c r="K435" s="26" t="s">
        <v>2841</v>
      </c>
      <c r="L435" s="26" t="s">
        <v>2996</v>
      </c>
      <c r="M435" s="37">
        <v>1.0</v>
      </c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20" t="s">
        <v>2604</v>
      </c>
      <c r="B436" s="20" t="s">
        <v>2997</v>
      </c>
      <c r="C436" s="30">
        <v>104925.0</v>
      </c>
      <c r="D436" s="20" t="s">
        <v>2998</v>
      </c>
      <c r="E436" s="22" t="s">
        <v>2387</v>
      </c>
      <c r="F436" s="23">
        <v>0.16</v>
      </c>
      <c r="G436" s="22" t="s">
        <v>2994</v>
      </c>
      <c r="H436" s="22" t="s">
        <v>1942</v>
      </c>
      <c r="I436" s="22" t="s">
        <v>2995</v>
      </c>
      <c r="J436" s="22" t="s">
        <v>2999</v>
      </c>
      <c r="K436" s="22" t="s">
        <v>3000</v>
      </c>
      <c r="L436" s="22" t="s">
        <v>3001</v>
      </c>
      <c r="M436" s="33">
        <v>1.0</v>
      </c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25" t="s">
        <v>2604</v>
      </c>
      <c r="B437" s="25" t="s">
        <v>98</v>
      </c>
      <c r="C437" s="29" t="s">
        <v>99</v>
      </c>
      <c r="D437" s="25" t="s">
        <v>3002</v>
      </c>
      <c r="E437" s="26" t="s">
        <v>3003</v>
      </c>
      <c r="F437" s="27">
        <v>0.16</v>
      </c>
      <c r="G437" s="26" t="s">
        <v>3004</v>
      </c>
      <c r="H437" s="26" t="s">
        <v>2437</v>
      </c>
      <c r="I437" s="26" t="s">
        <v>3005</v>
      </c>
      <c r="J437" s="28">
        <v>6720.0</v>
      </c>
      <c r="K437" s="26" t="s">
        <v>3006</v>
      </c>
      <c r="L437" s="26" t="s">
        <v>3007</v>
      </c>
      <c r="M437" s="37">
        <v>1.0</v>
      </c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20" t="s">
        <v>2604</v>
      </c>
      <c r="B438" s="20" t="s">
        <v>110</v>
      </c>
      <c r="C438" s="30">
        <v>105738.0</v>
      </c>
      <c r="D438" s="20" t="s">
        <v>3008</v>
      </c>
      <c r="E438" s="22" t="s">
        <v>2794</v>
      </c>
      <c r="F438" s="23">
        <v>0.14</v>
      </c>
      <c r="G438" s="22" t="s">
        <v>3009</v>
      </c>
      <c r="H438" s="22" t="s">
        <v>3010</v>
      </c>
      <c r="I438" s="22" t="s">
        <v>3011</v>
      </c>
      <c r="J438" s="24">
        <v>7560.0</v>
      </c>
      <c r="K438" s="22" t="s">
        <v>3012</v>
      </c>
      <c r="L438" s="22" t="s">
        <v>3013</v>
      </c>
      <c r="M438" s="33">
        <v>1.0</v>
      </c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25" t="s">
        <v>2604</v>
      </c>
      <c r="B439" s="25" t="s">
        <v>158</v>
      </c>
      <c r="C439" s="29" t="s">
        <v>159</v>
      </c>
      <c r="D439" s="25" t="s">
        <v>3014</v>
      </c>
      <c r="E439" s="26" t="s">
        <v>2535</v>
      </c>
      <c r="F439" s="27">
        <v>0.16</v>
      </c>
      <c r="G439" s="26" t="s">
        <v>2933</v>
      </c>
      <c r="H439" s="26" t="s">
        <v>1935</v>
      </c>
      <c r="I439" s="26" t="s">
        <v>2537</v>
      </c>
      <c r="J439" s="28">
        <v>16800.0</v>
      </c>
      <c r="K439" s="26" t="s">
        <v>3015</v>
      </c>
      <c r="L439" s="26" t="s">
        <v>3016</v>
      </c>
      <c r="M439" s="37">
        <v>1.0</v>
      </c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20" t="s">
        <v>2604</v>
      </c>
      <c r="B440" s="20" t="s">
        <v>190</v>
      </c>
      <c r="C440" s="30" t="s">
        <v>191</v>
      </c>
      <c r="D440" s="20" t="s">
        <v>3017</v>
      </c>
      <c r="E440" s="22" t="s">
        <v>2535</v>
      </c>
      <c r="F440" s="23">
        <v>0.16</v>
      </c>
      <c r="G440" s="22" t="s">
        <v>2933</v>
      </c>
      <c r="H440" s="22" t="s">
        <v>1935</v>
      </c>
      <c r="I440" s="22" t="s">
        <v>2537</v>
      </c>
      <c r="J440" s="24">
        <v>16800.0</v>
      </c>
      <c r="K440" s="22" t="s">
        <v>3015</v>
      </c>
      <c r="L440" s="22" t="s">
        <v>3016</v>
      </c>
      <c r="M440" s="33">
        <v>1.0</v>
      </c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25" t="s">
        <v>2604</v>
      </c>
      <c r="B441" s="25" t="s">
        <v>186</v>
      </c>
      <c r="C441" s="29" t="s">
        <v>187</v>
      </c>
      <c r="D441" s="25" t="s">
        <v>3018</v>
      </c>
      <c r="E441" s="26" t="s">
        <v>2794</v>
      </c>
      <c r="F441" s="27">
        <v>0.16</v>
      </c>
      <c r="G441" s="26" t="s">
        <v>2795</v>
      </c>
      <c r="H441" s="26" t="s">
        <v>2041</v>
      </c>
      <c r="I441" s="26" t="s">
        <v>2796</v>
      </c>
      <c r="J441" s="28">
        <v>5880.0</v>
      </c>
      <c r="K441" s="26" t="s">
        <v>3019</v>
      </c>
      <c r="L441" s="26" t="s">
        <v>3020</v>
      </c>
      <c r="M441" s="37">
        <v>1.0</v>
      </c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20" t="s">
        <v>2604</v>
      </c>
      <c r="B442" s="20" t="s">
        <v>278</v>
      </c>
      <c r="C442" s="30" t="s">
        <v>279</v>
      </c>
      <c r="D442" s="20" t="s">
        <v>3021</v>
      </c>
      <c r="E442" s="22" t="s">
        <v>2387</v>
      </c>
      <c r="F442" s="23">
        <v>0.14</v>
      </c>
      <c r="G442" s="22" t="s">
        <v>2862</v>
      </c>
      <c r="H442" s="22" t="s">
        <v>1942</v>
      </c>
      <c r="I442" s="22" t="s">
        <v>2863</v>
      </c>
      <c r="J442" s="24">
        <v>5880.0</v>
      </c>
      <c r="K442" s="22" t="s">
        <v>3022</v>
      </c>
      <c r="L442" s="22" t="s">
        <v>3023</v>
      </c>
      <c r="M442" s="33">
        <v>1.0</v>
      </c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25" t="s">
        <v>2604</v>
      </c>
      <c r="B443" s="25" t="s">
        <v>370</v>
      </c>
      <c r="C443" s="29">
        <v>786430.0</v>
      </c>
      <c r="D443" s="25" t="s">
        <v>3024</v>
      </c>
      <c r="E443" s="26" t="s">
        <v>2387</v>
      </c>
      <c r="F443" s="27">
        <v>0.16</v>
      </c>
      <c r="G443" s="26" t="s">
        <v>2994</v>
      </c>
      <c r="H443" s="26" t="s">
        <v>1942</v>
      </c>
      <c r="I443" s="26" t="s">
        <v>2995</v>
      </c>
      <c r="J443" s="28">
        <v>1092.0</v>
      </c>
      <c r="K443" s="26" t="s">
        <v>3025</v>
      </c>
      <c r="L443" s="26" t="s">
        <v>3026</v>
      </c>
      <c r="M443" s="37">
        <v>1.0</v>
      </c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32" t="s">
        <v>2604</v>
      </c>
      <c r="B444" s="32" t="s">
        <v>367</v>
      </c>
      <c r="C444" s="45">
        <v>786432.0</v>
      </c>
      <c r="D444" s="32" t="s">
        <v>3027</v>
      </c>
      <c r="E444" s="33" t="s">
        <v>2387</v>
      </c>
      <c r="F444" s="34">
        <v>0.16</v>
      </c>
      <c r="G444" s="33" t="s">
        <v>2994</v>
      </c>
      <c r="H444" s="33" t="s">
        <v>1942</v>
      </c>
      <c r="I444" s="33" t="s">
        <v>2995</v>
      </c>
      <c r="J444" s="33" t="s">
        <v>3028</v>
      </c>
      <c r="K444" s="33" t="s">
        <v>3029</v>
      </c>
      <c r="L444" s="33" t="s">
        <v>3030</v>
      </c>
      <c r="M444" s="33">
        <v>1.0</v>
      </c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39" t="s">
        <v>2604</v>
      </c>
      <c r="B445" s="39" t="s">
        <v>364</v>
      </c>
      <c r="C445" s="44">
        <v>786431.0</v>
      </c>
      <c r="D445" s="39" t="s">
        <v>3031</v>
      </c>
      <c r="E445" s="37" t="s">
        <v>2387</v>
      </c>
      <c r="F445" s="36">
        <v>0.16</v>
      </c>
      <c r="G445" s="37" t="s">
        <v>2994</v>
      </c>
      <c r="H445" s="37" t="s">
        <v>1942</v>
      </c>
      <c r="I445" s="37" t="s">
        <v>2995</v>
      </c>
      <c r="J445" s="38">
        <v>1344.0</v>
      </c>
      <c r="K445" s="37" t="s">
        <v>3032</v>
      </c>
      <c r="L445" s="37" t="s">
        <v>3033</v>
      </c>
      <c r="M445" s="37">
        <v>1.0</v>
      </c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32" t="s">
        <v>2604</v>
      </c>
      <c r="B446" s="32" t="s">
        <v>361</v>
      </c>
      <c r="C446" s="45">
        <v>786428.0</v>
      </c>
      <c r="D446" s="32" t="s">
        <v>3034</v>
      </c>
      <c r="E446" s="33" t="s">
        <v>2387</v>
      </c>
      <c r="F446" s="34">
        <v>0.16</v>
      </c>
      <c r="G446" s="33" t="s">
        <v>2994</v>
      </c>
      <c r="H446" s="33" t="s">
        <v>1942</v>
      </c>
      <c r="I446" s="33" t="s">
        <v>2995</v>
      </c>
      <c r="J446" s="33" t="s">
        <v>3035</v>
      </c>
      <c r="K446" s="33" t="s">
        <v>3036</v>
      </c>
      <c r="L446" s="33" t="s">
        <v>3037</v>
      </c>
      <c r="M446" s="33">
        <v>1.0</v>
      </c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39" t="s">
        <v>2604</v>
      </c>
      <c r="B447" s="39" t="s">
        <v>1872</v>
      </c>
      <c r="C447" s="44">
        <v>105741.0</v>
      </c>
      <c r="D447" s="39" t="s">
        <v>1873</v>
      </c>
      <c r="E447" s="37" t="s">
        <v>2781</v>
      </c>
      <c r="F447" s="36">
        <v>0.14</v>
      </c>
      <c r="G447" s="37" t="s">
        <v>2782</v>
      </c>
      <c r="H447" s="37" t="s">
        <v>1942</v>
      </c>
      <c r="I447" s="37" t="s">
        <v>2783</v>
      </c>
      <c r="J447" s="38">
        <v>7560.0</v>
      </c>
      <c r="K447" s="37" t="s">
        <v>2784</v>
      </c>
      <c r="L447" s="37" t="s">
        <v>2785</v>
      </c>
      <c r="M447" s="37">
        <v>1.0</v>
      </c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32" t="s">
        <v>2604</v>
      </c>
      <c r="B448" s="32" t="s">
        <v>62</v>
      </c>
      <c r="C448" s="45" t="s">
        <v>63</v>
      </c>
      <c r="D448" s="32" t="s">
        <v>3038</v>
      </c>
      <c r="E448" s="33" t="s">
        <v>3039</v>
      </c>
      <c r="F448" s="34">
        <v>0.11</v>
      </c>
      <c r="G448" s="33" t="s">
        <v>3040</v>
      </c>
      <c r="H448" s="33" t="s">
        <v>1942</v>
      </c>
      <c r="I448" s="33" t="s">
        <v>3041</v>
      </c>
      <c r="J448" s="35">
        <v>8400.0</v>
      </c>
      <c r="K448" s="33" t="s">
        <v>3042</v>
      </c>
      <c r="L448" s="33" t="s">
        <v>3043</v>
      </c>
      <c r="M448" s="33">
        <v>1.0</v>
      </c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39" t="s">
        <v>2604</v>
      </c>
      <c r="B449" s="39" t="s">
        <v>58</v>
      </c>
      <c r="C449" s="44" t="s">
        <v>59</v>
      </c>
      <c r="D449" s="39" t="s">
        <v>3038</v>
      </c>
      <c r="E449" s="37" t="s">
        <v>3039</v>
      </c>
      <c r="F449" s="36">
        <v>0.11</v>
      </c>
      <c r="G449" s="37" t="s">
        <v>3040</v>
      </c>
      <c r="H449" s="37" t="s">
        <v>1942</v>
      </c>
      <c r="I449" s="37" t="s">
        <v>3041</v>
      </c>
      <c r="J449" s="38">
        <v>8400.0</v>
      </c>
      <c r="K449" s="37" t="s">
        <v>3042</v>
      </c>
      <c r="L449" s="37" t="s">
        <v>3043</v>
      </c>
      <c r="M449" s="37">
        <v>1.0</v>
      </c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32" t="s">
        <v>2604</v>
      </c>
      <c r="B450" s="32" t="s">
        <v>3044</v>
      </c>
      <c r="C450" s="45" t="s">
        <v>187</v>
      </c>
      <c r="D450" s="32" t="s">
        <v>3045</v>
      </c>
      <c r="E450" s="32"/>
      <c r="F450" s="32"/>
      <c r="G450" s="33" t="s">
        <v>1942</v>
      </c>
      <c r="H450" s="32"/>
      <c r="I450" s="33" t="s">
        <v>1942</v>
      </c>
      <c r="J450" s="35">
        <v>5880.0</v>
      </c>
      <c r="K450" s="33" t="s">
        <v>3046</v>
      </c>
      <c r="L450" s="33" t="s">
        <v>1947</v>
      </c>
      <c r="M450" s="33">
        <v>1.0</v>
      </c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39" t="s">
        <v>2604</v>
      </c>
      <c r="B451" s="39" t="s">
        <v>763</v>
      </c>
      <c r="C451" s="44" t="s">
        <v>764</v>
      </c>
      <c r="D451" s="39" t="s">
        <v>3047</v>
      </c>
      <c r="E451" s="39"/>
      <c r="F451" s="39"/>
      <c r="G451" s="37" t="s">
        <v>1942</v>
      </c>
      <c r="H451" s="39"/>
      <c r="I451" s="37" t="s">
        <v>1942</v>
      </c>
      <c r="J451" s="38">
        <v>16680.0</v>
      </c>
      <c r="K451" s="37" t="s">
        <v>3048</v>
      </c>
      <c r="L451" s="37" t="s">
        <v>1947</v>
      </c>
      <c r="M451" s="37">
        <v>1.0</v>
      </c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32" t="s">
        <v>2604</v>
      </c>
      <c r="B452" s="32" t="s">
        <v>3049</v>
      </c>
      <c r="C452" s="45" t="s">
        <v>201</v>
      </c>
      <c r="D452" s="32" t="s">
        <v>3050</v>
      </c>
      <c r="E452" s="32"/>
      <c r="F452" s="32"/>
      <c r="G452" s="33" t="s">
        <v>1942</v>
      </c>
      <c r="H452" s="32"/>
      <c r="I452" s="33" t="s">
        <v>1942</v>
      </c>
      <c r="J452" s="35">
        <v>5880.0</v>
      </c>
      <c r="K452" s="33" t="s">
        <v>3046</v>
      </c>
      <c r="L452" s="33" t="s">
        <v>1947</v>
      </c>
      <c r="M452" s="33">
        <v>16.0</v>
      </c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39" t="s">
        <v>2604</v>
      </c>
      <c r="B453" s="39" t="s">
        <v>3051</v>
      </c>
      <c r="C453" s="44" t="s">
        <v>3052</v>
      </c>
      <c r="D453" s="39" t="s">
        <v>3053</v>
      </c>
      <c r="E453" s="39"/>
      <c r="F453" s="39"/>
      <c r="G453" s="37" t="s">
        <v>1942</v>
      </c>
      <c r="H453" s="39"/>
      <c r="I453" s="37" t="s">
        <v>1942</v>
      </c>
      <c r="J453" s="38">
        <v>8820.0</v>
      </c>
      <c r="K453" s="37" t="s">
        <v>3054</v>
      </c>
      <c r="L453" s="37" t="s">
        <v>1947</v>
      </c>
      <c r="M453" s="37">
        <v>1.0</v>
      </c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32" t="s">
        <v>2604</v>
      </c>
      <c r="B454" s="32" t="s">
        <v>3055</v>
      </c>
      <c r="C454" s="45" t="s">
        <v>3056</v>
      </c>
      <c r="D454" s="32" t="s">
        <v>3053</v>
      </c>
      <c r="E454" s="32"/>
      <c r="F454" s="32"/>
      <c r="G454" s="33" t="s">
        <v>1942</v>
      </c>
      <c r="H454" s="32"/>
      <c r="I454" s="33" t="s">
        <v>1942</v>
      </c>
      <c r="J454" s="35">
        <v>8820.0</v>
      </c>
      <c r="K454" s="33" t="s">
        <v>3054</v>
      </c>
      <c r="L454" s="33" t="s">
        <v>1947</v>
      </c>
      <c r="M454" s="33">
        <v>1.0</v>
      </c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39" t="s">
        <v>2604</v>
      </c>
      <c r="B455" s="39" t="s">
        <v>3057</v>
      </c>
      <c r="C455" s="44" t="s">
        <v>3058</v>
      </c>
      <c r="D455" s="39" t="s">
        <v>3059</v>
      </c>
      <c r="E455" s="39"/>
      <c r="F455" s="39"/>
      <c r="G455" s="37" t="s">
        <v>1942</v>
      </c>
      <c r="H455" s="39"/>
      <c r="I455" s="37" t="s">
        <v>1942</v>
      </c>
      <c r="J455" s="38">
        <v>8064.0</v>
      </c>
      <c r="K455" s="37" t="s">
        <v>3060</v>
      </c>
      <c r="L455" s="37" t="s">
        <v>1947</v>
      </c>
      <c r="M455" s="37">
        <v>1.0</v>
      </c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32" t="s">
        <v>2604</v>
      </c>
      <c r="B456" s="32" t="s">
        <v>3061</v>
      </c>
      <c r="C456" s="45" t="s">
        <v>3062</v>
      </c>
      <c r="D456" s="32" t="s">
        <v>3059</v>
      </c>
      <c r="E456" s="32"/>
      <c r="F456" s="32"/>
      <c r="G456" s="33" t="s">
        <v>1942</v>
      </c>
      <c r="H456" s="32"/>
      <c r="I456" s="33" t="s">
        <v>1942</v>
      </c>
      <c r="J456" s="35">
        <v>8064.0</v>
      </c>
      <c r="K456" s="33" t="s">
        <v>3060</v>
      </c>
      <c r="L456" s="33" t="s">
        <v>1947</v>
      </c>
      <c r="M456" s="33">
        <v>1.0</v>
      </c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39" t="s">
        <v>2604</v>
      </c>
      <c r="B457" s="39" t="s">
        <v>782</v>
      </c>
      <c r="C457" s="44">
        <v>105772.0</v>
      </c>
      <c r="D457" s="39" t="s">
        <v>3063</v>
      </c>
      <c r="E457" s="39"/>
      <c r="F457" s="39"/>
      <c r="G457" s="37" t="s">
        <v>1942</v>
      </c>
      <c r="H457" s="39"/>
      <c r="I457" s="37" t="s">
        <v>1942</v>
      </c>
      <c r="J457" s="38">
        <v>1176.0</v>
      </c>
      <c r="K457" s="37" t="s">
        <v>3064</v>
      </c>
      <c r="L457" s="37" t="s">
        <v>1947</v>
      </c>
      <c r="M457" s="37">
        <v>1.0</v>
      </c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32" t="s">
        <v>2604</v>
      </c>
      <c r="B458" s="32" t="s">
        <v>794</v>
      </c>
      <c r="C458" s="45">
        <v>106727.0</v>
      </c>
      <c r="D458" s="32" t="s">
        <v>3065</v>
      </c>
      <c r="E458" s="32"/>
      <c r="F458" s="32"/>
      <c r="G458" s="33" t="s">
        <v>1942</v>
      </c>
      <c r="H458" s="32"/>
      <c r="I458" s="33" t="s">
        <v>1942</v>
      </c>
      <c r="J458" s="35">
        <v>2100.0</v>
      </c>
      <c r="K458" s="33" t="s">
        <v>3066</v>
      </c>
      <c r="L458" s="33" t="s">
        <v>1947</v>
      </c>
      <c r="M458" s="33">
        <v>1.0</v>
      </c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39" t="s">
        <v>2604</v>
      </c>
      <c r="B459" s="39" t="s">
        <v>791</v>
      </c>
      <c r="C459" s="44">
        <v>106729.0</v>
      </c>
      <c r="D459" s="39" t="s">
        <v>3067</v>
      </c>
      <c r="E459" s="39"/>
      <c r="F459" s="39"/>
      <c r="G459" s="37" t="s">
        <v>1942</v>
      </c>
      <c r="H459" s="39"/>
      <c r="I459" s="37" t="s">
        <v>1942</v>
      </c>
      <c r="J459" s="38">
        <v>2100.0</v>
      </c>
      <c r="K459" s="37" t="s">
        <v>3066</v>
      </c>
      <c r="L459" s="37" t="s">
        <v>1947</v>
      </c>
      <c r="M459" s="37">
        <v>1.0</v>
      </c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32" t="s">
        <v>2604</v>
      </c>
      <c r="B460" s="32" t="s">
        <v>776</v>
      </c>
      <c r="C460" s="45">
        <v>106887.0</v>
      </c>
      <c r="D460" s="32" t="s">
        <v>3068</v>
      </c>
      <c r="E460" s="32"/>
      <c r="F460" s="32"/>
      <c r="G460" s="33" t="s">
        <v>1942</v>
      </c>
      <c r="H460" s="32"/>
      <c r="I460" s="33" t="s">
        <v>1942</v>
      </c>
      <c r="J460" s="35">
        <v>1344.0</v>
      </c>
      <c r="K460" s="33" t="s">
        <v>3069</v>
      </c>
      <c r="L460" s="33" t="s">
        <v>1947</v>
      </c>
      <c r="M460" s="33">
        <v>1.0</v>
      </c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39" t="s">
        <v>2604</v>
      </c>
      <c r="B461" s="39" t="s">
        <v>779</v>
      </c>
      <c r="C461" s="44">
        <v>104925.0</v>
      </c>
      <c r="D461" s="39" t="s">
        <v>3070</v>
      </c>
      <c r="E461" s="39"/>
      <c r="F461" s="39"/>
      <c r="G461" s="37" t="s">
        <v>1942</v>
      </c>
      <c r="H461" s="39"/>
      <c r="I461" s="37" t="s">
        <v>1942</v>
      </c>
      <c r="J461" s="38">
        <v>2772.0</v>
      </c>
      <c r="K461" s="37" t="s">
        <v>3071</v>
      </c>
      <c r="L461" s="37" t="s">
        <v>1947</v>
      </c>
      <c r="M461" s="37">
        <v>1.0</v>
      </c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32" t="s">
        <v>2604</v>
      </c>
      <c r="B462" s="32" t="s">
        <v>788</v>
      </c>
      <c r="C462" s="45">
        <v>106567.0</v>
      </c>
      <c r="D462" s="32" t="s">
        <v>3070</v>
      </c>
      <c r="E462" s="32"/>
      <c r="F462" s="32"/>
      <c r="G462" s="33" t="s">
        <v>1942</v>
      </c>
      <c r="H462" s="32"/>
      <c r="I462" s="33" t="s">
        <v>1942</v>
      </c>
      <c r="J462" s="35">
        <v>3528.0</v>
      </c>
      <c r="K462" s="33" t="s">
        <v>3072</v>
      </c>
      <c r="L462" s="33" t="s">
        <v>1947</v>
      </c>
      <c r="M462" s="33">
        <v>1.0</v>
      </c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25" t="s">
        <v>2604</v>
      </c>
      <c r="B463" s="39" t="s">
        <v>785</v>
      </c>
      <c r="C463" s="44">
        <v>106568.0</v>
      </c>
      <c r="D463" s="39" t="s">
        <v>3073</v>
      </c>
      <c r="E463" s="39"/>
      <c r="F463" s="39"/>
      <c r="G463" s="37" t="s">
        <v>1942</v>
      </c>
      <c r="H463" s="39"/>
      <c r="I463" s="37" t="s">
        <v>1942</v>
      </c>
      <c r="J463" s="38">
        <v>5544.0</v>
      </c>
      <c r="K463" s="37" t="s">
        <v>3074</v>
      </c>
      <c r="L463" s="37" t="s">
        <v>1947</v>
      </c>
      <c r="M463" s="37">
        <v>1.0</v>
      </c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20" t="s">
        <v>2604</v>
      </c>
      <c r="B464" s="32" t="s">
        <v>806</v>
      </c>
      <c r="C464" s="45" t="s">
        <v>807</v>
      </c>
      <c r="D464" s="32" t="s">
        <v>3075</v>
      </c>
      <c r="E464" s="32"/>
      <c r="F464" s="32"/>
      <c r="G464" s="33" t="s">
        <v>1942</v>
      </c>
      <c r="H464" s="32"/>
      <c r="I464" s="33" t="s">
        <v>1942</v>
      </c>
      <c r="J464" s="35">
        <v>10080.0</v>
      </c>
      <c r="K464" s="33" t="s">
        <v>3076</v>
      </c>
      <c r="L464" s="33" t="s">
        <v>1947</v>
      </c>
      <c r="M464" s="33">
        <v>1.0</v>
      </c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25" t="s">
        <v>2604</v>
      </c>
      <c r="B465" s="39" t="s">
        <v>813</v>
      </c>
      <c r="C465" s="44" t="s">
        <v>814</v>
      </c>
      <c r="D465" s="39" t="s">
        <v>3075</v>
      </c>
      <c r="E465" s="39"/>
      <c r="F465" s="39"/>
      <c r="G465" s="37" t="s">
        <v>1942</v>
      </c>
      <c r="H465" s="39"/>
      <c r="I465" s="37" t="s">
        <v>1942</v>
      </c>
      <c r="J465" s="38">
        <v>10080.0</v>
      </c>
      <c r="K465" s="37" t="s">
        <v>3076</v>
      </c>
      <c r="L465" s="37" t="s">
        <v>1947</v>
      </c>
      <c r="M465" s="37">
        <v>1.0</v>
      </c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20" t="s">
        <v>2604</v>
      </c>
      <c r="B466" s="32" t="s">
        <v>817</v>
      </c>
      <c r="C466" s="45" t="s">
        <v>818</v>
      </c>
      <c r="D466" s="32" t="s">
        <v>3075</v>
      </c>
      <c r="E466" s="32"/>
      <c r="F466" s="32"/>
      <c r="G466" s="33" t="s">
        <v>1942</v>
      </c>
      <c r="H466" s="32"/>
      <c r="I466" s="33" t="s">
        <v>1942</v>
      </c>
      <c r="J466" s="35">
        <v>10080.0</v>
      </c>
      <c r="K466" s="33" t="s">
        <v>3076</v>
      </c>
      <c r="L466" s="33" t="s">
        <v>1947</v>
      </c>
      <c r="M466" s="33">
        <v>1.0</v>
      </c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25" t="s">
        <v>2604</v>
      </c>
      <c r="B467" s="39" t="s">
        <v>3077</v>
      </c>
      <c r="C467" s="44" t="s">
        <v>25</v>
      </c>
      <c r="D467" s="39" t="s">
        <v>3078</v>
      </c>
      <c r="E467" s="39"/>
      <c r="F467" s="39"/>
      <c r="G467" s="37" t="s">
        <v>1942</v>
      </c>
      <c r="H467" s="39"/>
      <c r="I467" s="37" t="s">
        <v>1942</v>
      </c>
      <c r="J467" s="38">
        <v>1848.0</v>
      </c>
      <c r="K467" s="37" t="s">
        <v>3079</v>
      </c>
      <c r="L467" s="37" t="s">
        <v>1947</v>
      </c>
      <c r="M467" s="37">
        <v>1.0</v>
      </c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20" t="s">
        <v>2604</v>
      </c>
      <c r="B468" s="32" t="s">
        <v>3080</v>
      </c>
      <c r="C468" s="45" t="s">
        <v>764</v>
      </c>
      <c r="D468" s="32" t="s">
        <v>765</v>
      </c>
      <c r="E468" s="32"/>
      <c r="F468" s="32"/>
      <c r="G468" s="33" t="s">
        <v>1942</v>
      </c>
      <c r="H468" s="32"/>
      <c r="I468" s="33" t="s">
        <v>1942</v>
      </c>
      <c r="J468" s="35">
        <v>16800.0</v>
      </c>
      <c r="K468" s="33" t="s">
        <v>3081</v>
      </c>
      <c r="L468" s="33" t="s">
        <v>1947</v>
      </c>
      <c r="M468" s="33">
        <v>1.0</v>
      </c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25" t="s">
        <v>2604</v>
      </c>
      <c r="B469" s="39" t="s">
        <v>3082</v>
      </c>
      <c r="C469" s="44">
        <v>105772.0</v>
      </c>
      <c r="D469" s="39" t="s">
        <v>783</v>
      </c>
      <c r="E469" s="39"/>
      <c r="F469" s="39"/>
      <c r="G469" s="37" t="s">
        <v>1942</v>
      </c>
      <c r="H469" s="39"/>
      <c r="I469" s="37" t="s">
        <v>1942</v>
      </c>
      <c r="J469" s="38">
        <v>1176.0</v>
      </c>
      <c r="K469" s="37" t="s">
        <v>3064</v>
      </c>
      <c r="L469" s="37" t="s">
        <v>1947</v>
      </c>
      <c r="M469" s="37">
        <v>1.0</v>
      </c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20" t="s">
        <v>2604</v>
      </c>
      <c r="B470" s="32" t="s">
        <v>3083</v>
      </c>
      <c r="C470" s="45">
        <v>106729.0</v>
      </c>
      <c r="D470" s="32" t="s">
        <v>792</v>
      </c>
      <c r="E470" s="32"/>
      <c r="F470" s="32"/>
      <c r="G470" s="33" t="s">
        <v>1942</v>
      </c>
      <c r="H470" s="32"/>
      <c r="I470" s="33" t="s">
        <v>1942</v>
      </c>
      <c r="J470" s="35">
        <v>2100.0</v>
      </c>
      <c r="K470" s="33" t="s">
        <v>3066</v>
      </c>
      <c r="L470" s="33" t="s">
        <v>1947</v>
      </c>
      <c r="M470" s="33">
        <v>1.0</v>
      </c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25" t="s">
        <v>2604</v>
      </c>
      <c r="B471" s="39" t="s">
        <v>3084</v>
      </c>
      <c r="C471" s="44">
        <v>106727.0</v>
      </c>
      <c r="D471" s="39" t="s">
        <v>795</v>
      </c>
      <c r="E471" s="39"/>
      <c r="F471" s="39"/>
      <c r="G471" s="37" t="s">
        <v>1942</v>
      </c>
      <c r="H471" s="39"/>
      <c r="I471" s="37" t="s">
        <v>1942</v>
      </c>
      <c r="J471" s="38">
        <v>2100.0</v>
      </c>
      <c r="K471" s="37" t="s">
        <v>3066</v>
      </c>
      <c r="L471" s="37" t="s">
        <v>1947</v>
      </c>
      <c r="M471" s="37">
        <v>1.0</v>
      </c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20" t="s">
        <v>2604</v>
      </c>
      <c r="B472" s="32" t="s">
        <v>767</v>
      </c>
      <c r="C472" s="45">
        <v>104589.0</v>
      </c>
      <c r="D472" s="32" t="s">
        <v>3085</v>
      </c>
      <c r="E472" s="32"/>
      <c r="F472" s="32"/>
      <c r="G472" s="33" t="s">
        <v>1942</v>
      </c>
      <c r="H472" s="32"/>
      <c r="I472" s="33" t="s">
        <v>1942</v>
      </c>
      <c r="J472" s="35">
        <v>1092.0</v>
      </c>
      <c r="K472" s="33" t="s">
        <v>3086</v>
      </c>
      <c r="L472" s="33" t="s">
        <v>1947</v>
      </c>
      <c r="M472" s="33">
        <v>1.0</v>
      </c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25" t="s">
        <v>2604</v>
      </c>
      <c r="B473" s="46" t="s">
        <v>3087</v>
      </c>
      <c r="C473" s="44" t="s">
        <v>3088</v>
      </c>
      <c r="D473" s="39" t="s">
        <v>3089</v>
      </c>
      <c r="E473" s="39"/>
      <c r="F473" s="39"/>
      <c r="G473" s="37" t="s">
        <v>1942</v>
      </c>
      <c r="H473" s="39"/>
      <c r="I473" s="37" t="s">
        <v>1942</v>
      </c>
      <c r="J473" s="38">
        <v>7000.0</v>
      </c>
      <c r="K473" s="37" t="s">
        <v>3090</v>
      </c>
      <c r="L473" s="37" t="s">
        <v>1947</v>
      </c>
      <c r="M473" s="37">
        <v>1.0</v>
      </c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22" t="s">
        <v>2604</v>
      </c>
      <c r="B474" s="46" t="s">
        <v>3091</v>
      </c>
      <c r="C474" s="45" t="s">
        <v>3052</v>
      </c>
      <c r="D474" s="32" t="s">
        <v>3053</v>
      </c>
      <c r="E474" s="32"/>
      <c r="F474" s="32"/>
      <c r="G474" s="33" t="s">
        <v>1942</v>
      </c>
      <c r="H474" s="32"/>
      <c r="I474" s="33" t="s">
        <v>1942</v>
      </c>
      <c r="J474" s="35">
        <v>9000.0</v>
      </c>
      <c r="K474" s="33" t="s">
        <v>3092</v>
      </c>
      <c r="L474" s="33" t="s">
        <v>1947</v>
      </c>
      <c r="M474" s="33">
        <v>1.0</v>
      </c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25" t="s">
        <v>2604</v>
      </c>
      <c r="B475" s="46" t="s">
        <v>3087</v>
      </c>
      <c r="C475" s="44" t="s">
        <v>3093</v>
      </c>
      <c r="D475" s="39" t="s">
        <v>3089</v>
      </c>
      <c r="E475" s="39"/>
      <c r="F475" s="39"/>
      <c r="G475" s="37" t="s">
        <v>1942</v>
      </c>
      <c r="H475" s="39"/>
      <c r="I475" s="37" t="s">
        <v>1942</v>
      </c>
      <c r="J475" s="38">
        <v>7000.0</v>
      </c>
      <c r="K475" s="37" t="s">
        <v>3090</v>
      </c>
      <c r="L475" s="37" t="s">
        <v>1947</v>
      </c>
      <c r="M475" s="37">
        <v>1.0</v>
      </c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20" t="s">
        <v>2604</v>
      </c>
      <c r="B476" s="46" t="s">
        <v>3091</v>
      </c>
      <c r="C476" s="45" t="s">
        <v>3056</v>
      </c>
      <c r="D476" s="32" t="s">
        <v>3053</v>
      </c>
      <c r="E476" s="32"/>
      <c r="F476" s="32"/>
      <c r="G476" s="33" t="s">
        <v>1942</v>
      </c>
      <c r="H476" s="32"/>
      <c r="I476" s="33" t="s">
        <v>1942</v>
      </c>
      <c r="J476" s="35">
        <v>9000.0</v>
      </c>
      <c r="K476" s="33" t="s">
        <v>3092</v>
      </c>
      <c r="L476" s="33" t="s">
        <v>1947</v>
      </c>
      <c r="M476" s="33">
        <v>1.0</v>
      </c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25" t="s">
        <v>2604</v>
      </c>
      <c r="B477" s="39" t="s">
        <v>94</v>
      </c>
      <c r="C477" s="44" t="s">
        <v>95</v>
      </c>
      <c r="D477" s="39" t="s">
        <v>20</v>
      </c>
      <c r="E477" s="39"/>
      <c r="F477" s="39"/>
      <c r="G477" s="37" t="s">
        <v>1942</v>
      </c>
      <c r="H477" s="39"/>
      <c r="I477" s="37" t="s">
        <v>1942</v>
      </c>
      <c r="J477" s="38">
        <v>4550.0</v>
      </c>
      <c r="K477" s="37" t="s">
        <v>3094</v>
      </c>
      <c r="L477" s="37" t="s">
        <v>1947</v>
      </c>
      <c r="M477" s="37">
        <v>1.0</v>
      </c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20" t="s">
        <v>2604</v>
      </c>
      <c r="B478" s="32" t="s">
        <v>90</v>
      </c>
      <c r="C478" s="45" t="s">
        <v>91</v>
      </c>
      <c r="D478" s="32" t="s">
        <v>20</v>
      </c>
      <c r="E478" s="32"/>
      <c r="F478" s="32"/>
      <c r="G478" s="33" t="s">
        <v>1942</v>
      </c>
      <c r="H478" s="32"/>
      <c r="I478" s="33" t="s">
        <v>1942</v>
      </c>
      <c r="J478" s="35">
        <v>4550.0</v>
      </c>
      <c r="K478" s="33" t="s">
        <v>3094</v>
      </c>
      <c r="L478" s="33" t="s">
        <v>1947</v>
      </c>
      <c r="M478" s="33">
        <v>1.0</v>
      </c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25" t="s">
        <v>2604</v>
      </c>
      <c r="B479" s="39" t="s">
        <v>52</v>
      </c>
      <c r="C479" s="44">
        <v>108484.0</v>
      </c>
      <c r="D479" s="39" t="s">
        <v>3089</v>
      </c>
      <c r="E479" s="39"/>
      <c r="F479" s="39"/>
      <c r="G479" s="37" t="s">
        <v>1942</v>
      </c>
      <c r="H479" s="39"/>
      <c r="I479" s="37" t="s">
        <v>1942</v>
      </c>
      <c r="J479" s="38">
        <v>8400.0</v>
      </c>
      <c r="K479" s="37" t="s">
        <v>3095</v>
      </c>
      <c r="L479" s="37" t="s">
        <v>1947</v>
      </c>
      <c r="M479" s="37">
        <v>1.0</v>
      </c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20" t="s">
        <v>2604</v>
      </c>
      <c r="B480" s="32" t="s">
        <v>55</v>
      </c>
      <c r="C480" s="45">
        <v>108483.0</v>
      </c>
      <c r="D480" s="32" t="s">
        <v>3089</v>
      </c>
      <c r="E480" s="32"/>
      <c r="F480" s="32"/>
      <c r="G480" s="33" t="s">
        <v>1942</v>
      </c>
      <c r="H480" s="32"/>
      <c r="I480" s="33" t="s">
        <v>1942</v>
      </c>
      <c r="J480" s="35">
        <v>8400.0</v>
      </c>
      <c r="K480" s="33" t="s">
        <v>3095</v>
      </c>
      <c r="L480" s="33" t="s">
        <v>1947</v>
      </c>
      <c r="M480" s="33">
        <v>1.0</v>
      </c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25" t="s">
        <v>2604</v>
      </c>
      <c r="B481" s="39" t="s">
        <v>770</v>
      </c>
      <c r="C481" s="29">
        <v>104588.0</v>
      </c>
      <c r="D481" s="25" t="s">
        <v>3096</v>
      </c>
      <c r="E481" s="25"/>
      <c r="F481" s="25"/>
      <c r="G481" s="26" t="s">
        <v>1942</v>
      </c>
      <c r="H481" s="25"/>
      <c r="I481" s="26" t="s">
        <v>1942</v>
      </c>
      <c r="J481" s="28">
        <v>1092.0</v>
      </c>
      <c r="K481" s="26" t="s">
        <v>3086</v>
      </c>
      <c r="L481" s="26" t="s">
        <v>1947</v>
      </c>
      <c r="M481" s="37">
        <v>1.0</v>
      </c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20" t="s">
        <v>2604</v>
      </c>
      <c r="B482" s="32" t="s">
        <v>1883</v>
      </c>
      <c r="C482" s="30" t="s">
        <v>95</v>
      </c>
      <c r="D482" s="20" t="s">
        <v>96</v>
      </c>
      <c r="E482" s="20"/>
      <c r="F482" s="20"/>
      <c r="G482" s="22" t="s">
        <v>1942</v>
      </c>
      <c r="H482" s="20"/>
      <c r="I482" s="22" t="s">
        <v>1942</v>
      </c>
      <c r="J482" s="24">
        <v>4550.0</v>
      </c>
      <c r="K482" s="22" t="s">
        <v>3094</v>
      </c>
      <c r="L482" s="22" t="s">
        <v>1947</v>
      </c>
      <c r="M482" s="33">
        <v>1.0</v>
      </c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25" t="s">
        <v>2604</v>
      </c>
      <c r="B483" s="39" t="s">
        <v>1855</v>
      </c>
      <c r="C483" s="29">
        <v>105493.0</v>
      </c>
      <c r="D483" s="25" t="s">
        <v>1856</v>
      </c>
      <c r="E483" s="25"/>
      <c r="F483" s="25"/>
      <c r="G483" s="25"/>
      <c r="H483" s="25"/>
      <c r="I483" s="25"/>
      <c r="J483" s="26" t="s">
        <v>2659</v>
      </c>
      <c r="K483" s="25"/>
      <c r="L483" s="25"/>
      <c r="M483" s="37">
        <v>1.0</v>
      </c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20" t="s">
        <v>2604</v>
      </c>
      <c r="B484" s="32" t="s">
        <v>3097</v>
      </c>
      <c r="C484" s="30">
        <v>105007.0</v>
      </c>
      <c r="D484" s="20" t="s">
        <v>2624</v>
      </c>
      <c r="E484" s="20"/>
      <c r="F484" s="20"/>
      <c r="G484" s="20"/>
      <c r="H484" s="20"/>
      <c r="I484" s="20"/>
      <c r="J484" s="22" t="s">
        <v>2922</v>
      </c>
      <c r="K484" s="20"/>
      <c r="L484" s="20"/>
      <c r="M484" s="33">
        <v>1.0</v>
      </c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25" t="s">
        <v>2604</v>
      </c>
      <c r="B485" s="39" t="s">
        <v>1318</v>
      </c>
      <c r="C485" s="29" t="s">
        <v>1319</v>
      </c>
      <c r="D485" s="25" t="s">
        <v>3098</v>
      </c>
      <c r="E485" s="25"/>
      <c r="F485" s="25"/>
      <c r="G485" s="25"/>
      <c r="H485" s="25"/>
      <c r="I485" s="25"/>
      <c r="J485" s="28">
        <v>6497.0</v>
      </c>
      <c r="K485" s="25"/>
      <c r="L485" s="25"/>
      <c r="M485" s="37">
        <v>1.0</v>
      </c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20" t="s">
        <v>2604</v>
      </c>
      <c r="B486" s="32" t="s">
        <v>1322</v>
      </c>
      <c r="C486" s="30" t="s">
        <v>1323</v>
      </c>
      <c r="D486" s="20" t="s">
        <v>3099</v>
      </c>
      <c r="E486" s="20"/>
      <c r="F486" s="20"/>
      <c r="G486" s="20"/>
      <c r="H486" s="20"/>
      <c r="I486" s="20"/>
      <c r="J486" s="24">
        <v>7997.0</v>
      </c>
      <c r="K486" s="20"/>
      <c r="L486" s="20"/>
      <c r="M486" s="33">
        <v>1.0</v>
      </c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25" t="s">
        <v>2604</v>
      </c>
      <c r="B487" s="39" t="s">
        <v>1326</v>
      </c>
      <c r="C487" s="29" t="s">
        <v>1327</v>
      </c>
      <c r="D487" s="25" t="s">
        <v>3100</v>
      </c>
      <c r="E487" s="25"/>
      <c r="F487" s="25"/>
      <c r="G487" s="25"/>
      <c r="H487" s="25"/>
      <c r="I487" s="25"/>
      <c r="J487" s="28">
        <v>5998.0</v>
      </c>
      <c r="K487" s="25"/>
      <c r="L487" s="25"/>
      <c r="M487" s="37">
        <v>1.0</v>
      </c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20" t="s">
        <v>2604</v>
      </c>
      <c r="B488" s="32" t="s">
        <v>1314</v>
      </c>
      <c r="C488" s="30" t="s">
        <v>1315</v>
      </c>
      <c r="D488" s="20" t="s">
        <v>3101</v>
      </c>
      <c r="E488" s="20"/>
      <c r="F488" s="20"/>
      <c r="G488" s="20"/>
      <c r="H488" s="20"/>
      <c r="I488" s="20"/>
      <c r="J488" s="24">
        <v>3499.0</v>
      </c>
      <c r="K488" s="20"/>
      <c r="L488" s="20"/>
      <c r="M488" s="33">
        <v>1.0</v>
      </c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25" t="s">
        <v>2604</v>
      </c>
      <c r="B489" s="39" t="s">
        <v>1858</v>
      </c>
      <c r="C489" s="29">
        <v>104589.0</v>
      </c>
      <c r="D489" s="25" t="s">
        <v>768</v>
      </c>
      <c r="E489" s="25"/>
      <c r="F489" s="25"/>
      <c r="G489" s="25"/>
      <c r="H489" s="25"/>
      <c r="I489" s="25"/>
      <c r="J489" s="28">
        <v>1092.0</v>
      </c>
      <c r="K489" s="25"/>
      <c r="L489" s="25"/>
      <c r="M489" s="37">
        <v>1.0</v>
      </c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20" t="s">
        <v>2604</v>
      </c>
      <c r="B490" s="32" t="s">
        <v>3102</v>
      </c>
      <c r="C490" s="30">
        <v>104588.0</v>
      </c>
      <c r="D490" s="20" t="s">
        <v>771</v>
      </c>
      <c r="E490" s="20"/>
      <c r="F490" s="20"/>
      <c r="G490" s="20"/>
      <c r="H490" s="20"/>
      <c r="I490" s="20"/>
      <c r="J490" s="24">
        <v>1092.0</v>
      </c>
      <c r="K490" s="20"/>
      <c r="L490" s="20"/>
      <c r="M490" s="33">
        <v>1.0</v>
      </c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25" t="s">
        <v>2604</v>
      </c>
      <c r="B491" s="39" t="s">
        <v>1391</v>
      </c>
      <c r="C491" s="29">
        <v>105494.0</v>
      </c>
      <c r="D491" s="25" t="s">
        <v>2611</v>
      </c>
      <c r="E491" s="25"/>
      <c r="F491" s="25"/>
      <c r="G491" s="25"/>
      <c r="H491" s="25"/>
      <c r="I491" s="25"/>
      <c r="J491" s="26" t="s">
        <v>3103</v>
      </c>
      <c r="K491" s="25"/>
      <c r="L491" s="25"/>
      <c r="M491" s="37">
        <v>1.0</v>
      </c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20" t="s">
        <v>2604</v>
      </c>
      <c r="B492" s="32" t="s">
        <v>1429</v>
      </c>
      <c r="C492" s="30" t="s">
        <v>1430</v>
      </c>
      <c r="D492" s="20" t="s">
        <v>3104</v>
      </c>
      <c r="E492" s="20"/>
      <c r="F492" s="20"/>
      <c r="G492" s="20"/>
      <c r="H492" s="20"/>
      <c r="I492" s="20"/>
      <c r="J492" s="24">
        <v>3780.0</v>
      </c>
      <c r="K492" s="20"/>
      <c r="L492" s="20"/>
      <c r="M492" s="33">
        <v>1.0</v>
      </c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25" t="s">
        <v>2604</v>
      </c>
      <c r="B493" s="39" t="s">
        <v>1437</v>
      </c>
      <c r="C493" s="29" t="s">
        <v>1438</v>
      </c>
      <c r="D493" s="25" t="s">
        <v>3105</v>
      </c>
      <c r="E493" s="25"/>
      <c r="F493" s="25"/>
      <c r="G493" s="25"/>
      <c r="H493" s="25"/>
      <c r="I493" s="25"/>
      <c r="J493" s="28">
        <v>3360.0</v>
      </c>
      <c r="K493" s="25"/>
      <c r="L493" s="25"/>
      <c r="M493" s="37">
        <v>1.0</v>
      </c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20" t="s">
        <v>2604</v>
      </c>
      <c r="B494" s="32" t="s">
        <v>1417</v>
      </c>
      <c r="C494" s="30" t="s">
        <v>1418</v>
      </c>
      <c r="D494" s="20" t="s">
        <v>3106</v>
      </c>
      <c r="E494" s="20"/>
      <c r="F494" s="20"/>
      <c r="G494" s="20"/>
      <c r="H494" s="20"/>
      <c r="I494" s="20"/>
      <c r="J494" s="24">
        <v>5460.0</v>
      </c>
      <c r="K494" s="20"/>
      <c r="L494" s="20"/>
      <c r="M494" s="33">
        <v>1.0</v>
      </c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25" t="s">
        <v>2604</v>
      </c>
      <c r="B495" s="39" t="s">
        <v>1433</v>
      </c>
      <c r="C495" s="29" t="s">
        <v>1434</v>
      </c>
      <c r="D495" s="25" t="s">
        <v>3107</v>
      </c>
      <c r="E495" s="25"/>
      <c r="F495" s="25"/>
      <c r="G495" s="25"/>
      <c r="H495" s="25"/>
      <c r="I495" s="25"/>
      <c r="J495" s="28">
        <v>4550.0</v>
      </c>
      <c r="K495" s="25"/>
      <c r="L495" s="25"/>
      <c r="M495" s="37">
        <v>1.0</v>
      </c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20" t="s">
        <v>2604</v>
      </c>
      <c r="B496" s="32" t="s">
        <v>1413</v>
      </c>
      <c r="C496" s="30" t="s">
        <v>1414</v>
      </c>
      <c r="D496" s="20" t="s">
        <v>3108</v>
      </c>
      <c r="E496" s="20"/>
      <c r="F496" s="20"/>
      <c r="G496" s="20"/>
      <c r="H496" s="20"/>
      <c r="I496" s="20"/>
      <c r="J496" s="24">
        <v>5040.0</v>
      </c>
      <c r="K496" s="20"/>
      <c r="L496" s="20"/>
      <c r="M496" s="33">
        <v>1.0</v>
      </c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25" t="s">
        <v>2604</v>
      </c>
      <c r="B497" s="39" t="s">
        <v>1425</v>
      </c>
      <c r="C497" s="29" t="s">
        <v>1426</v>
      </c>
      <c r="D497" s="25" t="s">
        <v>3109</v>
      </c>
      <c r="E497" s="25"/>
      <c r="F497" s="25"/>
      <c r="G497" s="25"/>
      <c r="H497" s="25"/>
      <c r="I497" s="25"/>
      <c r="J497" s="28">
        <v>2940.0</v>
      </c>
      <c r="K497" s="25"/>
      <c r="L497" s="25"/>
      <c r="M497" s="37">
        <v>1.0</v>
      </c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20" t="s">
        <v>2604</v>
      </c>
      <c r="B498" s="32" t="s">
        <v>3110</v>
      </c>
      <c r="C498" s="30" t="s">
        <v>1562</v>
      </c>
      <c r="D498" s="20" t="s">
        <v>3111</v>
      </c>
      <c r="E498" s="20"/>
      <c r="F498" s="20"/>
      <c r="G498" s="20"/>
      <c r="H498" s="20"/>
      <c r="I498" s="20"/>
      <c r="J498" s="24">
        <v>4200.0</v>
      </c>
      <c r="K498" s="20"/>
      <c r="L498" s="20"/>
      <c r="M498" s="33">
        <v>1.0</v>
      </c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25" t="s">
        <v>2604</v>
      </c>
      <c r="B499" s="39" t="s">
        <v>1409</v>
      </c>
      <c r="C499" s="29" t="s">
        <v>1410</v>
      </c>
      <c r="D499" s="25" t="s">
        <v>3112</v>
      </c>
      <c r="E499" s="25"/>
      <c r="F499" s="25"/>
      <c r="G499" s="25"/>
      <c r="H499" s="25"/>
      <c r="I499" s="25"/>
      <c r="J499" s="28">
        <v>4550.0</v>
      </c>
      <c r="K499" s="25"/>
      <c r="L499" s="25"/>
      <c r="M499" s="37">
        <v>1.0</v>
      </c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20" t="s">
        <v>2604</v>
      </c>
      <c r="B500" s="32" t="s">
        <v>1421</v>
      </c>
      <c r="C500" s="30" t="s">
        <v>1422</v>
      </c>
      <c r="D500" s="20" t="s">
        <v>3113</v>
      </c>
      <c r="E500" s="20"/>
      <c r="F500" s="20"/>
      <c r="G500" s="20"/>
      <c r="H500" s="20"/>
      <c r="I500" s="20"/>
      <c r="J500" s="24">
        <v>1260.0</v>
      </c>
      <c r="K500" s="20"/>
      <c r="L500" s="20"/>
      <c r="M500" s="33">
        <v>1.0</v>
      </c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25" t="s">
        <v>2604</v>
      </c>
      <c r="B501" s="39" t="s">
        <v>1401</v>
      </c>
      <c r="C501" s="29" t="s">
        <v>1402</v>
      </c>
      <c r="D501" s="25" t="s">
        <v>3114</v>
      </c>
      <c r="E501" s="25"/>
      <c r="F501" s="25"/>
      <c r="G501" s="25"/>
      <c r="H501" s="25"/>
      <c r="I501" s="25"/>
      <c r="J501" s="28">
        <v>3780.0</v>
      </c>
      <c r="K501" s="25"/>
      <c r="L501" s="25"/>
      <c r="M501" s="37">
        <v>1.0</v>
      </c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20" t="s">
        <v>2604</v>
      </c>
      <c r="B502" s="32" t="s">
        <v>1397</v>
      </c>
      <c r="C502" s="30" t="s">
        <v>1398</v>
      </c>
      <c r="D502" s="20" t="s">
        <v>3111</v>
      </c>
      <c r="E502" s="20"/>
      <c r="F502" s="20"/>
      <c r="G502" s="20"/>
      <c r="H502" s="20"/>
      <c r="I502" s="20"/>
      <c r="J502" s="24">
        <v>3360.0</v>
      </c>
      <c r="K502" s="20"/>
      <c r="L502" s="20"/>
      <c r="M502" s="33">
        <v>1.0</v>
      </c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25" t="s">
        <v>2604</v>
      </c>
      <c r="B503" s="39" t="s">
        <v>1405</v>
      </c>
      <c r="C503" s="29" t="s">
        <v>1406</v>
      </c>
      <c r="D503" s="25" t="s">
        <v>3115</v>
      </c>
      <c r="E503" s="25"/>
      <c r="F503" s="25"/>
      <c r="G503" s="25"/>
      <c r="H503" s="25"/>
      <c r="I503" s="25"/>
      <c r="J503" s="28">
        <v>2520.0</v>
      </c>
      <c r="K503" s="25"/>
      <c r="L503" s="25"/>
      <c r="M503" s="37">
        <v>1.0</v>
      </c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20" t="s">
        <v>3116</v>
      </c>
      <c r="B504" s="32" t="s">
        <v>486</v>
      </c>
      <c r="C504" s="30" t="s">
        <v>487</v>
      </c>
      <c r="D504" s="20" t="s">
        <v>3117</v>
      </c>
      <c r="E504" s="22" t="s">
        <v>3118</v>
      </c>
      <c r="F504" s="23">
        <v>0.13</v>
      </c>
      <c r="G504" s="22" t="s">
        <v>3119</v>
      </c>
      <c r="H504" s="22" t="s">
        <v>2348</v>
      </c>
      <c r="I504" s="22" t="s">
        <v>3120</v>
      </c>
      <c r="J504" s="24">
        <v>25794.0</v>
      </c>
      <c r="K504" s="22" t="s">
        <v>3121</v>
      </c>
      <c r="L504" s="22" t="s">
        <v>3122</v>
      </c>
      <c r="M504" s="33">
        <v>1.0</v>
      </c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25" t="s">
        <v>3116</v>
      </c>
      <c r="B505" s="39" t="s">
        <v>3123</v>
      </c>
      <c r="C505" s="29" t="s">
        <v>479</v>
      </c>
      <c r="D505" s="25" t="s">
        <v>3124</v>
      </c>
      <c r="E505" s="26" t="s">
        <v>2546</v>
      </c>
      <c r="F505" s="27">
        <v>0.18</v>
      </c>
      <c r="G505" s="26" t="s">
        <v>3125</v>
      </c>
      <c r="H505" s="26" t="s">
        <v>1942</v>
      </c>
      <c r="I505" s="26" t="s">
        <v>3126</v>
      </c>
      <c r="J505" s="28">
        <v>13314.0</v>
      </c>
      <c r="K505" s="26" t="s">
        <v>3127</v>
      </c>
      <c r="L505" s="26" t="s">
        <v>3128</v>
      </c>
      <c r="M505" s="37">
        <v>1.0</v>
      </c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20" t="s">
        <v>3116</v>
      </c>
      <c r="B506" s="32" t="s">
        <v>482</v>
      </c>
      <c r="C506" s="30" t="s">
        <v>483</v>
      </c>
      <c r="D506" s="20" t="s">
        <v>3129</v>
      </c>
      <c r="E506" s="22" t="s">
        <v>2546</v>
      </c>
      <c r="F506" s="23">
        <v>0.13</v>
      </c>
      <c r="G506" s="22" t="s">
        <v>2547</v>
      </c>
      <c r="H506" s="22" t="s">
        <v>1942</v>
      </c>
      <c r="I506" s="22" t="s">
        <v>2548</v>
      </c>
      <c r="J506" s="24">
        <v>13614.0</v>
      </c>
      <c r="K506" s="22" t="s">
        <v>3130</v>
      </c>
      <c r="L506" s="22" t="s">
        <v>3131</v>
      </c>
      <c r="M506" s="33">
        <v>1.0</v>
      </c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25" t="s">
        <v>3116</v>
      </c>
      <c r="B507" s="39" t="s">
        <v>474</v>
      </c>
      <c r="C507" s="29" t="s">
        <v>475</v>
      </c>
      <c r="D507" s="25" t="s">
        <v>3132</v>
      </c>
      <c r="E507" s="26" t="s">
        <v>2546</v>
      </c>
      <c r="F507" s="27">
        <v>0.18</v>
      </c>
      <c r="G507" s="26" t="s">
        <v>3125</v>
      </c>
      <c r="H507" s="26" t="s">
        <v>1942</v>
      </c>
      <c r="I507" s="26" t="s">
        <v>3126</v>
      </c>
      <c r="J507" s="28">
        <v>12594.0</v>
      </c>
      <c r="K507" s="26" t="s">
        <v>3133</v>
      </c>
      <c r="L507" s="26" t="s">
        <v>3134</v>
      </c>
      <c r="M507" s="37">
        <v>1.0</v>
      </c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20" t="s">
        <v>3116</v>
      </c>
      <c r="B508" s="32" t="s">
        <v>470</v>
      </c>
      <c r="C508" s="30" t="s">
        <v>471</v>
      </c>
      <c r="D508" s="20" t="s">
        <v>472</v>
      </c>
      <c r="E508" s="22" t="s">
        <v>3135</v>
      </c>
      <c r="F508" s="23">
        <v>0.18</v>
      </c>
      <c r="G508" s="22" t="s">
        <v>3136</v>
      </c>
      <c r="H508" s="22" t="s">
        <v>1942</v>
      </c>
      <c r="I508" s="22" t="s">
        <v>3137</v>
      </c>
      <c r="J508" s="24">
        <v>8806.0</v>
      </c>
      <c r="K508" s="22" t="s">
        <v>3138</v>
      </c>
      <c r="L508" s="22" t="s">
        <v>3139</v>
      </c>
      <c r="M508" s="33">
        <v>1.0</v>
      </c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25" t="s">
        <v>3116</v>
      </c>
      <c r="B509" s="39" t="s">
        <v>3140</v>
      </c>
      <c r="C509" s="29" t="s">
        <v>475</v>
      </c>
      <c r="D509" s="25" t="s">
        <v>3141</v>
      </c>
      <c r="E509" s="26" t="s">
        <v>3142</v>
      </c>
      <c r="F509" s="27">
        <v>0.18</v>
      </c>
      <c r="G509" s="26" t="s">
        <v>3143</v>
      </c>
      <c r="H509" s="26" t="s">
        <v>1942</v>
      </c>
      <c r="I509" s="26" t="s">
        <v>3144</v>
      </c>
      <c r="J509" s="28">
        <v>12594.0</v>
      </c>
      <c r="K509" s="26" t="s">
        <v>2404</v>
      </c>
      <c r="L509" s="26" t="s">
        <v>3145</v>
      </c>
      <c r="M509" s="37">
        <v>1.0</v>
      </c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20" t="s">
        <v>3116</v>
      </c>
      <c r="B510" s="32" t="s">
        <v>3146</v>
      </c>
      <c r="C510" s="30" t="s">
        <v>471</v>
      </c>
      <c r="D510" s="20" t="s">
        <v>472</v>
      </c>
      <c r="E510" s="22" t="s">
        <v>3147</v>
      </c>
      <c r="F510" s="23">
        <v>0.18</v>
      </c>
      <c r="G510" s="22" t="s">
        <v>3148</v>
      </c>
      <c r="H510" s="22" t="s">
        <v>1942</v>
      </c>
      <c r="I510" s="22" t="s">
        <v>3149</v>
      </c>
      <c r="J510" s="24">
        <v>8806.0</v>
      </c>
      <c r="K510" s="22" t="s">
        <v>3150</v>
      </c>
      <c r="L510" s="22" t="s">
        <v>3151</v>
      </c>
      <c r="M510" s="33">
        <v>1.0</v>
      </c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25" t="s">
        <v>3116</v>
      </c>
      <c r="B511" s="39" t="s">
        <v>3152</v>
      </c>
      <c r="C511" s="29" t="s">
        <v>487</v>
      </c>
      <c r="D511" s="25" t="s">
        <v>3153</v>
      </c>
      <c r="E511" s="26" t="s">
        <v>3154</v>
      </c>
      <c r="F511" s="27">
        <v>0.13</v>
      </c>
      <c r="G511" s="26" t="s">
        <v>3155</v>
      </c>
      <c r="H511" s="26" t="s">
        <v>2348</v>
      </c>
      <c r="I511" s="26" t="s">
        <v>3156</v>
      </c>
      <c r="J511" s="28">
        <v>25794.0</v>
      </c>
      <c r="K511" s="26" t="s">
        <v>3157</v>
      </c>
      <c r="L511" s="26" t="s">
        <v>3158</v>
      </c>
      <c r="M511" s="37">
        <v>1.0</v>
      </c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20" t="s">
        <v>3116</v>
      </c>
      <c r="B512" s="32" t="s">
        <v>3159</v>
      </c>
      <c r="C512" s="30" t="s">
        <v>483</v>
      </c>
      <c r="D512" s="20" t="s">
        <v>3160</v>
      </c>
      <c r="E512" s="22" t="s">
        <v>3142</v>
      </c>
      <c r="F512" s="23">
        <v>0.13</v>
      </c>
      <c r="G512" s="22" t="s">
        <v>3161</v>
      </c>
      <c r="H512" s="22" t="s">
        <v>1942</v>
      </c>
      <c r="I512" s="22" t="s">
        <v>3162</v>
      </c>
      <c r="J512" s="24">
        <v>13614.0</v>
      </c>
      <c r="K512" s="22" t="s">
        <v>2261</v>
      </c>
      <c r="L512" s="22" t="s">
        <v>3163</v>
      </c>
      <c r="M512" s="33">
        <v>1.0</v>
      </c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25" t="s">
        <v>3116</v>
      </c>
      <c r="B513" s="39" t="s">
        <v>478</v>
      </c>
      <c r="C513" s="29" t="s">
        <v>479</v>
      </c>
      <c r="D513" s="25" t="s">
        <v>3124</v>
      </c>
      <c r="E513" s="26" t="s">
        <v>3142</v>
      </c>
      <c r="F513" s="27">
        <v>0.18</v>
      </c>
      <c r="G513" s="26" t="s">
        <v>3143</v>
      </c>
      <c r="H513" s="26" t="s">
        <v>1942</v>
      </c>
      <c r="I513" s="26" t="s">
        <v>3144</v>
      </c>
      <c r="J513" s="28">
        <v>13314.0</v>
      </c>
      <c r="K513" s="26" t="s">
        <v>3164</v>
      </c>
      <c r="L513" s="26" t="s">
        <v>3165</v>
      </c>
      <c r="M513" s="37">
        <v>1.0</v>
      </c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20" t="s">
        <v>3166</v>
      </c>
      <c r="B514" s="32" t="s">
        <v>3167</v>
      </c>
      <c r="C514" s="30" t="s">
        <v>432</v>
      </c>
      <c r="D514" s="20" t="s">
        <v>3168</v>
      </c>
      <c r="E514" s="22" t="s">
        <v>2301</v>
      </c>
      <c r="F514" s="23">
        <v>0.12</v>
      </c>
      <c r="G514" s="22" t="s">
        <v>3169</v>
      </c>
      <c r="H514" s="22" t="s">
        <v>1942</v>
      </c>
      <c r="I514" s="22" t="s">
        <v>3170</v>
      </c>
      <c r="J514" s="24">
        <v>2900.0</v>
      </c>
      <c r="K514" s="22" t="s">
        <v>3171</v>
      </c>
      <c r="L514" s="22" t="s">
        <v>3172</v>
      </c>
      <c r="M514" s="33">
        <v>1.0</v>
      </c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25" t="s">
        <v>3166</v>
      </c>
      <c r="B515" s="39" t="s">
        <v>3173</v>
      </c>
      <c r="C515" s="29" t="s">
        <v>467</v>
      </c>
      <c r="D515" s="25" t="s">
        <v>468</v>
      </c>
      <c r="E515" s="26" t="s">
        <v>3174</v>
      </c>
      <c r="F515" s="27">
        <v>0.12</v>
      </c>
      <c r="G515" s="26" t="s">
        <v>3175</v>
      </c>
      <c r="H515" s="26" t="s">
        <v>1942</v>
      </c>
      <c r="I515" s="26" t="s">
        <v>3176</v>
      </c>
      <c r="J515" s="28">
        <v>2836.0</v>
      </c>
      <c r="K515" s="26" t="s">
        <v>3177</v>
      </c>
      <c r="L515" s="26" t="s">
        <v>3178</v>
      </c>
      <c r="M515" s="37">
        <v>1.0</v>
      </c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20" t="s">
        <v>3166</v>
      </c>
      <c r="B516" s="32" t="s">
        <v>466</v>
      </c>
      <c r="C516" s="30" t="s">
        <v>467</v>
      </c>
      <c r="D516" s="20" t="s">
        <v>468</v>
      </c>
      <c r="E516" s="22" t="s">
        <v>3179</v>
      </c>
      <c r="F516" s="23">
        <v>0.17</v>
      </c>
      <c r="G516" s="22" t="s">
        <v>3180</v>
      </c>
      <c r="H516" s="22" t="s">
        <v>1942</v>
      </c>
      <c r="I516" s="22" t="s">
        <v>3181</v>
      </c>
      <c r="J516" s="24">
        <v>2836.0</v>
      </c>
      <c r="K516" s="22" t="s">
        <v>3182</v>
      </c>
      <c r="L516" s="22" t="s">
        <v>3183</v>
      </c>
      <c r="M516" s="33">
        <v>1.0</v>
      </c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25" t="s">
        <v>3166</v>
      </c>
      <c r="B517" s="39" t="s">
        <v>3184</v>
      </c>
      <c r="C517" s="29" t="s">
        <v>448</v>
      </c>
      <c r="D517" s="25" t="s">
        <v>449</v>
      </c>
      <c r="E517" s="26" t="s">
        <v>3185</v>
      </c>
      <c r="F517" s="27">
        <v>0.11</v>
      </c>
      <c r="G517" s="26" t="s">
        <v>3186</v>
      </c>
      <c r="H517" s="26" t="s">
        <v>1942</v>
      </c>
      <c r="I517" s="26" t="s">
        <v>3187</v>
      </c>
      <c r="J517" s="28">
        <v>10578.0</v>
      </c>
      <c r="K517" s="26" t="s">
        <v>3188</v>
      </c>
      <c r="L517" s="26" t="s">
        <v>3189</v>
      </c>
      <c r="M517" s="37">
        <v>1.0</v>
      </c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20" t="s">
        <v>3166</v>
      </c>
      <c r="B518" s="32" t="s">
        <v>3190</v>
      </c>
      <c r="C518" s="30" t="s">
        <v>463</v>
      </c>
      <c r="D518" s="20" t="s">
        <v>3191</v>
      </c>
      <c r="E518" s="22" t="s">
        <v>2764</v>
      </c>
      <c r="F518" s="23">
        <v>0.16</v>
      </c>
      <c r="G518" s="22" t="s">
        <v>3192</v>
      </c>
      <c r="H518" s="22" t="s">
        <v>1942</v>
      </c>
      <c r="I518" s="22" t="s">
        <v>3193</v>
      </c>
      <c r="J518" s="24">
        <v>3251.0</v>
      </c>
      <c r="K518" s="22" t="s">
        <v>3194</v>
      </c>
      <c r="L518" s="22" t="s">
        <v>3195</v>
      </c>
      <c r="M518" s="33">
        <v>1.0</v>
      </c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25" t="s">
        <v>3166</v>
      </c>
      <c r="B519" s="39" t="s">
        <v>462</v>
      </c>
      <c r="C519" s="29" t="s">
        <v>463</v>
      </c>
      <c r="D519" s="25" t="s">
        <v>464</v>
      </c>
      <c r="E519" s="26" t="s">
        <v>3196</v>
      </c>
      <c r="F519" s="27">
        <v>0.16</v>
      </c>
      <c r="G519" s="26" t="s">
        <v>3197</v>
      </c>
      <c r="H519" s="26" t="s">
        <v>1942</v>
      </c>
      <c r="I519" s="26" t="s">
        <v>3198</v>
      </c>
      <c r="J519" s="28">
        <v>3251.0</v>
      </c>
      <c r="K519" s="26" t="s">
        <v>3199</v>
      </c>
      <c r="L519" s="26" t="s">
        <v>3200</v>
      </c>
      <c r="M519" s="37">
        <v>1.0</v>
      </c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20" t="s">
        <v>3166</v>
      </c>
      <c r="B520" s="32" t="s">
        <v>3201</v>
      </c>
      <c r="C520" s="30" t="s">
        <v>436</v>
      </c>
      <c r="D520" s="20" t="s">
        <v>3202</v>
      </c>
      <c r="E520" s="22" t="s">
        <v>3203</v>
      </c>
      <c r="F520" s="23">
        <v>0.12</v>
      </c>
      <c r="G520" s="22" t="s">
        <v>3204</v>
      </c>
      <c r="H520" s="22" t="s">
        <v>1942</v>
      </c>
      <c r="I520" s="22" t="s">
        <v>3205</v>
      </c>
      <c r="J520" s="24">
        <v>2900.0</v>
      </c>
      <c r="K520" s="22" t="s">
        <v>3206</v>
      </c>
      <c r="L520" s="22" t="s">
        <v>3207</v>
      </c>
      <c r="M520" s="33">
        <v>1.0</v>
      </c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25" t="s">
        <v>3166</v>
      </c>
      <c r="B521" s="39" t="s">
        <v>3208</v>
      </c>
      <c r="C521" s="29" t="s">
        <v>459</v>
      </c>
      <c r="D521" s="25" t="s">
        <v>3209</v>
      </c>
      <c r="E521" s="26" t="s">
        <v>3210</v>
      </c>
      <c r="F521" s="27">
        <v>0.16</v>
      </c>
      <c r="G521" s="26" t="s">
        <v>3211</v>
      </c>
      <c r="H521" s="26" t="s">
        <v>1942</v>
      </c>
      <c r="I521" s="26" t="s">
        <v>3212</v>
      </c>
      <c r="J521" s="28">
        <v>6716.0</v>
      </c>
      <c r="K521" s="26" t="s">
        <v>3213</v>
      </c>
      <c r="L521" s="26" t="s">
        <v>3214</v>
      </c>
      <c r="M521" s="37">
        <v>1.0</v>
      </c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20" t="s">
        <v>3166</v>
      </c>
      <c r="B522" s="32" t="s">
        <v>3215</v>
      </c>
      <c r="C522" s="30" t="s">
        <v>455</v>
      </c>
      <c r="D522" s="20" t="s">
        <v>456</v>
      </c>
      <c r="E522" s="22" t="s">
        <v>2270</v>
      </c>
      <c r="F522" s="23">
        <v>0.12</v>
      </c>
      <c r="G522" s="22" t="s">
        <v>3216</v>
      </c>
      <c r="H522" s="22" t="s">
        <v>1942</v>
      </c>
      <c r="I522" s="22" t="s">
        <v>3217</v>
      </c>
      <c r="J522" s="24">
        <v>3911.0</v>
      </c>
      <c r="K522" s="22" t="s">
        <v>3218</v>
      </c>
      <c r="L522" s="22" t="s">
        <v>3219</v>
      </c>
      <c r="M522" s="33">
        <v>1.0</v>
      </c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25" t="s">
        <v>3166</v>
      </c>
      <c r="B523" s="39" t="s">
        <v>3220</v>
      </c>
      <c r="C523" s="29" t="s">
        <v>440</v>
      </c>
      <c r="D523" s="25" t="s">
        <v>3221</v>
      </c>
      <c r="E523" s="26" t="s">
        <v>3203</v>
      </c>
      <c r="F523" s="27">
        <v>0.12</v>
      </c>
      <c r="G523" s="26" t="s">
        <v>3204</v>
      </c>
      <c r="H523" s="26" t="s">
        <v>1942</v>
      </c>
      <c r="I523" s="26" t="s">
        <v>3205</v>
      </c>
      <c r="J523" s="28">
        <v>2836.0</v>
      </c>
      <c r="K523" s="26" t="s">
        <v>3222</v>
      </c>
      <c r="L523" s="26" t="s">
        <v>3223</v>
      </c>
      <c r="M523" s="37">
        <v>1.0</v>
      </c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20" t="s">
        <v>3166</v>
      </c>
      <c r="B524" s="32" t="s">
        <v>458</v>
      </c>
      <c r="C524" s="30" t="s">
        <v>459</v>
      </c>
      <c r="D524" s="20" t="s">
        <v>460</v>
      </c>
      <c r="E524" s="22" t="s">
        <v>3210</v>
      </c>
      <c r="F524" s="23">
        <v>0.16</v>
      </c>
      <c r="G524" s="22" t="s">
        <v>3211</v>
      </c>
      <c r="H524" s="22" t="s">
        <v>1942</v>
      </c>
      <c r="I524" s="22" t="s">
        <v>3212</v>
      </c>
      <c r="J524" s="24">
        <v>6716.0</v>
      </c>
      <c r="K524" s="22" t="s">
        <v>3213</v>
      </c>
      <c r="L524" s="22" t="s">
        <v>3214</v>
      </c>
      <c r="M524" s="33">
        <v>1.0</v>
      </c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25" t="s">
        <v>3166</v>
      </c>
      <c r="B525" s="39" t="s">
        <v>3224</v>
      </c>
      <c r="C525" s="29">
        <v>7.804918450949E12</v>
      </c>
      <c r="D525" s="25" t="s">
        <v>452</v>
      </c>
      <c r="E525" s="26" t="s">
        <v>3225</v>
      </c>
      <c r="F525" s="27">
        <v>0.16</v>
      </c>
      <c r="G525" s="26" t="s">
        <v>3226</v>
      </c>
      <c r="H525" s="26" t="s">
        <v>1942</v>
      </c>
      <c r="I525" s="26" t="s">
        <v>3227</v>
      </c>
      <c r="J525" s="28">
        <v>10073.0</v>
      </c>
      <c r="K525" s="26" t="s">
        <v>3228</v>
      </c>
      <c r="L525" s="26" t="s">
        <v>3229</v>
      </c>
      <c r="M525" s="37">
        <v>1.0</v>
      </c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20" t="s">
        <v>3166</v>
      </c>
      <c r="B526" s="32" t="s">
        <v>454</v>
      </c>
      <c r="C526" s="30" t="s">
        <v>455</v>
      </c>
      <c r="D526" s="20" t="s">
        <v>456</v>
      </c>
      <c r="E526" s="22" t="s">
        <v>2270</v>
      </c>
      <c r="F526" s="23">
        <v>0.12</v>
      </c>
      <c r="G526" s="22" t="s">
        <v>3216</v>
      </c>
      <c r="H526" s="22" t="s">
        <v>1942</v>
      </c>
      <c r="I526" s="22" t="s">
        <v>3217</v>
      </c>
      <c r="J526" s="24">
        <v>3911.0</v>
      </c>
      <c r="K526" s="22" t="s">
        <v>3218</v>
      </c>
      <c r="L526" s="22" t="s">
        <v>3219</v>
      </c>
      <c r="M526" s="33">
        <v>1.0</v>
      </c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25" t="s">
        <v>3166</v>
      </c>
      <c r="B527" s="39" t="s">
        <v>451</v>
      </c>
      <c r="C527" s="29">
        <v>7.804918450949E12</v>
      </c>
      <c r="D527" s="25" t="s">
        <v>452</v>
      </c>
      <c r="E527" s="26" t="s">
        <v>3225</v>
      </c>
      <c r="F527" s="27">
        <v>0.16</v>
      </c>
      <c r="G527" s="26" t="s">
        <v>3226</v>
      </c>
      <c r="H527" s="26" t="s">
        <v>1942</v>
      </c>
      <c r="I527" s="26" t="s">
        <v>3227</v>
      </c>
      <c r="J527" s="28">
        <v>10073.0</v>
      </c>
      <c r="K527" s="26" t="s">
        <v>3228</v>
      </c>
      <c r="L527" s="26" t="s">
        <v>3229</v>
      </c>
      <c r="M527" s="37">
        <v>1.0</v>
      </c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20" t="s">
        <v>3166</v>
      </c>
      <c r="B528" s="32" t="s">
        <v>447</v>
      </c>
      <c r="C528" s="30" t="s">
        <v>448</v>
      </c>
      <c r="D528" s="20" t="s">
        <v>449</v>
      </c>
      <c r="E528" s="22" t="s">
        <v>3230</v>
      </c>
      <c r="F528" s="23">
        <v>0.16</v>
      </c>
      <c r="G528" s="22" t="s">
        <v>3231</v>
      </c>
      <c r="H528" s="22" t="s">
        <v>1942</v>
      </c>
      <c r="I528" s="22" t="s">
        <v>3232</v>
      </c>
      <c r="J528" s="24">
        <v>10578.0</v>
      </c>
      <c r="K528" s="22" t="s">
        <v>3233</v>
      </c>
      <c r="L528" s="22" t="s">
        <v>3234</v>
      </c>
      <c r="M528" s="33">
        <v>1.0</v>
      </c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25" t="s">
        <v>3166</v>
      </c>
      <c r="B529" s="39" t="s">
        <v>3235</v>
      </c>
      <c r="C529" s="29" t="s">
        <v>444</v>
      </c>
      <c r="D529" s="25" t="s">
        <v>445</v>
      </c>
      <c r="E529" s="26" t="s">
        <v>3236</v>
      </c>
      <c r="F529" s="27">
        <v>0.13</v>
      </c>
      <c r="G529" s="26" t="s">
        <v>3237</v>
      </c>
      <c r="H529" s="26" t="s">
        <v>1942</v>
      </c>
      <c r="I529" s="26" t="s">
        <v>3238</v>
      </c>
      <c r="J529" s="28">
        <v>6381.0</v>
      </c>
      <c r="K529" s="26" t="s">
        <v>3239</v>
      </c>
      <c r="L529" s="26" t="s">
        <v>3240</v>
      </c>
      <c r="M529" s="37">
        <v>1.0</v>
      </c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20" t="s">
        <v>3166</v>
      </c>
      <c r="B530" s="32" t="s">
        <v>443</v>
      </c>
      <c r="C530" s="30" t="s">
        <v>444</v>
      </c>
      <c r="D530" s="20" t="s">
        <v>445</v>
      </c>
      <c r="E530" s="22" t="s">
        <v>3236</v>
      </c>
      <c r="F530" s="23">
        <v>0.13</v>
      </c>
      <c r="G530" s="22" t="s">
        <v>3237</v>
      </c>
      <c r="H530" s="22" t="s">
        <v>1942</v>
      </c>
      <c r="I530" s="22" t="s">
        <v>3238</v>
      </c>
      <c r="J530" s="24">
        <v>6381.0</v>
      </c>
      <c r="K530" s="22" t="s">
        <v>3239</v>
      </c>
      <c r="L530" s="22" t="s">
        <v>3240</v>
      </c>
      <c r="M530" s="33">
        <v>1.0</v>
      </c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25" t="s">
        <v>3166</v>
      </c>
      <c r="B531" s="39" t="s">
        <v>439</v>
      </c>
      <c r="C531" s="29" t="s">
        <v>440</v>
      </c>
      <c r="D531" s="25" t="s">
        <v>441</v>
      </c>
      <c r="E531" s="26" t="s">
        <v>3203</v>
      </c>
      <c r="F531" s="27">
        <v>0.12</v>
      </c>
      <c r="G531" s="26" t="s">
        <v>3204</v>
      </c>
      <c r="H531" s="26" t="s">
        <v>1942</v>
      </c>
      <c r="I531" s="26" t="s">
        <v>3205</v>
      </c>
      <c r="J531" s="28">
        <v>2836.0</v>
      </c>
      <c r="K531" s="26" t="s">
        <v>3222</v>
      </c>
      <c r="L531" s="26" t="s">
        <v>3223</v>
      </c>
      <c r="M531" s="37">
        <v>1.0</v>
      </c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20" t="s">
        <v>3166</v>
      </c>
      <c r="B532" s="32" t="s">
        <v>435</v>
      </c>
      <c r="C532" s="30" t="s">
        <v>436</v>
      </c>
      <c r="D532" s="20" t="s">
        <v>437</v>
      </c>
      <c r="E532" s="22" t="s">
        <v>3203</v>
      </c>
      <c r="F532" s="23">
        <v>0.12</v>
      </c>
      <c r="G532" s="22" t="s">
        <v>3204</v>
      </c>
      <c r="H532" s="22" t="s">
        <v>1942</v>
      </c>
      <c r="I532" s="22" t="s">
        <v>3205</v>
      </c>
      <c r="J532" s="24">
        <v>2900.0</v>
      </c>
      <c r="K532" s="22" t="s">
        <v>3206</v>
      </c>
      <c r="L532" s="22" t="s">
        <v>3207</v>
      </c>
      <c r="M532" s="33">
        <v>1.0</v>
      </c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25" t="s">
        <v>3166</v>
      </c>
      <c r="B533" s="39" t="s">
        <v>431</v>
      </c>
      <c r="C533" s="29" t="s">
        <v>432</v>
      </c>
      <c r="D533" s="25" t="s">
        <v>3168</v>
      </c>
      <c r="E533" s="26" t="s">
        <v>2301</v>
      </c>
      <c r="F533" s="27">
        <v>0.12</v>
      </c>
      <c r="G533" s="26" t="s">
        <v>3169</v>
      </c>
      <c r="H533" s="26" t="s">
        <v>1942</v>
      </c>
      <c r="I533" s="26" t="s">
        <v>3170</v>
      </c>
      <c r="J533" s="28">
        <v>2900.0</v>
      </c>
      <c r="K533" s="26" t="s">
        <v>3171</v>
      </c>
      <c r="L533" s="26" t="s">
        <v>3172</v>
      </c>
      <c r="M533" s="37">
        <v>1.0</v>
      </c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20" t="s">
        <v>3166</v>
      </c>
      <c r="B534" s="32" t="s">
        <v>3241</v>
      </c>
      <c r="C534" s="30">
        <v>7.804918402375E12</v>
      </c>
      <c r="D534" s="20" t="s">
        <v>619</v>
      </c>
      <c r="E534" s="22" t="s">
        <v>3242</v>
      </c>
      <c r="F534" s="23">
        <v>0.16</v>
      </c>
      <c r="G534" s="22" t="s">
        <v>3243</v>
      </c>
      <c r="H534" s="22" t="s">
        <v>1942</v>
      </c>
      <c r="I534" s="22" t="s">
        <v>3244</v>
      </c>
      <c r="J534" s="24">
        <v>3298.0</v>
      </c>
      <c r="K534" s="22" t="s">
        <v>3245</v>
      </c>
      <c r="L534" s="22" t="s">
        <v>3246</v>
      </c>
      <c r="M534" s="33">
        <v>1.0</v>
      </c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25" t="s">
        <v>3166</v>
      </c>
      <c r="B535" s="39" t="s">
        <v>618</v>
      </c>
      <c r="C535" s="29">
        <v>7.804918402375E12</v>
      </c>
      <c r="D535" s="25" t="s">
        <v>619</v>
      </c>
      <c r="E535" s="26" t="s">
        <v>2764</v>
      </c>
      <c r="F535" s="27">
        <v>0.16</v>
      </c>
      <c r="G535" s="26" t="s">
        <v>3192</v>
      </c>
      <c r="H535" s="26" t="s">
        <v>1942</v>
      </c>
      <c r="I535" s="26" t="s">
        <v>3193</v>
      </c>
      <c r="J535" s="28">
        <v>3298.0</v>
      </c>
      <c r="K535" s="26" t="s">
        <v>3247</v>
      </c>
      <c r="L535" s="26" t="s">
        <v>3248</v>
      </c>
      <c r="M535" s="37">
        <v>1.0</v>
      </c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20" t="s">
        <v>3166</v>
      </c>
      <c r="B536" s="32" t="s">
        <v>3249</v>
      </c>
      <c r="C536" s="30">
        <v>7.804918404034E12</v>
      </c>
      <c r="D536" s="20" t="s">
        <v>667</v>
      </c>
      <c r="E536" s="22" t="s">
        <v>3250</v>
      </c>
      <c r="F536" s="23">
        <v>0.16</v>
      </c>
      <c r="G536" s="22" t="s">
        <v>3251</v>
      </c>
      <c r="H536" s="22" t="s">
        <v>1942</v>
      </c>
      <c r="I536" s="22" t="s">
        <v>3252</v>
      </c>
      <c r="J536" s="24">
        <v>2943.0</v>
      </c>
      <c r="K536" s="22" t="s">
        <v>3253</v>
      </c>
      <c r="L536" s="22" t="s">
        <v>3254</v>
      </c>
      <c r="M536" s="33">
        <v>1.0</v>
      </c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25" t="s">
        <v>3166</v>
      </c>
      <c r="B537" s="39" t="s">
        <v>666</v>
      </c>
      <c r="C537" s="29">
        <v>7.804918404034E12</v>
      </c>
      <c r="D537" s="25" t="s">
        <v>667</v>
      </c>
      <c r="E537" s="26" t="s">
        <v>3250</v>
      </c>
      <c r="F537" s="27">
        <v>0.16</v>
      </c>
      <c r="G537" s="26" t="s">
        <v>3251</v>
      </c>
      <c r="H537" s="26" t="s">
        <v>1942</v>
      </c>
      <c r="I537" s="26" t="s">
        <v>3252</v>
      </c>
      <c r="J537" s="28">
        <v>2943.0</v>
      </c>
      <c r="K537" s="26" t="s">
        <v>3253</v>
      </c>
      <c r="L537" s="26" t="s">
        <v>3254</v>
      </c>
      <c r="M537" s="37">
        <v>1.0</v>
      </c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20" t="s">
        <v>3166</v>
      </c>
      <c r="B538" s="32" t="s">
        <v>3255</v>
      </c>
      <c r="C538" s="30">
        <v>7.804918453384E12</v>
      </c>
      <c r="D538" s="20" t="s">
        <v>3256</v>
      </c>
      <c r="E538" s="22" t="s">
        <v>3257</v>
      </c>
      <c r="F538" s="23">
        <v>0.18</v>
      </c>
      <c r="G538" s="22" t="s">
        <v>3258</v>
      </c>
      <c r="H538" s="22" t="s">
        <v>1942</v>
      </c>
      <c r="I538" s="22" t="s">
        <v>3259</v>
      </c>
      <c r="J538" s="24">
        <v>8339.0</v>
      </c>
      <c r="K538" s="22" t="s">
        <v>3260</v>
      </c>
      <c r="L538" s="22" t="s">
        <v>3261</v>
      </c>
      <c r="M538" s="33">
        <v>1.0</v>
      </c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25" t="s">
        <v>3166</v>
      </c>
      <c r="B539" s="39" t="s">
        <v>719</v>
      </c>
      <c r="C539" s="29">
        <v>7.804918453384E12</v>
      </c>
      <c r="D539" s="25" t="s">
        <v>3256</v>
      </c>
      <c r="E539" s="26" t="s">
        <v>3257</v>
      </c>
      <c r="F539" s="27">
        <v>0.18</v>
      </c>
      <c r="G539" s="26" t="s">
        <v>3258</v>
      </c>
      <c r="H539" s="26" t="s">
        <v>1942</v>
      </c>
      <c r="I539" s="26" t="s">
        <v>3259</v>
      </c>
      <c r="J539" s="28">
        <v>8339.0</v>
      </c>
      <c r="K539" s="26" t="s">
        <v>3260</v>
      </c>
      <c r="L539" s="26" t="s">
        <v>3261</v>
      </c>
      <c r="M539" s="37">
        <v>1.0</v>
      </c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20" t="s">
        <v>3166</v>
      </c>
      <c r="B540" s="32" t="s">
        <v>706</v>
      </c>
      <c r="C540" s="30">
        <v>7.804918451595E12</v>
      </c>
      <c r="D540" s="20" t="s">
        <v>707</v>
      </c>
      <c r="E540" s="22" t="s">
        <v>3262</v>
      </c>
      <c r="F540" s="23">
        <v>0.16</v>
      </c>
      <c r="G540" s="22" t="s">
        <v>3263</v>
      </c>
      <c r="H540" s="22" t="s">
        <v>1942</v>
      </c>
      <c r="I540" s="22" t="s">
        <v>3264</v>
      </c>
      <c r="J540" s="24">
        <v>11389.0</v>
      </c>
      <c r="K540" s="22" t="s">
        <v>3265</v>
      </c>
      <c r="L540" s="22" t="s">
        <v>3266</v>
      </c>
      <c r="M540" s="33">
        <v>1.0</v>
      </c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25" t="s">
        <v>3166</v>
      </c>
      <c r="B541" s="39" t="s">
        <v>3267</v>
      </c>
      <c r="C541" s="29">
        <v>7.804918451595E12</v>
      </c>
      <c r="D541" s="25" t="s">
        <v>707</v>
      </c>
      <c r="E541" s="26" t="s">
        <v>3262</v>
      </c>
      <c r="F541" s="27">
        <v>0.16</v>
      </c>
      <c r="G541" s="26" t="s">
        <v>3263</v>
      </c>
      <c r="H541" s="26" t="s">
        <v>1942</v>
      </c>
      <c r="I541" s="26" t="s">
        <v>3264</v>
      </c>
      <c r="J541" s="28">
        <v>11389.0</v>
      </c>
      <c r="K541" s="26" t="s">
        <v>3265</v>
      </c>
      <c r="L541" s="26" t="s">
        <v>3266</v>
      </c>
      <c r="M541" s="37">
        <v>1.0</v>
      </c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20" t="s">
        <v>3166</v>
      </c>
      <c r="B542" s="32" t="s">
        <v>713</v>
      </c>
      <c r="C542" s="30">
        <v>7.804918450956E12</v>
      </c>
      <c r="D542" s="20" t="s">
        <v>714</v>
      </c>
      <c r="E542" s="22" t="s">
        <v>2527</v>
      </c>
      <c r="F542" s="23">
        <v>0.16</v>
      </c>
      <c r="G542" s="22" t="s">
        <v>3268</v>
      </c>
      <c r="H542" s="22" t="s">
        <v>1942</v>
      </c>
      <c r="I542" s="22" t="s">
        <v>3269</v>
      </c>
      <c r="J542" s="24">
        <v>8041.0</v>
      </c>
      <c r="K542" s="22" t="s">
        <v>3270</v>
      </c>
      <c r="L542" s="22" t="s">
        <v>3271</v>
      </c>
      <c r="M542" s="33">
        <v>1.0</v>
      </c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25" t="s">
        <v>3166</v>
      </c>
      <c r="B543" s="39" t="s">
        <v>3272</v>
      </c>
      <c r="C543" s="29">
        <v>7.804918450956E12</v>
      </c>
      <c r="D543" s="25" t="s">
        <v>714</v>
      </c>
      <c r="E543" s="26" t="s">
        <v>2527</v>
      </c>
      <c r="F543" s="27">
        <v>0.16</v>
      </c>
      <c r="G543" s="26" t="s">
        <v>3268</v>
      </c>
      <c r="H543" s="26" t="s">
        <v>1942</v>
      </c>
      <c r="I543" s="26" t="s">
        <v>3269</v>
      </c>
      <c r="J543" s="28">
        <v>8041.0</v>
      </c>
      <c r="K543" s="26" t="s">
        <v>3270</v>
      </c>
      <c r="L543" s="26" t="s">
        <v>3271</v>
      </c>
      <c r="M543" s="37">
        <v>1.0</v>
      </c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20" t="s">
        <v>3166</v>
      </c>
      <c r="B544" s="32" t="s">
        <v>722</v>
      </c>
      <c r="C544" s="30">
        <v>7.804918451847E12</v>
      </c>
      <c r="D544" s="20" t="s">
        <v>723</v>
      </c>
      <c r="E544" s="22" t="s">
        <v>3210</v>
      </c>
      <c r="F544" s="23">
        <v>0.16</v>
      </c>
      <c r="G544" s="22" t="s">
        <v>3211</v>
      </c>
      <c r="H544" s="22" t="s">
        <v>1942</v>
      </c>
      <c r="I544" s="22" t="s">
        <v>3212</v>
      </c>
      <c r="J544" s="24">
        <v>6566.0</v>
      </c>
      <c r="K544" s="22" t="s">
        <v>3273</v>
      </c>
      <c r="L544" s="22" t="s">
        <v>3274</v>
      </c>
      <c r="M544" s="33">
        <v>1.0</v>
      </c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25" t="s">
        <v>3166</v>
      </c>
      <c r="B545" s="39" t="s">
        <v>3275</v>
      </c>
      <c r="C545" s="29">
        <v>7.804918451847E12</v>
      </c>
      <c r="D545" s="25" t="s">
        <v>723</v>
      </c>
      <c r="E545" s="26" t="s">
        <v>3210</v>
      </c>
      <c r="F545" s="27">
        <v>0.16</v>
      </c>
      <c r="G545" s="26" t="s">
        <v>3211</v>
      </c>
      <c r="H545" s="26" t="s">
        <v>1942</v>
      </c>
      <c r="I545" s="26" t="s">
        <v>3212</v>
      </c>
      <c r="J545" s="28">
        <v>6566.0</v>
      </c>
      <c r="K545" s="26" t="s">
        <v>3273</v>
      </c>
      <c r="L545" s="26" t="s">
        <v>3274</v>
      </c>
      <c r="M545" s="37">
        <v>1.0</v>
      </c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20" t="s">
        <v>3166</v>
      </c>
      <c r="B546" s="32" t="s">
        <v>3276</v>
      </c>
      <c r="C546" s="30">
        <v>7.804918401651E12</v>
      </c>
      <c r="D546" s="20" t="s">
        <v>704</v>
      </c>
      <c r="E546" s="22" t="s">
        <v>3277</v>
      </c>
      <c r="F546" s="23">
        <v>0.16</v>
      </c>
      <c r="G546" s="22" t="s">
        <v>3278</v>
      </c>
      <c r="H546" s="22" t="s">
        <v>1942</v>
      </c>
      <c r="I546" s="22" t="s">
        <v>3279</v>
      </c>
      <c r="J546" s="24">
        <v>2844.0</v>
      </c>
      <c r="K546" s="22" t="s">
        <v>3280</v>
      </c>
      <c r="L546" s="22" t="s">
        <v>3281</v>
      </c>
      <c r="M546" s="33">
        <v>1.0</v>
      </c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25" t="s">
        <v>3166</v>
      </c>
      <c r="B547" s="39" t="s">
        <v>703</v>
      </c>
      <c r="C547" s="29">
        <v>7.804918401651E12</v>
      </c>
      <c r="D547" s="25" t="s">
        <v>704</v>
      </c>
      <c r="E547" s="26" t="s">
        <v>3277</v>
      </c>
      <c r="F547" s="27">
        <v>0.16</v>
      </c>
      <c r="G547" s="26" t="s">
        <v>3278</v>
      </c>
      <c r="H547" s="26" t="s">
        <v>1942</v>
      </c>
      <c r="I547" s="26" t="s">
        <v>3279</v>
      </c>
      <c r="J547" s="28">
        <v>2844.0</v>
      </c>
      <c r="K547" s="26" t="s">
        <v>3280</v>
      </c>
      <c r="L547" s="26" t="s">
        <v>3281</v>
      </c>
      <c r="M547" s="37">
        <v>1.0</v>
      </c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20" t="s">
        <v>3166</v>
      </c>
      <c r="B548" s="32" t="s">
        <v>3282</v>
      </c>
      <c r="C548" s="30">
        <v>7.804918450697E12</v>
      </c>
      <c r="D548" s="20" t="s">
        <v>697</v>
      </c>
      <c r="E548" s="22" t="s">
        <v>3283</v>
      </c>
      <c r="F548" s="23">
        <v>0.16</v>
      </c>
      <c r="G548" s="22" t="s">
        <v>3284</v>
      </c>
      <c r="H548" s="22" t="s">
        <v>1942</v>
      </c>
      <c r="I548" s="22" t="s">
        <v>3285</v>
      </c>
      <c r="J548" s="24">
        <v>2447.0</v>
      </c>
      <c r="K548" s="22" t="s">
        <v>3286</v>
      </c>
      <c r="L548" s="22" t="s">
        <v>2507</v>
      </c>
      <c r="M548" s="33">
        <v>1.0</v>
      </c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25" t="s">
        <v>3166</v>
      </c>
      <c r="B549" s="39" t="s">
        <v>696</v>
      </c>
      <c r="C549" s="29">
        <v>7.804918450697E12</v>
      </c>
      <c r="D549" s="25" t="s">
        <v>697</v>
      </c>
      <c r="E549" s="26" t="s">
        <v>3283</v>
      </c>
      <c r="F549" s="27">
        <v>0.16</v>
      </c>
      <c r="G549" s="26" t="s">
        <v>3284</v>
      </c>
      <c r="H549" s="26" t="s">
        <v>1942</v>
      </c>
      <c r="I549" s="26" t="s">
        <v>3285</v>
      </c>
      <c r="J549" s="28">
        <v>2447.0</v>
      </c>
      <c r="K549" s="26" t="s">
        <v>3286</v>
      </c>
      <c r="L549" s="26" t="s">
        <v>2507</v>
      </c>
      <c r="M549" s="37">
        <v>1.0</v>
      </c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20" t="s">
        <v>3166</v>
      </c>
      <c r="B550" s="32" t="s">
        <v>728</v>
      </c>
      <c r="C550" s="30">
        <v>7.804918403921E12</v>
      </c>
      <c r="D550" s="20" t="s">
        <v>729</v>
      </c>
      <c r="E550" s="22" t="s">
        <v>2585</v>
      </c>
      <c r="F550" s="23">
        <v>0.16</v>
      </c>
      <c r="G550" s="22" t="s">
        <v>2586</v>
      </c>
      <c r="H550" s="22" t="s">
        <v>1942</v>
      </c>
      <c r="I550" s="22" t="s">
        <v>2587</v>
      </c>
      <c r="J550" s="24">
        <v>3977.0</v>
      </c>
      <c r="K550" s="22" t="s">
        <v>3233</v>
      </c>
      <c r="L550" s="22" t="s">
        <v>3287</v>
      </c>
      <c r="M550" s="33">
        <v>1.0</v>
      </c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25" t="s">
        <v>3166</v>
      </c>
      <c r="B551" s="39" t="s">
        <v>3288</v>
      </c>
      <c r="C551" s="29">
        <v>7.804918404072E12</v>
      </c>
      <c r="D551" s="25" t="s">
        <v>690</v>
      </c>
      <c r="E551" s="26" t="s">
        <v>3289</v>
      </c>
      <c r="F551" s="27">
        <v>0.16</v>
      </c>
      <c r="G551" s="26" t="s">
        <v>3290</v>
      </c>
      <c r="H551" s="26" t="s">
        <v>1942</v>
      </c>
      <c r="I551" s="26" t="s">
        <v>3291</v>
      </c>
      <c r="J551" s="28">
        <v>2860.0</v>
      </c>
      <c r="K551" s="26" t="s">
        <v>3292</v>
      </c>
      <c r="L551" s="26" t="s">
        <v>3293</v>
      </c>
      <c r="M551" s="37">
        <v>1.0</v>
      </c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20" t="s">
        <v>3166</v>
      </c>
      <c r="B552" s="32" t="s">
        <v>689</v>
      </c>
      <c r="C552" s="30">
        <v>7.804918404072E12</v>
      </c>
      <c r="D552" s="20" t="s">
        <v>690</v>
      </c>
      <c r="E552" s="22" t="s">
        <v>3289</v>
      </c>
      <c r="F552" s="23">
        <v>0.16</v>
      </c>
      <c r="G552" s="22" t="s">
        <v>3290</v>
      </c>
      <c r="H552" s="22" t="s">
        <v>1942</v>
      </c>
      <c r="I552" s="22" t="s">
        <v>3291</v>
      </c>
      <c r="J552" s="24">
        <v>2860.0</v>
      </c>
      <c r="K552" s="22" t="s">
        <v>3292</v>
      </c>
      <c r="L552" s="22" t="s">
        <v>3293</v>
      </c>
      <c r="M552" s="33">
        <v>1.0</v>
      </c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25" t="s">
        <v>3166</v>
      </c>
      <c r="B553" s="39" t="s">
        <v>716</v>
      </c>
      <c r="C553" s="29">
        <v>7.804918452547E12</v>
      </c>
      <c r="D553" s="25" t="s">
        <v>3294</v>
      </c>
      <c r="E553" s="26" t="s">
        <v>2456</v>
      </c>
      <c r="F553" s="27">
        <v>0.16</v>
      </c>
      <c r="G553" s="26" t="s">
        <v>3295</v>
      </c>
      <c r="H553" s="26" t="s">
        <v>1942</v>
      </c>
      <c r="I553" s="26" t="s">
        <v>3296</v>
      </c>
      <c r="J553" s="25"/>
      <c r="K553" s="26" t="s">
        <v>3296</v>
      </c>
      <c r="L553" s="26" t="s">
        <v>2525</v>
      </c>
      <c r="M553" s="37">
        <v>1.0</v>
      </c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20" t="s">
        <v>3166</v>
      </c>
      <c r="B554" s="32" t="s">
        <v>3297</v>
      </c>
      <c r="C554" s="30">
        <v>7.804918452547E12</v>
      </c>
      <c r="D554" s="20" t="s">
        <v>3294</v>
      </c>
      <c r="E554" s="22" t="s">
        <v>2456</v>
      </c>
      <c r="F554" s="23">
        <v>0.16</v>
      </c>
      <c r="G554" s="22" t="s">
        <v>3295</v>
      </c>
      <c r="H554" s="22" t="s">
        <v>1942</v>
      </c>
      <c r="I554" s="22" t="s">
        <v>3296</v>
      </c>
      <c r="J554" s="20"/>
      <c r="K554" s="22" t="s">
        <v>3296</v>
      </c>
      <c r="L554" s="22" t="s">
        <v>2525</v>
      </c>
      <c r="M554" s="33">
        <v>1.0</v>
      </c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25" t="s">
        <v>3298</v>
      </c>
      <c r="B555" s="39" t="s">
        <v>490</v>
      </c>
      <c r="C555" s="29" t="s">
        <v>491</v>
      </c>
      <c r="D555" s="25" t="s">
        <v>3299</v>
      </c>
      <c r="E555" s="26" t="s">
        <v>3300</v>
      </c>
      <c r="F555" s="27">
        <v>0.17</v>
      </c>
      <c r="G555" s="26" t="s">
        <v>3301</v>
      </c>
      <c r="H555" s="26" t="s">
        <v>1942</v>
      </c>
      <c r="I555" s="26" t="s">
        <v>3302</v>
      </c>
      <c r="J555" s="28">
        <v>9793.0</v>
      </c>
      <c r="K555" s="26" t="s">
        <v>3303</v>
      </c>
      <c r="L555" s="26" t="s">
        <v>3304</v>
      </c>
      <c r="M555" s="37">
        <v>1.0</v>
      </c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20" t="s">
        <v>3298</v>
      </c>
      <c r="B556" s="32" t="s">
        <v>1247</v>
      </c>
      <c r="C556" s="30">
        <v>7.804643990178E12</v>
      </c>
      <c r="D556" s="20" t="s">
        <v>1248</v>
      </c>
      <c r="E556" s="20"/>
      <c r="F556" s="20"/>
      <c r="G556" s="20"/>
      <c r="H556" s="20"/>
      <c r="I556" s="20"/>
      <c r="J556" s="24">
        <v>10493.0</v>
      </c>
      <c r="K556" s="20"/>
      <c r="L556" s="20"/>
      <c r="M556" s="33">
        <v>1.0</v>
      </c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25" t="s">
        <v>3298</v>
      </c>
      <c r="B557" s="39" t="s">
        <v>1244</v>
      </c>
      <c r="C557" s="29">
        <v>7.804643990185E12</v>
      </c>
      <c r="D557" s="25" t="s">
        <v>1245</v>
      </c>
      <c r="E557" s="25"/>
      <c r="F557" s="25"/>
      <c r="G557" s="25"/>
      <c r="H557" s="25"/>
      <c r="I557" s="25"/>
      <c r="J557" s="28">
        <v>10493.0</v>
      </c>
      <c r="K557" s="25"/>
      <c r="L557" s="25"/>
      <c r="M557" s="37">
        <v>1.0</v>
      </c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20" t="s">
        <v>3298</v>
      </c>
      <c r="B558" s="32" t="s">
        <v>1235</v>
      </c>
      <c r="C558" s="30">
        <v>7.804643990147E12</v>
      </c>
      <c r="D558" s="20" t="s">
        <v>3305</v>
      </c>
      <c r="E558" s="20"/>
      <c r="F558" s="20"/>
      <c r="G558" s="20"/>
      <c r="H558" s="20"/>
      <c r="I558" s="20"/>
      <c r="J558" s="24">
        <v>9793.0</v>
      </c>
      <c r="K558" s="20"/>
      <c r="L558" s="20"/>
      <c r="M558" s="33">
        <v>1.0</v>
      </c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25" t="s">
        <v>3298</v>
      </c>
      <c r="B559" s="39" t="s">
        <v>1238</v>
      </c>
      <c r="C559" s="29">
        <v>7.804643990154E12</v>
      </c>
      <c r="D559" s="25" t="s">
        <v>1239</v>
      </c>
      <c r="E559" s="25"/>
      <c r="F559" s="25"/>
      <c r="G559" s="25"/>
      <c r="H559" s="25"/>
      <c r="I559" s="25"/>
      <c r="J559" s="28">
        <v>10493.0</v>
      </c>
      <c r="K559" s="25"/>
      <c r="L559" s="25"/>
      <c r="M559" s="37">
        <v>1.0</v>
      </c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20" t="s">
        <v>3298</v>
      </c>
      <c r="B560" s="32" t="s">
        <v>1253</v>
      </c>
      <c r="C560" s="30">
        <v>7.804643990161E12</v>
      </c>
      <c r="D560" s="20" t="s">
        <v>1254</v>
      </c>
      <c r="E560" s="20"/>
      <c r="F560" s="20"/>
      <c r="G560" s="20"/>
      <c r="H560" s="20"/>
      <c r="I560" s="20"/>
      <c r="J560" s="24">
        <v>10493.0</v>
      </c>
      <c r="K560" s="20"/>
      <c r="L560" s="20"/>
      <c r="M560" s="33">
        <v>1.0</v>
      </c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25" t="s">
        <v>3298</v>
      </c>
      <c r="B561" s="39" t="s">
        <v>1262</v>
      </c>
      <c r="C561" s="29">
        <v>7.804643990116E12</v>
      </c>
      <c r="D561" s="25" t="s">
        <v>1263</v>
      </c>
      <c r="E561" s="25"/>
      <c r="F561" s="25"/>
      <c r="G561" s="25"/>
      <c r="H561" s="25"/>
      <c r="I561" s="25"/>
      <c r="J561" s="28">
        <v>12593.0</v>
      </c>
      <c r="K561" s="25"/>
      <c r="L561" s="25"/>
      <c r="M561" s="37">
        <v>1.0</v>
      </c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20" t="s">
        <v>3298</v>
      </c>
      <c r="B562" s="32" t="s">
        <v>1265</v>
      </c>
      <c r="C562" s="30">
        <v>7.804643990192E12</v>
      </c>
      <c r="D562" s="20" t="s">
        <v>1266</v>
      </c>
      <c r="E562" s="20"/>
      <c r="F562" s="20"/>
      <c r="G562" s="20"/>
      <c r="H562" s="20"/>
      <c r="I562" s="20"/>
      <c r="J562" s="24">
        <v>12593.0</v>
      </c>
      <c r="K562" s="20"/>
      <c r="L562" s="20"/>
      <c r="M562" s="33">
        <v>1.0</v>
      </c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25" t="s">
        <v>3298</v>
      </c>
      <c r="B563" s="39" t="s">
        <v>1259</v>
      </c>
      <c r="C563" s="29">
        <v>7.804643990123E12</v>
      </c>
      <c r="D563" s="25" t="s">
        <v>1260</v>
      </c>
      <c r="E563" s="25"/>
      <c r="F563" s="25"/>
      <c r="G563" s="25"/>
      <c r="H563" s="25"/>
      <c r="I563" s="25"/>
      <c r="J563" s="28">
        <v>12593.0</v>
      </c>
      <c r="K563" s="25"/>
      <c r="L563" s="25"/>
      <c r="M563" s="37">
        <v>1.0</v>
      </c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20" t="s">
        <v>3298</v>
      </c>
      <c r="B564" s="32" t="s">
        <v>3306</v>
      </c>
      <c r="C564" s="30">
        <v>7.804643990154E12</v>
      </c>
      <c r="D564" s="20" t="s">
        <v>1239</v>
      </c>
      <c r="E564" s="20"/>
      <c r="F564" s="20"/>
      <c r="G564" s="20"/>
      <c r="H564" s="20"/>
      <c r="I564" s="20"/>
      <c r="J564" s="24">
        <v>10493.0</v>
      </c>
      <c r="K564" s="20"/>
      <c r="L564" s="20"/>
      <c r="M564" s="33">
        <v>1.0</v>
      </c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25" t="s">
        <v>3298</v>
      </c>
      <c r="B565" s="39" t="s">
        <v>3307</v>
      </c>
      <c r="C565" s="29">
        <v>7.804643990185E12</v>
      </c>
      <c r="D565" s="25" t="s">
        <v>1245</v>
      </c>
      <c r="E565" s="25"/>
      <c r="F565" s="25"/>
      <c r="G565" s="25"/>
      <c r="H565" s="25"/>
      <c r="I565" s="25"/>
      <c r="J565" s="28">
        <v>10493.0</v>
      </c>
      <c r="K565" s="25"/>
      <c r="L565" s="25"/>
      <c r="M565" s="37">
        <v>1.0</v>
      </c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20" t="s">
        <v>3298</v>
      </c>
      <c r="B566" s="32" t="s">
        <v>3308</v>
      </c>
      <c r="C566" s="30">
        <v>7.804643990123E12</v>
      </c>
      <c r="D566" s="20" t="s">
        <v>1260</v>
      </c>
      <c r="E566" s="20"/>
      <c r="F566" s="20"/>
      <c r="G566" s="20"/>
      <c r="H566" s="20"/>
      <c r="I566" s="20"/>
      <c r="J566" s="24">
        <v>12593.0</v>
      </c>
      <c r="K566" s="20"/>
      <c r="L566" s="20"/>
      <c r="M566" s="33">
        <v>1.0</v>
      </c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25" t="s">
        <v>3298</v>
      </c>
      <c r="B567" s="39" t="s">
        <v>3309</v>
      </c>
      <c r="C567" s="29">
        <v>7.804643990178E12</v>
      </c>
      <c r="D567" s="25" t="s">
        <v>1248</v>
      </c>
      <c r="E567" s="25"/>
      <c r="F567" s="25"/>
      <c r="G567" s="25"/>
      <c r="H567" s="25"/>
      <c r="I567" s="25"/>
      <c r="J567" s="28">
        <v>10493.0</v>
      </c>
      <c r="K567" s="25"/>
      <c r="L567" s="25"/>
      <c r="M567" s="37">
        <v>1.0</v>
      </c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20" t="s">
        <v>3298</v>
      </c>
      <c r="B568" s="32" t="s">
        <v>3310</v>
      </c>
      <c r="C568" s="30">
        <v>7.804643990116E12</v>
      </c>
      <c r="D568" s="20" t="s">
        <v>1263</v>
      </c>
      <c r="E568" s="20"/>
      <c r="F568" s="20"/>
      <c r="G568" s="20"/>
      <c r="H568" s="20"/>
      <c r="I568" s="20"/>
      <c r="J568" s="24">
        <v>12593.0</v>
      </c>
      <c r="K568" s="20"/>
      <c r="L568" s="20"/>
      <c r="M568" s="33">
        <v>1.0</v>
      </c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25" t="s">
        <v>3298</v>
      </c>
      <c r="B569" s="39" t="s">
        <v>3311</v>
      </c>
      <c r="C569" s="29">
        <v>7.804643990192E12</v>
      </c>
      <c r="D569" s="25" t="s">
        <v>1266</v>
      </c>
      <c r="E569" s="25"/>
      <c r="F569" s="25"/>
      <c r="G569" s="25"/>
      <c r="H569" s="25"/>
      <c r="I569" s="25"/>
      <c r="J569" s="28">
        <v>12593.0</v>
      </c>
      <c r="K569" s="25"/>
      <c r="L569" s="25"/>
      <c r="M569" s="37">
        <v>1.0</v>
      </c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20" t="s">
        <v>3298</v>
      </c>
      <c r="B570" s="32" t="s">
        <v>3312</v>
      </c>
      <c r="C570" s="30">
        <v>7.804643990161E12</v>
      </c>
      <c r="D570" s="20" t="s">
        <v>1254</v>
      </c>
      <c r="E570" s="20"/>
      <c r="F570" s="20"/>
      <c r="G570" s="20"/>
      <c r="H570" s="20"/>
      <c r="I570" s="20"/>
      <c r="J570" s="24">
        <v>10493.0</v>
      </c>
      <c r="K570" s="20"/>
      <c r="L570" s="20"/>
      <c r="M570" s="33">
        <v>1.0</v>
      </c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25" t="s">
        <v>3298</v>
      </c>
      <c r="B571" s="39" t="s">
        <v>3313</v>
      </c>
      <c r="C571" s="29">
        <v>7.804643990147E12</v>
      </c>
      <c r="D571" s="25" t="s">
        <v>1236</v>
      </c>
      <c r="E571" s="25"/>
      <c r="F571" s="25"/>
      <c r="G571" s="25"/>
      <c r="H571" s="25"/>
      <c r="I571" s="25"/>
      <c r="J571" s="28">
        <v>9793.0</v>
      </c>
      <c r="K571" s="25"/>
      <c r="L571" s="25"/>
      <c r="M571" s="37">
        <v>1.0</v>
      </c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20" t="s">
        <v>1890</v>
      </c>
      <c r="B572" s="32" t="s">
        <v>3314</v>
      </c>
      <c r="C572" s="30" t="s">
        <v>348</v>
      </c>
      <c r="D572" s="20" t="s">
        <v>3315</v>
      </c>
      <c r="E572" s="22" t="s">
        <v>3316</v>
      </c>
      <c r="F572" s="23">
        <v>0.13</v>
      </c>
      <c r="G572" s="22" t="s">
        <v>3317</v>
      </c>
      <c r="H572" s="22" t="s">
        <v>2498</v>
      </c>
      <c r="I572" s="22" t="s">
        <v>3318</v>
      </c>
      <c r="J572" s="24">
        <v>16794.0</v>
      </c>
      <c r="K572" s="22" t="s">
        <v>3319</v>
      </c>
      <c r="L572" s="22" t="s">
        <v>3320</v>
      </c>
      <c r="M572" s="33">
        <v>26.0</v>
      </c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25" t="s">
        <v>1890</v>
      </c>
      <c r="B573" s="39" t="s">
        <v>3321</v>
      </c>
      <c r="C573" s="29" t="s">
        <v>341</v>
      </c>
      <c r="D573" s="25" t="s">
        <v>342</v>
      </c>
      <c r="E573" s="26" t="s">
        <v>3142</v>
      </c>
      <c r="F573" s="27">
        <v>0.18</v>
      </c>
      <c r="G573" s="26" t="s">
        <v>3143</v>
      </c>
      <c r="H573" s="26" t="s">
        <v>1942</v>
      </c>
      <c r="I573" s="26" t="s">
        <v>3144</v>
      </c>
      <c r="J573" s="28">
        <v>14168.0</v>
      </c>
      <c r="K573" s="26" t="s">
        <v>3322</v>
      </c>
      <c r="L573" s="26" t="s">
        <v>3323</v>
      </c>
      <c r="M573" s="37">
        <v>80.0</v>
      </c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20" t="s">
        <v>1890</v>
      </c>
      <c r="B574" s="32" t="s">
        <v>340</v>
      </c>
      <c r="C574" s="30" t="s">
        <v>341</v>
      </c>
      <c r="D574" s="20" t="s">
        <v>3324</v>
      </c>
      <c r="E574" s="22" t="s">
        <v>3142</v>
      </c>
      <c r="F574" s="23">
        <v>0.18</v>
      </c>
      <c r="G574" s="22" t="s">
        <v>3143</v>
      </c>
      <c r="H574" s="22" t="s">
        <v>1942</v>
      </c>
      <c r="I574" s="22" t="s">
        <v>3144</v>
      </c>
      <c r="J574" s="24">
        <v>14168.0</v>
      </c>
      <c r="K574" s="22" t="s">
        <v>3322</v>
      </c>
      <c r="L574" s="22" t="s">
        <v>3323</v>
      </c>
      <c r="M574" s="33">
        <v>80.0</v>
      </c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25" t="s">
        <v>1890</v>
      </c>
      <c r="B575" s="39" t="s">
        <v>347</v>
      </c>
      <c r="C575" s="29" t="s">
        <v>348</v>
      </c>
      <c r="D575" s="25" t="s">
        <v>3325</v>
      </c>
      <c r="E575" s="26" t="s">
        <v>3326</v>
      </c>
      <c r="F575" s="27">
        <v>0.13</v>
      </c>
      <c r="G575" s="26" t="s">
        <v>3327</v>
      </c>
      <c r="H575" s="26" t="s">
        <v>2348</v>
      </c>
      <c r="I575" s="26" t="s">
        <v>3328</v>
      </c>
      <c r="J575" s="28">
        <v>16794.0</v>
      </c>
      <c r="K575" s="26" t="s">
        <v>3329</v>
      </c>
      <c r="L575" s="26" t="s">
        <v>3330</v>
      </c>
      <c r="M575" s="37">
        <v>26.0</v>
      </c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20" t="s">
        <v>1890</v>
      </c>
      <c r="B576" s="32" t="s">
        <v>525</v>
      </c>
      <c r="C576" s="30">
        <v>7.99192418051E11</v>
      </c>
      <c r="D576" s="20" t="s">
        <v>3331</v>
      </c>
      <c r="E576" s="22" t="s">
        <v>1960</v>
      </c>
      <c r="F576" s="23">
        <v>0.18</v>
      </c>
      <c r="G576" s="22" t="s">
        <v>3332</v>
      </c>
      <c r="H576" s="22" t="s">
        <v>1942</v>
      </c>
      <c r="I576" s="22" t="s">
        <v>3333</v>
      </c>
      <c r="J576" s="24">
        <v>12315.0</v>
      </c>
      <c r="K576" s="22" t="s">
        <v>3334</v>
      </c>
      <c r="L576" s="22" t="s">
        <v>3335</v>
      </c>
      <c r="M576" s="33">
        <v>80.0</v>
      </c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25" t="s">
        <v>1890</v>
      </c>
      <c r="B577" s="39" t="s">
        <v>522</v>
      </c>
      <c r="C577" s="29">
        <v>7.99192051531E11</v>
      </c>
      <c r="D577" s="25" t="s">
        <v>3336</v>
      </c>
      <c r="E577" s="26" t="s">
        <v>1960</v>
      </c>
      <c r="F577" s="27">
        <v>0.18</v>
      </c>
      <c r="G577" s="26" t="s">
        <v>3332</v>
      </c>
      <c r="H577" s="26" t="s">
        <v>1942</v>
      </c>
      <c r="I577" s="26" t="s">
        <v>3333</v>
      </c>
      <c r="J577" s="28">
        <v>12875.0</v>
      </c>
      <c r="K577" s="26" t="s">
        <v>3337</v>
      </c>
      <c r="L577" s="26" t="s">
        <v>3338</v>
      </c>
      <c r="M577" s="37">
        <v>26.0</v>
      </c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20" t="s">
        <v>1890</v>
      </c>
      <c r="B578" s="32" t="s">
        <v>519</v>
      </c>
      <c r="C578" s="30">
        <v>7.99192418013E11</v>
      </c>
      <c r="D578" s="20" t="s">
        <v>3339</v>
      </c>
      <c r="E578" s="22" t="s">
        <v>1960</v>
      </c>
      <c r="F578" s="23">
        <v>0.18</v>
      </c>
      <c r="G578" s="22" t="s">
        <v>3332</v>
      </c>
      <c r="H578" s="22" t="s">
        <v>1942</v>
      </c>
      <c r="I578" s="22" t="s">
        <v>3333</v>
      </c>
      <c r="J578" s="24">
        <v>11195.0</v>
      </c>
      <c r="K578" s="22" t="s">
        <v>3340</v>
      </c>
      <c r="L578" s="22" t="s">
        <v>3341</v>
      </c>
      <c r="M578" s="33">
        <v>80.0</v>
      </c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25" t="s">
        <v>1890</v>
      </c>
      <c r="B579" s="39" t="s">
        <v>516</v>
      </c>
      <c r="C579" s="29">
        <v>7.99192051562E11</v>
      </c>
      <c r="D579" s="25" t="s">
        <v>3342</v>
      </c>
      <c r="E579" s="26" t="s">
        <v>3343</v>
      </c>
      <c r="F579" s="27">
        <v>0.18</v>
      </c>
      <c r="G579" s="26" t="s">
        <v>2238</v>
      </c>
      <c r="H579" s="26" t="s">
        <v>1942</v>
      </c>
      <c r="I579" s="26" t="s">
        <v>3344</v>
      </c>
      <c r="J579" s="28">
        <v>6769.0</v>
      </c>
      <c r="K579" s="26" t="s">
        <v>3345</v>
      </c>
      <c r="L579" s="26" t="s">
        <v>3346</v>
      </c>
      <c r="M579" s="37">
        <v>80.0</v>
      </c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20" t="s">
        <v>1890</v>
      </c>
      <c r="B580" s="32" t="s">
        <v>3347</v>
      </c>
      <c r="C580" s="30">
        <v>7.9919241802E11</v>
      </c>
      <c r="D580" s="20" t="s">
        <v>3348</v>
      </c>
      <c r="E580" s="22" t="s">
        <v>1960</v>
      </c>
      <c r="F580" s="23">
        <v>0.18</v>
      </c>
      <c r="G580" s="22" t="s">
        <v>3332</v>
      </c>
      <c r="H580" s="22" t="s">
        <v>1942</v>
      </c>
      <c r="I580" s="22" t="s">
        <v>3333</v>
      </c>
      <c r="J580" s="24">
        <v>11195.0</v>
      </c>
      <c r="K580" s="22" t="s">
        <v>3340</v>
      </c>
      <c r="L580" s="22" t="s">
        <v>3341</v>
      </c>
      <c r="M580" s="33">
        <v>80.0</v>
      </c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25" t="s">
        <v>1890</v>
      </c>
      <c r="B581" s="39" t="s">
        <v>513</v>
      </c>
      <c r="C581" s="29" t="s">
        <v>3349</v>
      </c>
      <c r="D581" s="25" t="s">
        <v>3350</v>
      </c>
      <c r="E581" s="26" t="s">
        <v>1960</v>
      </c>
      <c r="F581" s="27">
        <v>0.18</v>
      </c>
      <c r="G581" s="26" t="s">
        <v>3332</v>
      </c>
      <c r="H581" s="26" t="s">
        <v>1942</v>
      </c>
      <c r="I581" s="26" t="s">
        <v>3333</v>
      </c>
      <c r="J581" s="28">
        <v>11195.0</v>
      </c>
      <c r="K581" s="26" t="s">
        <v>3340</v>
      </c>
      <c r="L581" s="26" t="s">
        <v>3341</v>
      </c>
      <c r="M581" s="37">
        <v>80.0</v>
      </c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20" t="s">
        <v>1890</v>
      </c>
      <c r="B582" s="32" t="s">
        <v>3351</v>
      </c>
      <c r="C582" s="30">
        <v>7.99192051562E11</v>
      </c>
      <c r="D582" s="20" t="s">
        <v>517</v>
      </c>
      <c r="E582" s="22" t="s">
        <v>1960</v>
      </c>
      <c r="F582" s="23">
        <v>0.18</v>
      </c>
      <c r="G582" s="22" t="s">
        <v>3332</v>
      </c>
      <c r="H582" s="22" t="s">
        <v>1942</v>
      </c>
      <c r="I582" s="22" t="s">
        <v>3333</v>
      </c>
      <c r="J582" s="24">
        <v>6769.0</v>
      </c>
      <c r="K582" s="22" t="s">
        <v>3352</v>
      </c>
      <c r="L582" s="22" t="s">
        <v>3353</v>
      </c>
      <c r="M582" s="33">
        <v>80.0</v>
      </c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25" t="s">
        <v>1890</v>
      </c>
      <c r="B583" s="39" t="s">
        <v>3354</v>
      </c>
      <c r="C583" s="29">
        <v>7.99192418051E11</v>
      </c>
      <c r="D583" s="25" t="s">
        <v>526</v>
      </c>
      <c r="E583" s="26" t="s">
        <v>3355</v>
      </c>
      <c r="F583" s="27">
        <v>0.18</v>
      </c>
      <c r="G583" s="26" t="s">
        <v>3356</v>
      </c>
      <c r="H583" s="26" t="s">
        <v>1942</v>
      </c>
      <c r="I583" s="26" t="s">
        <v>3357</v>
      </c>
      <c r="J583" s="28">
        <v>12315.0</v>
      </c>
      <c r="K583" s="26" t="s">
        <v>3358</v>
      </c>
      <c r="L583" s="26" t="s">
        <v>3359</v>
      </c>
      <c r="M583" s="37">
        <v>80.0</v>
      </c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20" t="s">
        <v>1890</v>
      </c>
      <c r="B584" s="32" t="s">
        <v>3360</v>
      </c>
      <c r="C584" s="30">
        <v>7.99192051531E11</v>
      </c>
      <c r="D584" s="20" t="s">
        <v>523</v>
      </c>
      <c r="E584" s="22" t="s">
        <v>3361</v>
      </c>
      <c r="F584" s="23">
        <v>0.18</v>
      </c>
      <c r="G584" s="22" t="s">
        <v>3362</v>
      </c>
      <c r="H584" s="22" t="s">
        <v>2348</v>
      </c>
      <c r="I584" s="22" t="s">
        <v>3363</v>
      </c>
      <c r="J584" s="24">
        <v>12875.0</v>
      </c>
      <c r="K584" s="22" t="s">
        <v>3364</v>
      </c>
      <c r="L584" s="22" t="s">
        <v>3365</v>
      </c>
      <c r="M584" s="33">
        <v>26.0</v>
      </c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25" t="s">
        <v>1890</v>
      </c>
      <c r="B585" s="39" t="s">
        <v>3366</v>
      </c>
      <c r="C585" s="29">
        <v>7.99192418013E11</v>
      </c>
      <c r="D585" s="25" t="s">
        <v>3367</v>
      </c>
      <c r="E585" s="26" t="s">
        <v>2496</v>
      </c>
      <c r="F585" s="27">
        <v>0.18</v>
      </c>
      <c r="G585" s="26" t="s">
        <v>3368</v>
      </c>
      <c r="H585" s="26" t="s">
        <v>2348</v>
      </c>
      <c r="I585" s="26" t="s">
        <v>3369</v>
      </c>
      <c r="J585" s="28">
        <v>11195.0</v>
      </c>
      <c r="K585" s="26" t="s">
        <v>3370</v>
      </c>
      <c r="L585" s="26" t="s">
        <v>3371</v>
      </c>
      <c r="M585" s="37">
        <v>80.0</v>
      </c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20" t="s">
        <v>1890</v>
      </c>
      <c r="B586" s="32" t="s">
        <v>3372</v>
      </c>
      <c r="C586" s="30">
        <v>7.99192051555E11</v>
      </c>
      <c r="D586" s="20" t="s">
        <v>511</v>
      </c>
      <c r="E586" s="22" t="s">
        <v>1960</v>
      </c>
      <c r="F586" s="23">
        <v>0.18</v>
      </c>
      <c r="G586" s="22" t="s">
        <v>3332</v>
      </c>
      <c r="H586" s="22" t="s">
        <v>1942</v>
      </c>
      <c r="I586" s="22" t="s">
        <v>3333</v>
      </c>
      <c r="J586" s="24">
        <v>14470.0</v>
      </c>
      <c r="K586" s="22" t="s">
        <v>3373</v>
      </c>
      <c r="L586" s="22" t="s">
        <v>3374</v>
      </c>
      <c r="M586" s="33">
        <v>80.0</v>
      </c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25" t="s">
        <v>1890</v>
      </c>
      <c r="B587" s="39" t="s">
        <v>510</v>
      </c>
      <c r="C587" s="29">
        <v>7.99192051555E11</v>
      </c>
      <c r="D587" s="25" t="s">
        <v>3375</v>
      </c>
      <c r="E587" s="26" t="s">
        <v>1960</v>
      </c>
      <c r="F587" s="27">
        <v>0.18</v>
      </c>
      <c r="G587" s="26" t="s">
        <v>3332</v>
      </c>
      <c r="H587" s="26" t="s">
        <v>1942</v>
      </c>
      <c r="I587" s="26" t="s">
        <v>3333</v>
      </c>
      <c r="J587" s="28">
        <v>14799.0</v>
      </c>
      <c r="K587" s="26" t="s">
        <v>3376</v>
      </c>
      <c r="L587" s="26" t="s">
        <v>3377</v>
      </c>
      <c r="M587" s="37">
        <v>80.0</v>
      </c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20" t="s">
        <v>1890</v>
      </c>
      <c r="B588" s="32" t="s">
        <v>751</v>
      </c>
      <c r="C588" s="30" t="s">
        <v>3378</v>
      </c>
      <c r="D588" s="20" t="s">
        <v>3379</v>
      </c>
      <c r="E588" s="20"/>
      <c r="F588" s="20"/>
      <c r="G588" s="22" t="s">
        <v>1942</v>
      </c>
      <c r="H588" s="20"/>
      <c r="I588" s="22" t="s">
        <v>1942</v>
      </c>
      <c r="J588" s="24">
        <v>13155.0</v>
      </c>
      <c r="K588" s="22" t="s">
        <v>3380</v>
      </c>
      <c r="L588" s="22" t="s">
        <v>1947</v>
      </c>
      <c r="M588" s="33">
        <v>26.0</v>
      </c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25" t="s">
        <v>1890</v>
      </c>
      <c r="B589" s="39" t="s">
        <v>755</v>
      </c>
      <c r="C589" s="29" t="s">
        <v>756</v>
      </c>
      <c r="D589" s="25" t="s">
        <v>3381</v>
      </c>
      <c r="E589" s="25"/>
      <c r="F589" s="25"/>
      <c r="G589" s="26" t="s">
        <v>1942</v>
      </c>
      <c r="H589" s="25"/>
      <c r="I589" s="26" t="s">
        <v>1942</v>
      </c>
      <c r="J589" s="28">
        <v>26455.0</v>
      </c>
      <c r="K589" s="26" t="s">
        <v>3382</v>
      </c>
      <c r="L589" s="26" t="s">
        <v>1947</v>
      </c>
      <c r="M589" s="37">
        <v>6.0</v>
      </c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20" t="s">
        <v>1890</v>
      </c>
      <c r="B590" s="32" t="s">
        <v>3383</v>
      </c>
      <c r="C590" s="30" t="s">
        <v>3378</v>
      </c>
      <c r="D590" s="20" t="s">
        <v>753</v>
      </c>
      <c r="E590" s="20"/>
      <c r="F590" s="20"/>
      <c r="G590" s="22" t="s">
        <v>1942</v>
      </c>
      <c r="H590" s="20"/>
      <c r="I590" s="22" t="s">
        <v>1942</v>
      </c>
      <c r="J590" s="24">
        <v>13155.0</v>
      </c>
      <c r="K590" s="22" t="s">
        <v>3380</v>
      </c>
      <c r="L590" s="22" t="s">
        <v>1947</v>
      </c>
      <c r="M590" s="33">
        <v>26.0</v>
      </c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25" t="s">
        <v>1890</v>
      </c>
      <c r="B591" s="39" t="s">
        <v>3384</v>
      </c>
      <c r="C591" s="29" t="s">
        <v>756</v>
      </c>
      <c r="D591" s="25" t="s">
        <v>3385</v>
      </c>
      <c r="E591" s="25"/>
      <c r="F591" s="25"/>
      <c r="G591" s="26" t="s">
        <v>1942</v>
      </c>
      <c r="H591" s="25"/>
      <c r="I591" s="26" t="s">
        <v>1942</v>
      </c>
      <c r="J591" s="28">
        <v>26455.0</v>
      </c>
      <c r="K591" s="26" t="s">
        <v>3382</v>
      </c>
      <c r="L591" s="26" t="s">
        <v>1947</v>
      </c>
      <c r="M591" s="37">
        <v>6.0</v>
      </c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20" t="s">
        <v>1890</v>
      </c>
      <c r="B592" s="32" t="s">
        <v>1189</v>
      </c>
      <c r="C592" s="30" t="s">
        <v>1190</v>
      </c>
      <c r="D592" s="20" t="s">
        <v>3386</v>
      </c>
      <c r="E592" s="20"/>
      <c r="F592" s="20"/>
      <c r="G592" s="22" t="s">
        <v>1942</v>
      </c>
      <c r="H592" s="20"/>
      <c r="I592" s="22" t="s">
        <v>1942</v>
      </c>
      <c r="J592" s="24">
        <v>19544.0</v>
      </c>
      <c r="K592" s="22" t="s">
        <v>3387</v>
      </c>
      <c r="L592" s="22" t="s">
        <v>1947</v>
      </c>
      <c r="M592" s="33">
        <v>26.0</v>
      </c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25" t="s">
        <v>1890</v>
      </c>
      <c r="B593" s="39" t="s">
        <v>3388</v>
      </c>
      <c r="C593" s="29" t="s">
        <v>1190</v>
      </c>
      <c r="D593" s="25" t="s">
        <v>3389</v>
      </c>
      <c r="E593" s="25"/>
      <c r="F593" s="25"/>
      <c r="G593" s="25"/>
      <c r="H593" s="25"/>
      <c r="I593" s="25"/>
      <c r="J593" s="28">
        <v>19544.0</v>
      </c>
      <c r="K593" s="25"/>
      <c r="L593" s="25"/>
      <c r="M593" s="37">
        <v>26.0</v>
      </c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20" t="s">
        <v>3390</v>
      </c>
      <c r="B594" s="32" t="s">
        <v>419</v>
      </c>
      <c r="C594" s="30">
        <v>805309.0</v>
      </c>
      <c r="D594" s="20" t="s">
        <v>420</v>
      </c>
      <c r="E594" s="22" t="s">
        <v>3391</v>
      </c>
      <c r="F594" s="23">
        <v>0.13</v>
      </c>
      <c r="G594" s="22" t="s">
        <v>3392</v>
      </c>
      <c r="H594" s="22" t="s">
        <v>1935</v>
      </c>
      <c r="I594" s="22" t="s">
        <v>3393</v>
      </c>
      <c r="J594" s="24">
        <v>19179.0</v>
      </c>
      <c r="K594" s="22" t="s">
        <v>3394</v>
      </c>
      <c r="L594" s="22" t="s">
        <v>3395</v>
      </c>
      <c r="M594" s="33">
        <v>6.0</v>
      </c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25" t="s">
        <v>3390</v>
      </c>
      <c r="B595" s="39" t="s">
        <v>3396</v>
      </c>
      <c r="C595" s="29">
        <v>805165.0</v>
      </c>
      <c r="D595" s="25" t="s">
        <v>3397</v>
      </c>
      <c r="E595" s="26" t="s">
        <v>3398</v>
      </c>
      <c r="F595" s="27">
        <v>0.18</v>
      </c>
      <c r="G595" s="26" t="s">
        <v>3399</v>
      </c>
      <c r="H595" s="26" t="s">
        <v>1942</v>
      </c>
      <c r="I595" s="26" t="s">
        <v>3400</v>
      </c>
      <c r="J595" s="28">
        <v>5780.0</v>
      </c>
      <c r="K595" s="26" t="s">
        <v>3401</v>
      </c>
      <c r="L595" s="26" t="s">
        <v>3402</v>
      </c>
      <c r="M595" s="37">
        <v>12.0</v>
      </c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20" t="s">
        <v>3390</v>
      </c>
      <c r="B596" s="32" t="s">
        <v>3403</v>
      </c>
      <c r="C596" s="30">
        <v>805164.0</v>
      </c>
      <c r="D596" s="20" t="s">
        <v>3404</v>
      </c>
      <c r="E596" s="22" t="s">
        <v>3405</v>
      </c>
      <c r="F596" s="23">
        <v>0.15</v>
      </c>
      <c r="G596" s="22" t="s">
        <v>3406</v>
      </c>
      <c r="H596" s="22" t="s">
        <v>1942</v>
      </c>
      <c r="I596" s="22" t="s">
        <v>3407</v>
      </c>
      <c r="J596" s="24">
        <v>5780.0</v>
      </c>
      <c r="K596" s="22" t="s">
        <v>3408</v>
      </c>
      <c r="L596" s="22" t="s">
        <v>3409</v>
      </c>
      <c r="M596" s="33">
        <v>12.0</v>
      </c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25" t="s">
        <v>3390</v>
      </c>
      <c r="B597" s="39" t="s">
        <v>3410</v>
      </c>
      <c r="C597" s="29">
        <v>805301.0</v>
      </c>
      <c r="D597" s="25" t="s">
        <v>3411</v>
      </c>
      <c r="E597" s="26" t="s">
        <v>3412</v>
      </c>
      <c r="F597" s="27">
        <v>0.13</v>
      </c>
      <c r="G597" s="26" t="s">
        <v>3413</v>
      </c>
      <c r="H597" s="26" t="s">
        <v>3414</v>
      </c>
      <c r="I597" s="26" t="s">
        <v>3415</v>
      </c>
      <c r="J597" s="28">
        <v>19179.0</v>
      </c>
      <c r="K597" s="26" t="s">
        <v>3416</v>
      </c>
      <c r="L597" s="26" t="s">
        <v>3417</v>
      </c>
      <c r="M597" s="37">
        <v>6.0</v>
      </c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20" t="s">
        <v>3390</v>
      </c>
      <c r="B598" s="32" t="s">
        <v>422</v>
      </c>
      <c r="C598" s="30">
        <v>805305.0</v>
      </c>
      <c r="D598" s="20" t="s">
        <v>423</v>
      </c>
      <c r="E598" s="22" t="s">
        <v>3418</v>
      </c>
      <c r="F598" s="23">
        <v>0.13</v>
      </c>
      <c r="G598" s="22" t="s">
        <v>3419</v>
      </c>
      <c r="H598" s="22" t="s">
        <v>1935</v>
      </c>
      <c r="I598" s="22" t="s">
        <v>3420</v>
      </c>
      <c r="J598" s="24">
        <v>19179.0</v>
      </c>
      <c r="K598" s="22" t="s">
        <v>3421</v>
      </c>
      <c r="L598" s="22" t="s">
        <v>3422</v>
      </c>
      <c r="M598" s="33">
        <v>6.0</v>
      </c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25" t="s">
        <v>3390</v>
      </c>
      <c r="B599" s="39" t="s">
        <v>416</v>
      </c>
      <c r="C599" s="29">
        <v>805302.0</v>
      </c>
      <c r="D599" s="25" t="s">
        <v>3423</v>
      </c>
      <c r="E599" s="26" t="s">
        <v>3424</v>
      </c>
      <c r="F599" s="27">
        <v>0.13</v>
      </c>
      <c r="G599" s="26" t="s">
        <v>3425</v>
      </c>
      <c r="H599" s="26" t="s">
        <v>1935</v>
      </c>
      <c r="I599" s="26" t="s">
        <v>3426</v>
      </c>
      <c r="J599" s="28">
        <v>19179.0</v>
      </c>
      <c r="K599" s="26" t="s">
        <v>3292</v>
      </c>
      <c r="L599" s="26" t="s">
        <v>3427</v>
      </c>
      <c r="M599" s="37">
        <v>6.0</v>
      </c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20" t="s">
        <v>3390</v>
      </c>
      <c r="B600" s="32" t="s">
        <v>354</v>
      </c>
      <c r="C600" s="30">
        <v>805165.0</v>
      </c>
      <c r="D600" s="20" t="s">
        <v>3397</v>
      </c>
      <c r="E600" s="22" t="s">
        <v>3398</v>
      </c>
      <c r="F600" s="23">
        <v>0.18</v>
      </c>
      <c r="G600" s="22" t="s">
        <v>3399</v>
      </c>
      <c r="H600" s="22" t="s">
        <v>1942</v>
      </c>
      <c r="I600" s="22" t="s">
        <v>3400</v>
      </c>
      <c r="J600" s="24">
        <v>5780.0</v>
      </c>
      <c r="K600" s="22" t="s">
        <v>3401</v>
      </c>
      <c r="L600" s="22" t="s">
        <v>3402</v>
      </c>
      <c r="M600" s="33">
        <v>12.0</v>
      </c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25" t="s">
        <v>3390</v>
      </c>
      <c r="B601" s="39" t="s">
        <v>3428</v>
      </c>
      <c r="C601" s="29">
        <v>805051.0</v>
      </c>
      <c r="D601" s="25" t="s">
        <v>3429</v>
      </c>
      <c r="E601" s="26" t="s">
        <v>3430</v>
      </c>
      <c r="F601" s="27">
        <v>0.15</v>
      </c>
      <c r="G601" s="26" t="s">
        <v>3431</v>
      </c>
      <c r="H601" s="26" t="s">
        <v>1942</v>
      </c>
      <c r="I601" s="26" t="s">
        <v>3432</v>
      </c>
      <c r="J601" s="28">
        <v>4880.0</v>
      </c>
      <c r="K601" s="26" t="s">
        <v>3035</v>
      </c>
      <c r="L601" s="26" t="s">
        <v>3433</v>
      </c>
      <c r="M601" s="37">
        <v>12.0</v>
      </c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20" t="s">
        <v>3390</v>
      </c>
      <c r="B602" s="32" t="s">
        <v>413</v>
      </c>
      <c r="C602" s="30">
        <v>805056.0</v>
      </c>
      <c r="D602" s="20" t="s">
        <v>414</v>
      </c>
      <c r="E602" s="22" t="s">
        <v>3430</v>
      </c>
      <c r="F602" s="23">
        <v>0.15</v>
      </c>
      <c r="G602" s="22" t="s">
        <v>3434</v>
      </c>
      <c r="H602" s="22" t="s">
        <v>1942</v>
      </c>
      <c r="I602" s="22" t="s">
        <v>3435</v>
      </c>
      <c r="J602" s="24">
        <v>4880.0</v>
      </c>
      <c r="K602" s="22" t="s">
        <v>3436</v>
      </c>
      <c r="L602" s="22" t="s">
        <v>3437</v>
      </c>
      <c r="M602" s="33">
        <v>12.0</v>
      </c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25" t="s">
        <v>3390</v>
      </c>
      <c r="B603" s="39" t="s">
        <v>410</v>
      </c>
      <c r="C603" s="29">
        <v>805053.0</v>
      </c>
      <c r="D603" s="25" t="s">
        <v>411</v>
      </c>
      <c r="E603" s="26" t="s">
        <v>3438</v>
      </c>
      <c r="F603" s="27">
        <v>0.18</v>
      </c>
      <c r="G603" s="26" t="s">
        <v>2851</v>
      </c>
      <c r="H603" s="26" t="s">
        <v>1942</v>
      </c>
      <c r="I603" s="26" t="s">
        <v>3439</v>
      </c>
      <c r="J603" s="28">
        <v>4880.0</v>
      </c>
      <c r="K603" s="26" t="s">
        <v>3440</v>
      </c>
      <c r="L603" s="26" t="s">
        <v>3441</v>
      </c>
      <c r="M603" s="37">
        <v>12.0</v>
      </c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20" t="s">
        <v>3390</v>
      </c>
      <c r="B604" s="32" t="s">
        <v>351</v>
      </c>
      <c r="C604" s="30">
        <v>805164.0</v>
      </c>
      <c r="D604" s="20" t="s">
        <v>352</v>
      </c>
      <c r="E604" s="22" t="s">
        <v>3405</v>
      </c>
      <c r="F604" s="23">
        <v>0.15</v>
      </c>
      <c r="G604" s="22" t="s">
        <v>3406</v>
      </c>
      <c r="H604" s="22" t="s">
        <v>1942</v>
      </c>
      <c r="I604" s="22" t="s">
        <v>3407</v>
      </c>
      <c r="J604" s="24">
        <v>5780.0</v>
      </c>
      <c r="K604" s="22" t="s">
        <v>3408</v>
      </c>
      <c r="L604" s="22" t="s">
        <v>3409</v>
      </c>
      <c r="M604" s="33">
        <v>12.0</v>
      </c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25" t="s">
        <v>3390</v>
      </c>
      <c r="B605" s="39" t="s">
        <v>428</v>
      </c>
      <c r="C605" s="29">
        <v>805054.0</v>
      </c>
      <c r="D605" s="25" t="s">
        <v>429</v>
      </c>
      <c r="E605" s="26" t="s">
        <v>3029</v>
      </c>
      <c r="F605" s="27">
        <v>0.13</v>
      </c>
      <c r="G605" s="26" t="s">
        <v>3442</v>
      </c>
      <c r="H605" s="26" t="s">
        <v>1942</v>
      </c>
      <c r="I605" s="26" t="s">
        <v>3443</v>
      </c>
      <c r="J605" s="28">
        <v>4880.0</v>
      </c>
      <c r="K605" s="26" t="s">
        <v>3444</v>
      </c>
      <c r="L605" s="26" t="s">
        <v>3445</v>
      </c>
      <c r="M605" s="37">
        <v>12.0</v>
      </c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20" t="s">
        <v>3390</v>
      </c>
      <c r="B606" s="32" t="s">
        <v>425</v>
      </c>
      <c r="C606" s="30">
        <v>805051.0</v>
      </c>
      <c r="D606" s="20" t="s">
        <v>426</v>
      </c>
      <c r="E606" s="22" t="s">
        <v>3446</v>
      </c>
      <c r="F606" s="23">
        <v>0.15</v>
      </c>
      <c r="G606" s="22" t="s">
        <v>3447</v>
      </c>
      <c r="H606" s="22" t="s">
        <v>1942</v>
      </c>
      <c r="I606" s="22" t="s">
        <v>3448</v>
      </c>
      <c r="J606" s="24">
        <v>4880.0</v>
      </c>
      <c r="K606" s="22" t="s">
        <v>3449</v>
      </c>
      <c r="L606" s="22" t="s">
        <v>3450</v>
      </c>
      <c r="M606" s="33">
        <v>12.0</v>
      </c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25" t="s">
        <v>3390</v>
      </c>
      <c r="B607" s="39" t="s">
        <v>3451</v>
      </c>
      <c r="C607" s="29">
        <v>805056.0</v>
      </c>
      <c r="D607" s="25" t="s">
        <v>3452</v>
      </c>
      <c r="E607" s="26" t="s">
        <v>3453</v>
      </c>
      <c r="F607" s="27">
        <v>0.15</v>
      </c>
      <c r="G607" s="26" t="s">
        <v>3454</v>
      </c>
      <c r="H607" s="26" t="s">
        <v>1942</v>
      </c>
      <c r="I607" s="26" t="s">
        <v>3455</v>
      </c>
      <c r="J607" s="28">
        <v>4880.0</v>
      </c>
      <c r="K607" s="26" t="s">
        <v>3456</v>
      </c>
      <c r="L607" s="26" t="s">
        <v>3457</v>
      </c>
      <c r="M607" s="37">
        <v>12.0</v>
      </c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20" t="s">
        <v>3390</v>
      </c>
      <c r="B608" s="32" t="s">
        <v>3458</v>
      </c>
      <c r="C608" s="30">
        <v>805053.0</v>
      </c>
      <c r="D608" s="20" t="s">
        <v>411</v>
      </c>
      <c r="E608" s="22" t="s">
        <v>3438</v>
      </c>
      <c r="F608" s="23">
        <v>0.18</v>
      </c>
      <c r="G608" s="22" t="s">
        <v>2851</v>
      </c>
      <c r="H608" s="22" t="s">
        <v>1942</v>
      </c>
      <c r="I608" s="22" t="s">
        <v>3439</v>
      </c>
      <c r="J608" s="24">
        <v>4880.0</v>
      </c>
      <c r="K608" s="22" t="s">
        <v>3440</v>
      </c>
      <c r="L608" s="22" t="s">
        <v>3441</v>
      </c>
      <c r="M608" s="33">
        <v>12.0</v>
      </c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25" t="s">
        <v>3390</v>
      </c>
      <c r="B609" s="39" t="s">
        <v>3459</v>
      </c>
      <c r="C609" s="29">
        <v>805302.0</v>
      </c>
      <c r="D609" s="25" t="s">
        <v>3460</v>
      </c>
      <c r="E609" s="26" t="s">
        <v>3461</v>
      </c>
      <c r="F609" s="27">
        <v>0.13</v>
      </c>
      <c r="G609" s="26" t="s">
        <v>3462</v>
      </c>
      <c r="H609" s="26" t="s">
        <v>1935</v>
      </c>
      <c r="I609" s="26" t="s">
        <v>3463</v>
      </c>
      <c r="J609" s="28">
        <v>19179.0</v>
      </c>
      <c r="K609" s="26" t="s">
        <v>3464</v>
      </c>
      <c r="L609" s="26" t="s">
        <v>3465</v>
      </c>
      <c r="M609" s="37">
        <v>6.0</v>
      </c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20" t="s">
        <v>3390</v>
      </c>
      <c r="B610" s="32" t="s">
        <v>407</v>
      </c>
      <c r="C610" s="30">
        <v>805301.0</v>
      </c>
      <c r="D610" s="20" t="s">
        <v>3411</v>
      </c>
      <c r="E610" s="22" t="s">
        <v>3466</v>
      </c>
      <c r="F610" s="23">
        <v>0.13</v>
      </c>
      <c r="G610" s="22" t="s">
        <v>3467</v>
      </c>
      <c r="H610" s="22" t="s">
        <v>1935</v>
      </c>
      <c r="I610" s="22" t="s">
        <v>3468</v>
      </c>
      <c r="J610" s="24">
        <v>19179.0</v>
      </c>
      <c r="K610" s="22" t="s">
        <v>3469</v>
      </c>
      <c r="L610" s="22" t="s">
        <v>3470</v>
      </c>
      <c r="M610" s="33">
        <v>6.0</v>
      </c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25" t="s">
        <v>3390</v>
      </c>
      <c r="B611" s="39" t="s">
        <v>3471</v>
      </c>
      <c r="C611" s="29">
        <v>805308.0</v>
      </c>
      <c r="D611" s="25" t="s">
        <v>798</v>
      </c>
      <c r="E611" s="25"/>
      <c r="F611" s="25"/>
      <c r="G611" s="26" t="s">
        <v>1942</v>
      </c>
      <c r="H611" s="25"/>
      <c r="I611" s="26" t="s">
        <v>1942</v>
      </c>
      <c r="J611" s="28">
        <v>4289.0</v>
      </c>
      <c r="K611" s="26" t="s">
        <v>3472</v>
      </c>
      <c r="L611" s="26" t="s">
        <v>1947</v>
      </c>
      <c r="M611" s="37">
        <v>8.0</v>
      </c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20" t="s">
        <v>3390</v>
      </c>
      <c r="B612" s="32" t="s">
        <v>797</v>
      </c>
      <c r="C612" s="30">
        <v>805308.0</v>
      </c>
      <c r="D612" s="20" t="s">
        <v>798</v>
      </c>
      <c r="E612" s="20"/>
      <c r="F612" s="20"/>
      <c r="G612" s="22" t="s">
        <v>1942</v>
      </c>
      <c r="H612" s="20"/>
      <c r="I612" s="22" t="s">
        <v>1942</v>
      </c>
      <c r="J612" s="24">
        <v>4289.0</v>
      </c>
      <c r="K612" s="22" t="s">
        <v>3472</v>
      </c>
      <c r="L612" s="22" t="s">
        <v>1947</v>
      </c>
      <c r="M612" s="33">
        <v>8.0</v>
      </c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25" t="s">
        <v>3390</v>
      </c>
      <c r="B613" s="39" t="s">
        <v>803</v>
      </c>
      <c r="C613" s="29">
        <v>805307.0</v>
      </c>
      <c r="D613" s="25" t="s">
        <v>3473</v>
      </c>
      <c r="E613" s="25"/>
      <c r="F613" s="25"/>
      <c r="G613" s="26" t="s">
        <v>1942</v>
      </c>
      <c r="H613" s="25"/>
      <c r="I613" s="26" t="s">
        <v>1942</v>
      </c>
      <c r="J613" s="28">
        <v>4289.0</v>
      </c>
      <c r="K613" s="26" t="s">
        <v>3472</v>
      </c>
      <c r="L613" s="26" t="s">
        <v>1947</v>
      </c>
      <c r="M613" s="37">
        <v>8.0</v>
      </c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20" t="s">
        <v>3390</v>
      </c>
      <c r="B614" s="32" t="s">
        <v>3474</v>
      </c>
      <c r="C614" s="30">
        <v>805307.0</v>
      </c>
      <c r="D614" s="20" t="s">
        <v>3473</v>
      </c>
      <c r="E614" s="20"/>
      <c r="F614" s="20"/>
      <c r="G614" s="22" t="s">
        <v>1942</v>
      </c>
      <c r="H614" s="20"/>
      <c r="I614" s="22" t="s">
        <v>1942</v>
      </c>
      <c r="J614" s="24">
        <v>4289.0</v>
      </c>
      <c r="K614" s="22" t="s">
        <v>3472</v>
      </c>
      <c r="L614" s="22" t="s">
        <v>1947</v>
      </c>
      <c r="M614" s="33">
        <v>8.0</v>
      </c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25" t="s">
        <v>3390</v>
      </c>
      <c r="B615" s="39" t="s">
        <v>800</v>
      </c>
      <c r="C615" s="29">
        <v>805306.0</v>
      </c>
      <c r="D615" s="25" t="s">
        <v>3475</v>
      </c>
      <c r="E615" s="25"/>
      <c r="F615" s="25"/>
      <c r="G615" s="26" t="s">
        <v>1942</v>
      </c>
      <c r="H615" s="25"/>
      <c r="I615" s="26" t="s">
        <v>1942</v>
      </c>
      <c r="J615" s="28">
        <v>4289.0</v>
      </c>
      <c r="K615" s="26" t="s">
        <v>3472</v>
      </c>
      <c r="L615" s="26" t="s">
        <v>1947</v>
      </c>
      <c r="M615" s="37">
        <v>8.0</v>
      </c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20" t="s">
        <v>3390</v>
      </c>
      <c r="B616" s="32" t="s">
        <v>3476</v>
      </c>
      <c r="C616" s="30">
        <v>805306.0</v>
      </c>
      <c r="D616" s="20" t="s">
        <v>3475</v>
      </c>
      <c r="E616" s="20"/>
      <c r="F616" s="20"/>
      <c r="G616" s="22" t="s">
        <v>1942</v>
      </c>
      <c r="H616" s="20"/>
      <c r="I616" s="22" t="s">
        <v>1942</v>
      </c>
      <c r="J616" s="24">
        <v>4289.0</v>
      </c>
      <c r="K616" s="22" t="s">
        <v>3472</v>
      </c>
      <c r="L616" s="22" t="s">
        <v>1947</v>
      </c>
      <c r="M616" s="33">
        <v>8.0</v>
      </c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25" t="s">
        <v>3390</v>
      </c>
      <c r="B617" s="39" t="s">
        <v>930</v>
      </c>
      <c r="C617" s="29">
        <v>805342.0</v>
      </c>
      <c r="D617" s="25" t="s">
        <v>3477</v>
      </c>
      <c r="E617" s="25"/>
      <c r="F617" s="25"/>
      <c r="G617" s="26" t="s">
        <v>1942</v>
      </c>
      <c r="H617" s="25"/>
      <c r="I617" s="26" t="s">
        <v>1942</v>
      </c>
      <c r="J617" s="28">
        <v>6778.0</v>
      </c>
      <c r="K617" s="26" t="s">
        <v>3478</v>
      </c>
      <c r="L617" s="26" t="s">
        <v>1947</v>
      </c>
      <c r="M617" s="37">
        <v>16.0</v>
      </c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20" t="s">
        <v>3390</v>
      </c>
      <c r="B618" s="32" t="s">
        <v>3479</v>
      </c>
      <c r="C618" s="30">
        <v>805342.0</v>
      </c>
      <c r="D618" s="20" t="s">
        <v>3477</v>
      </c>
      <c r="E618" s="20"/>
      <c r="F618" s="20"/>
      <c r="G618" s="22" t="s">
        <v>1942</v>
      </c>
      <c r="H618" s="20"/>
      <c r="I618" s="22" t="s">
        <v>1942</v>
      </c>
      <c r="J618" s="24">
        <v>6778.0</v>
      </c>
      <c r="K618" s="22" t="s">
        <v>3478</v>
      </c>
      <c r="L618" s="22" t="s">
        <v>1947</v>
      </c>
      <c r="M618" s="33">
        <v>16.0</v>
      </c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25" t="s">
        <v>3390</v>
      </c>
      <c r="B619" s="39" t="s">
        <v>3480</v>
      </c>
      <c r="C619" s="29">
        <v>805341.0</v>
      </c>
      <c r="D619" s="25" t="s">
        <v>928</v>
      </c>
      <c r="E619" s="25"/>
      <c r="F619" s="25"/>
      <c r="G619" s="26" t="s">
        <v>1942</v>
      </c>
      <c r="H619" s="25"/>
      <c r="I619" s="26" t="s">
        <v>1942</v>
      </c>
      <c r="J619" s="28">
        <v>6778.0</v>
      </c>
      <c r="K619" s="26" t="s">
        <v>3478</v>
      </c>
      <c r="L619" s="26" t="s">
        <v>1947</v>
      </c>
      <c r="M619" s="37">
        <v>16.0</v>
      </c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20" t="s">
        <v>3390</v>
      </c>
      <c r="B620" s="32" t="s">
        <v>927</v>
      </c>
      <c r="C620" s="30">
        <v>805341.0</v>
      </c>
      <c r="D620" s="20" t="s">
        <v>928</v>
      </c>
      <c r="E620" s="20"/>
      <c r="F620" s="20"/>
      <c r="G620" s="22" t="s">
        <v>1942</v>
      </c>
      <c r="H620" s="20"/>
      <c r="I620" s="22" t="s">
        <v>1942</v>
      </c>
      <c r="J620" s="24">
        <v>6778.0</v>
      </c>
      <c r="K620" s="22" t="s">
        <v>3478</v>
      </c>
      <c r="L620" s="22" t="s">
        <v>1947</v>
      </c>
      <c r="M620" s="33">
        <v>16.0</v>
      </c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25" t="s">
        <v>3390</v>
      </c>
      <c r="B621" s="39" t="s">
        <v>1878</v>
      </c>
      <c r="C621" s="29">
        <v>805345.0</v>
      </c>
      <c r="D621" s="25" t="s">
        <v>925</v>
      </c>
      <c r="E621" s="25"/>
      <c r="F621" s="25"/>
      <c r="G621" s="26" t="s">
        <v>1942</v>
      </c>
      <c r="H621" s="25"/>
      <c r="I621" s="26" t="s">
        <v>1942</v>
      </c>
      <c r="J621" s="28">
        <v>6778.0</v>
      </c>
      <c r="K621" s="26" t="s">
        <v>3478</v>
      </c>
      <c r="L621" s="26" t="s">
        <v>1947</v>
      </c>
      <c r="M621" s="37">
        <v>16.0</v>
      </c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20" t="s">
        <v>3390</v>
      </c>
      <c r="B622" s="32" t="s">
        <v>924</v>
      </c>
      <c r="C622" s="30">
        <v>805345.0</v>
      </c>
      <c r="D622" s="20" t="s">
        <v>925</v>
      </c>
      <c r="E622" s="20"/>
      <c r="F622" s="20"/>
      <c r="G622" s="22" t="s">
        <v>1942</v>
      </c>
      <c r="H622" s="20"/>
      <c r="I622" s="22" t="s">
        <v>1942</v>
      </c>
      <c r="J622" s="24">
        <v>6778.0</v>
      </c>
      <c r="K622" s="22" t="s">
        <v>3478</v>
      </c>
      <c r="L622" s="22" t="s">
        <v>1947</v>
      </c>
      <c r="M622" s="33">
        <v>16.0</v>
      </c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25" t="s">
        <v>3390</v>
      </c>
      <c r="B623" s="39" t="s">
        <v>1875</v>
      </c>
      <c r="C623" s="29">
        <v>805349.0</v>
      </c>
      <c r="D623" s="25" t="s">
        <v>1876</v>
      </c>
      <c r="E623" s="25"/>
      <c r="F623" s="25"/>
      <c r="G623" s="26" t="s">
        <v>1942</v>
      </c>
      <c r="H623" s="25"/>
      <c r="I623" s="26" t="s">
        <v>1942</v>
      </c>
      <c r="J623" s="28">
        <v>6778.0</v>
      </c>
      <c r="K623" s="26" t="s">
        <v>3478</v>
      </c>
      <c r="L623" s="26" t="s">
        <v>1947</v>
      </c>
      <c r="M623" s="37">
        <v>16.0</v>
      </c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20" t="s">
        <v>3390</v>
      </c>
      <c r="B624" s="32" t="s">
        <v>921</v>
      </c>
      <c r="C624" s="30">
        <v>805349.0</v>
      </c>
      <c r="D624" s="20" t="s">
        <v>1876</v>
      </c>
      <c r="E624" s="20"/>
      <c r="F624" s="20"/>
      <c r="G624" s="22" t="s">
        <v>1942</v>
      </c>
      <c r="H624" s="20"/>
      <c r="I624" s="22" t="s">
        <v>1942</v>
      </c>
      <c r="J624" s="24">
        <v>6778.0</v>
      </c>
      <c r="K624" s="22" t="s">
        <v>3478</v>
      </c>
      <c r="L624" s="22" t="s">
        <v>1947</v>
      </c>
      <c r="M624" s="33">
        <v>16.0</v>
      </c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25" t="s">
        <v>3390</v>
      </c>
      <c r="B625" s="39" t="s">
        <v>1250</v>
      </c>
      <c r="C625" s="29">
        <v>805163.0</v>
      </c>
      <c r="D625" s="25" t="s">
        <v>1251</v>
      </c>
      <c r="E625" s="25"/>
      <c r="F625" s="25"/>
      <c r="G625" s="25"/>
      <c r="H625" s="25"/>
      <c r="I625" s="25"/>
      <c r="J625" s="28">
        <v>41784.0</v>
      </c>
      <c r="K625" s="25"/>
      <c r="L625" s="25"/>
      <c r="M625" s="37">
        <v>1.0</v>
      </c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20" t="s">
        <v>1892</v>
      </c>
      <c r="B626" s="32" t="s">
        <v>310</v>
      </c>
      <c r="C626" s="30">
        <v>6.59525122935E11</v>
      </c>
      <c r="D626" s="20" t="s">
        <v>3481</v>
      </c>
      <c r="E626" s="22" t="s">
        <v>2270</v>
      </c>
      <c r="F626" s="23">
        <v>0.18</v>
      </c>
      <c r="G626" s="22" t="s">
        <v>3482</v>
      </c>
      <c r="H626" s="22" t="s">
        <v>1942</v>
      </c>
      <c r="I626" s="22" t="s">
        <v>3483</v>
      </c>
      <c r="J626" s="24">
        <v>3808.0</v>
      </c>
      <c r="K626" s="22" t="s">
        <v>3484</v>
      </c>
      <c r="L626" s="22" t="s">
        <v>3485</v>
      </c>
      <c r="M626" s="33">
        <v>1.0</v>
      </c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25" t="s">
        <v>1892</v>
      </c>
      <c r="B627" s="39" t="s">
        <v>313</v>
      </c>
      <c r="C627" s="29">
        <v>7.81718786164E11</v>
      </c>
      <c r="D627" s="25" t="s">
        <v>314</v>
      </c>
      <c r="E627" s="26" t="s">
        <v>3486</v>
      </c>
      <c r="F627" s="27">
        <v>0.18</v>
      </c>
      <c r="G627" s="26" t="s">
        <v>3273</v>
      </c>
      <c r="H627" s="26" t="s">
        <v>1942</v>
      </c>
      <c r="I627" s="26" t="s">
        <v>3487</v>
      </c>
      <c r="J627" s="28">
        <v>3558.0</v>
      </c>
      <c r="K627" s="26" t="s">
        <v>3488</v>
      </c>
      <c r="L627" s="26" t="s">
        <v>3489</v>
      </c>
      <c r="M627" s="37">
        <v>1.0</v>
      </c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20" t="s">
        <v>1892</v>
      </c>
      <c r="B628" s="32" t="s">
        <v>316</v>
      </c>
      <c r="C628" s="30">
        <v>7.45853432478E11</v>
      </c>
      <c r="D628" s="20" t="s">
        <v>317</v>
      </c>
      <c r="E628" s="22" t="s">
        <v>3490</v>
      </c>
      <c r="F628" s="23">
        <v>0.13</v>
      </c>
      <c r="G628" s="22" t="s">
        <v>3491</v>
      </c>
      <c r="H628" s="22" t="s">
        <v>2041</v>
      </c>
      <c r="I628" s="22" t="s">
        <v>3492</v>
      </c>
      <c r="J628" s="24">
        <v>16660.0</v>
      </c>
      <c r="K628" s="22" t="s">
        <v>3493</v>
      </c>
      <c r="L628" s="22" t="s">
        <v>3494</v>
      </c>
      <c r="M628" s="33">
        <v>12.0</v>
      </c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25" t="s">
        <v>1892</v>
      </c>
      <c r="B629" s="39" t="s">
        <v>319</v>
      </c>
      <c r="C629" s="29">
        <v>6.59525123055E11</v>
      </c>
      <c r="D629" s="25" t="s">
        <v>3495</v>
      </c>
      <c r="E629" s="26" t="s">
        <v>3496</v>
      </c>
      <c r="F629" s="27">
        <v>0.18</v>
      </c>
      <c r="G629" s="26" t="s">
        <v>3497</v>
      </c>
      <c r="H629" s="26" t="s">
        <v>1942</v>
      </c>
      <c r="I629" s="26" t="s">
        <v>3398</v>
      </c>
      <c r="J629" s="28">
        <v>4760.0</v>
      </c>
      <c r="K629" s="26" t="s">
        <v>3498</v>
      </c>
      <c r="L629" s="26" t="s">
        <v>3499</v>
      </c>
      <c r="M629" s="37">
        <v>72.0</v>
      </c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20" t="s">
        <v>1892</v>
      </c>
      <c r="B630" s="32" t="s">
        <v>590</v>
      </c>
      <c r="C630" s="30">
        <v>7.45853478841E11</v>
      </c>
      <c r="D630" s="20" t="s">
        <v>3500</v>
      </c>
      <c r="E630" s="22" t="s">
        <v>3501</v>
      </c>
      <c r="F630" s="23">
        <v>0.18</v>
      </c>
      <c r="G630" s="22" t="s">
        <v>3502</v>
      </c>
      <c r="H630" s="22" t="s">
        <v>1942</v>
      </c>
      <c r="I630" s="22" t="s">
        <v>3503</v>
      </c>
      <c r="J630" s="24">
        <v>7140.0</v>
      </c>
      <c r="K630" s="22" t="s">
        <v>3504</v>
      </c>
      <c r="L630" s="22" t="s">
        <v>3505</v>
      </c>
      <c r="M630" s="33">
        <v>1.0</v>
      </c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25" t="s">
        <v>1892</v>
      </c>
      <c r="B631" s="39" t="s">
        <v>3506</v>
      </c>
      <c r="C631" s="29">
        <v>7.45853478841E11</v>
      </c>
      <c r="D631" s="25" t="s">
        <v>3500</v>
      </c>
      <c r="E631" s="26" t="s">
        <v>3501</v>
      </c>
      <c r="F631" s="27">
        <v>0.18</v>
      </c>
      <c r="G631" s="26" t="s">
        <v>3502</v>
      </c>
      <c r="H631" s="26" t="s">
        <v>1942</v>
      </c>
      <c r="I631" s="26" t="s">
        <v>3503</v>
      </c>
      <c r="J631" s="28">
        <v>7140.0</v>
      </c>
      <c r="K631" s="26" t="s">
        <v>3504</v>
      </c>
      <c r="L631" s="26" t="s">
        <v>3505</v>
      </c>
      <c r="M631" s="37">
        <v>1.0</v>
      </c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20" t="s">
        <v>1892</v>
      </c>
      <c r="B632" s="32" t="s">
        <v>3507</v>
      </c>
      <c r="C632" s="30">
        <v>7.45853432492E11</v>
      </c>
      <c r="D632" s="20" t="s">
        <v>3508</v>
      </c>
      <c r="E632" s="22" t="s">
        <v>3509</v>
      </c>
      <c r="F632" s="23">
        <v>0.13</v>
      </c>
      <c r="G632" s="22" t="s">
        <v>3510</v>
      </c>
      <c r="H632" s="22" t="s">
        <v>1935</v>
      </c>
      <c r="I632" s="22" t="s">
        <v>3511</v>
      </c>
      <c r="J632" s="24">
        <v>17838.0</v>
      </c>
      <c r="K632" s="22" t="s">
        <v>3512</v>
      </c>
      <c r="L632" s="22" t="s">
        <v>3513</v>
      </c>
      <c r="M632" s="33">
        <v>12.0</v>
      </c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25" t="s">
        <v>1892</v>
      </c>
      <c r="B633" s="39" t="s">
        <v>587</v>
      </c>
      <c r="C633" s="29">
        <v>7.45853432492E11</v>
      </c>
      <c r="D633" s="25" t="s">
        <v>3508</v>
      </c>
      <c r="E633" s="26" t="s">
        <v>3509</v>
      </c>
      <c r="F633" s="27">
        <v>0.13</v>
      </c>
      <c r="G633" s="26" t="s">
        <v>3510</v>
      </c>
      <c r="H633" s="26" t="s">
        <v>1935</v>
      </c>
      <c r="I633" s="26" t="s">
        <v>3511</v>
      </c>
      <c r="J633" s="28">
        <v>17838.0</v>
      </c>
      <c r="K633" s="26" t="s">
        <v>3512</v>
      </c>
      <c r="L633" s="26" t="s">
        <v>3513</v>
      </c>
      <c r="M633" s="37">
        <v>12.0</v>
      </c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20" t="s">
        <v>1892</v>
      </c>
      <c r="B634" s="32" t="s">
        <v>3514</v>
      </c>
      <c r="C634" s="30">
        <v>7.45853478834E11</v>
      </c>
      <c r="D634" s="20" t="s">
        <v>3515</v>
      </c>
      <c r="E634" s="22" t="s">
        <v>3516</v>
      </c>
      <c r="F634" s="23">
        <v>0.18</v>
      </c>
      <c r="G634" s="22" t="s">
        <v>3517</v>
      </c>
      <c r="H634" s="22" t="s">
        <v>1942</v>
      </c>
      <c r="I634" s="22" t="s">
        <v>3518</v>
      </c>
      <c r="J634" s="24">
        <v>7140.0</v>
      </c>
      <c r="K634" s="22" t="s">
        <v>2912</v>
      </c>
      <c r="L634" s="22" t="s">
        <v>3519</v>
      </c>
      <c r="M634" s="33">
        <v>1.0</v>
      </c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25" t="s">
        <v>1892</v>
      </c>
      <c r="B635" s="39" t="s">
        <v>565</v>
      </c>
      <c r="C635" s="29">
        <v>7.45853478834E11</v>
      </c>
      <c r="D635" s="25" t="s">
        <v>3515</v>
      </c>
      <c r="E635" s="26" t="s">
        <v>3516</v>
      </c>
      <c r="F635" s="27">
        <v>0.18</v>
      </c>
      <c r="G635" s="26" t="s">
        <v>3517</v>
      </c>
      <c r="H635" s="26" t="s">
        <v>1942</v>
      </c>
      <c r="I635" s="26" t="s">
        <v>3518</v>
      </c>
      <c r="J635" s="28">
        <v>7140.0</v>
      </c>
      <c r="K635" s="26" t="s">
        <v>2912</v>
      </c>
      <c r="L635" s="26" t="s">
        <v>3519</v>
      </c>
      <c r="M635" s="37">
        <v>1.0</v>
      </c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20" t="s">
        <v>1892</v>
      </c>
      <c r="B636" s="32" t="s">
        <v>562</v>
      </c>
      <c r="C636" s="30">
        <v>7.45853432409E11</v>
      </c>
      <c r="D636" s="20" t="s">
        <v>3520</v>
      </c>
      <c r="E636" s="22" t="s">
        <v>2311</v>
      </c>
      <c r="F636" s="23">
        <v>0.18</v>
      </c>
      <c r="G636" s="22" t="s">
        <v>3521</v>
      </c>
      <c r="H636" s="22" t="s">
        <v>1942</v>
      </c>
      <c r="I636" s="22" t="s">
        <v>3522</v>
      </c>
      <c r="J636" s="24">
        <v>3570.0</v>
      </c>
      <c r="K636" s="22" t="s">
        <v>3523</v>
      </c>
      <c r="L636" s="22" t="s">
        <v>3524</v>
      </c>
      <c r="M636" s="33">
        <v>1.0</v>
      </c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25" t="s">
        <v>1892</v>
      </c>
      <c r="B637" s="39" t="s">
        <v>3525</v>
      </c>
      <c r="C637" s="29">
        <v>7.45853432409E11</v>
      </c>
      <c r="D637" s="25" t="s">
        <v>3520</v>
      </c>
      <c r="E637" s="26" t="s">
        <v>2815</v>
      </c>
      <c r="F637" s="27">
        <v>0.18</v>
      </c>
      <c r="G637" s="26" t="s">
        <v>2518</v>
      </c>
      <c r="H637" s="26" t="s">
        <v>1942</v>
      </c>
      <c r="I637" s="26" t="s">
        <v>3526</v>
      </c>
      <c r="J637" s="28">
        <v>3570.0</v>
      </c>
      <c r="K637" s="26" t="s">
        <v>3527</v>
      </c>
      <c r="L637" s="26" t="s">
        <v>3528</v>
      </c>
      <c r="M637" s="37">
        <v>1.0</v>
      </c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20" t="s">
        <v>1892</v>
      </c>
      <c r="B638" s="32" t="s">
        <v>559</v>
      </c>
      <c r="C638" s="30">
        <v>7.45853478896E11</v>
      </c>
      <c r="D638" s="20" t="s">
        <v>3529</v>
      </c>
      <c r="E638" s="22" t="s">
        <v>3530</v>
      </c>
      <c r="F638" s="23">
        <v>0.18</v>
      </c>
      <c r="G638" s="22" t="s">
        <v>3531</v>
      </c>
      <c r="H638" s="22" t="s">
        <v>1942</v>
      </c>
      <c r="I638" s="22" t="s">
        <v>3532</v>
      </c>
      <c r="J638" s="24">
        <v>8330.0</v>
      </c>
      <c r="K638" s="22" t="s">
        <v>3533</v>
      </c>
      <c r="L638" s="22" t="s">
        <v>3534</v>
      </c>
      <c r="M638" s="33">
        <v>1.0</v>
      </c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25" t="s">
        <v>1892</v>
      </c>
      <c r="B639" s="39" t="s">
        <v>3535</v>
      </c>
      <c r="C639" s="29">
        <v>7.45853478896E11</v>
      </c>
      <c r="D639" s="25" t="s">
        <v>3529</v>
      </c>
      <c r="E639" s="26" t="s">
        <v>3530</v>
      </c>
      <c r="F639" s="27">
        <v>0.18</v>
      </c>
      <c r="G639" s="26" t="s">
        <v>3531</v>
      </c>
      <c r="H639" s="26" t="s">
        <v>1942</v>
      </c>
      <c r="I639" s="26" t="s">
        <v>3532</v>
      </c>
      <c r="J639" s="28">
        <v>8330.0</v>
      </c>
      <c r="K639" s="26" t="s">
        <v>3533</v>
      </c>
      <c r="L639" s="26" t="s">
        <v>3534</v>
      </c>
      <c r="M639" s="37">
        <v>1.0</v>
      </c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20" t="s">
        <v>1892</v>
      </c>
      <c r="B640" s="32" t="s">
        <v>3536</v>
      </c>
      <c r="C640" s="30">
        <v>6.14143337437E11</v>
      </c>
      <c r="D640" s="20" t="s">
        <v>634</v>
      </c>
      <c r="E640" s="22" t="s">
        <v>2618</v>
      </c>
      <c r="F640" s="23">
        <v>0.18</v>
      </c>
      <c r="G640" s="22" t="s">
        <v>3537</v>
      </c>
      <c r="H640" s="22" t="s">
        <v>1942</v>
      </c>
      <c r="I640" s="22" t="s">
        <v>3538</v>
      </c>
      <c r="J640" s="24">
        <v>4284.0</v>
      </c>
      <c r="K640" s="22" t="s">
        <v>3539</v>
      </c>
      <c r="L640" s="22" t="s">
        <v>3540</v>
      </c>
      <c r="M640" s="33">
        <v>1.0</v>
      </c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25" t="s">
        <v>1892</v>
      </c>
      <c r="B641" s="39" t="s">
        <v>633</v>
      </c>
      <c r="C641" s="29">
        <v>6.14143337437E11</v>
      </c>
      <c r="D641" s="25" t="s">
        <v>634</v>
      </c>
      <c r="E641" s="26" t="s">
        <v>3010</v>
      </c>
      <c r="F641" s="27">
        <v>0.18</v>
      </c>
      <c r="G641" s="26" t="s">
        <v>3541</v>
      </c>
      <c r="H641" s="26" t="s">
        <v>1942</v>
      </c>
      <c r="I641" s="26" t="s">
        <v>3542</v>
      </c>
      <c r="J641" s="28">
        <v>4284.0</v>
      </c>
      <c r="K641" s="26" t="s">
        <v>3543</v>
      </c>
      <c r="L641" s="26" t="s">
        <v>3544</v>
      </c>
      <c r="M641" s="37">
        <v>1.0</v>
      </c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20" t="s">
        <v>1892</v>
      </c>
      <c r="B642" s="32" t="s">
        <v>918</v>
      </c>
      <c r="C642" s="30">
        <v>7.45853432485E11</v>
      </c>
      <c r="D642" s="20" t="s">
        <v>3545</v>
      </c>
      <c r="E642" s="20"/>
      <c r="F642" s="20"/>
      <c r="G642" s="22" t="s">
        <v>1942</v>
      </c>
      <c r="H642" s="20"/>
      <c r="I642" s="22" t="s">
        <v>1942</v>
      </c>
      <c r="J642" s="24">
        <v>16660.0</v>
      </c>
      <c r="K642" s="22" t="s">
        <v>3546</v>
      </c>
      <c r="L642" s="22" t="s">
        <v>1947</v>
      </c>
      <c r="M642" s="33">
        <v>12.0</v>
      </c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25" t="s">
        <v>1892</v>
      </c>
      <c r="B643" s="39" t="s">
        <v>3547</v>
      </c>
      <c r="C643" s="29">
        <v>7.45853432485E11</v>
      </c>
      <c r="D643" s="25" t="s">
        <v>3545</v>
      </c>
      <c r="E643" s="25"/>
      <c r="F643" s="25"/>
      <c r="G643" s="26" t="s">
        <v>1942</v>
      </c>
      <c r="H643" s="25"/>
      <c r="I643" s="26" t="s">
        <v>1942</v>
      </c>
      <c r="J643" s="28">
        <v>16660.0</v>
      </c>
      <c r="K643" s="26" t="s">
        <v>3546</v>
      </c>
      <c r="L643" s="26" t="s">
        <v>1947</v>
      </c>
      <c r="M643" s="37">
        <v>12.0</v>
      </c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20" t="s">
        <v>1892</v>
      </c>
      <c r="B644" s="32" t="s">
        <v>1241</v>
      </c>
      <c r="C644" s="30">
        <v>7.99192118128E11</v>
      </c>
      <c r="D644" s="20" t="s">
        <v>3548</v>
      </c>
      <c r="E644" s="20"/>
      <c r="F644" s="20"/>
      <c r="G644" s="20"/>
      <c r="H644" s="20"/>
      <c r="I644" s="20"/>
      <c r="J644" s="22" t="s">
        <v>3286</v>
      </c>
      <c r="K644" s="20"/>
      <c r="L644" s="20"/>
      <c r="M644" s="33">
        <v>1.0</v>
      </c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25" t="s">
        <v>1892</v>
      </c>
      <c r="B645" s="39" t="s">
        <v>1256</v>
      </c>
      <c r="C645" s="29">
        <v>7.37186857875E11</v>
      </c>
      <c r="D645" s="25" t="s">
        <v>3549</v>
      </c>
      <c r="E645" s="25"/>
      <c r="F645" s="25"/>
      <c r="G645" s="25"/>
      <c r="H645" s="25"/>
      <c r="I645" s="25"/>
      <c r="J645" s="28">
        <v>3570.0</v>
      </c>
      <c r="K645" s="25"/>
      <c r="L645" s="25"/>
      <c r="M645" s="37">
        <v>1.0</v>
      </c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20" t="s">
        <v>1892</v>
      </c>
      <c r="B646" s="32" t="s">
        <v>3550</v>
      </c>
      <c r="C646" s="30">
        <v>7.37186857875E11</v>
      </c>
      <c r="D646" s="20" t="s">
        <v>3549</v>
      </c>
      <c r="E646" s="20"/>
      <c r="F646" s="20"/>
      <c r="G646" s="20"/>
      <c r="H646" s="20"/>
      <c r="I646" s="20"/>
      <c r="J646" s="24">
        <v>3570.0</v>
      </c>
      <c r="K646" s="20"/>
      <c r="L646" s="20"/>
      <c r="M646" s="33">
        <v>1.0</v>
      </c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25" t="s">
        <v>1892</v>
      </c>
      <c r="B647" s="39" t="s">
        <v>3551</v>
      </c>
      <c r="C647" s="29">
        <v>7.99192118128E11</v>
      </c>
      <c r="D647" s="25" t="s">
        <v>1242</v>
      </c>
      <c r="E647" s="25"/>
      <c r="F647" s="25"/>
      <c r="G647" s="25"/>
      <c r="H647" s="25"/>
      <c r="I647" s="25"/>
      <c r="J647" s="26" t="s">
        <v>3286</v>
      </c>
      <c r="K647" s="25"/>
      <c r="L647" s="25"/>
      <c r="M647" s="37">
        <v>1.0</v>
      </c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20" t="s">
        <v>2604</v>
      </c>
      <c r="B648" s="32" t="s">
        <v>1451</v>
      </c>
      <c r="C648" s="30" t="s">
        <v>1452</v>
      </c>
      <c r="D648" s="20" t="s">
        <v>3552</v>
      </c>
      <c r="E648" s="20"/>
      <c r="F648" s="20"/>
      <c r="G648" s="20"/>
      <c r="H648" s="20"/>
      <c r="I648" s="20"/>
      <c r="J648" s="24">
        <v>5850.0</v>
      </c>
      <c r="K648" s="20"/>
      <c r="L648" s="20"/>
      <c r="M648" s="32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25" t="s">
        <v>2604</v>
      </c>
      <c r="B649" s="39" t="s">
        <v>1455</v>
      </c>
      <c r="C649" s="29" t="s">
        <v>1456</v>
      </c>
      <c r="D649" s="25" t="s">
        <v>3553</v>
      </c>
      <c r="E649" s="25"/>
      <c r="F649" s="25"/>
      <c r="G649" s="25"/>
      <c r="H649" s="25"/>
      <c r="I649" s="25"/>
      <c r="J649" s="28">
        <v>3600.0</v>
      </c>
      <c r="K649" s="25"/>
      <c r="L649" s="25"/>
      <c r="M649" s="3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20" t="s">
        <v>2604</v>
      </c>
      <c r="B650" s="32" t="s">
        <v>1553</v>
      </c>
      <c r="C650" s="30" t="s">
        <v>1554</v>
      </c>
      <c r="D650" s="20" t="s">
        <v>3554</v>
      </c>
      <c r="E650" s="20"/>
      <c r="F650" s="20"/>
      <c r="G650" s="20"/>
      <c r="H650" s="20"/>
      <c r="I650" s="20"/>
      <c r="J650" s="24">
        <v>7200.0</v>
      </c>
      <c r="K650" s="20"/>
      <c r="L650" s="20"/>
      <c r="M650" s="32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25" t="s">
        <v>2604</v>
      </c>
      <c r="B651" s="39" t="s">
        <v>1541</v>
      </c>
      <c r="C651" s="29" t="s">
        <v>1542</v>
      </c>
      <c r="D651" s="25" t="s">
        <v>3555</v>
      </c>
      <c r="E651" s="25"/>
      <c r="F651" s="25"/>
      <c r="G651" s="25"/>
      <c r="H651" s="25"/>
      <c r="I651" s="25"/>
      <c r="J651" s="28">
        <v>7200.0</v>
      </c>
      <c r="K651" s="25"/>
      <c r="L651" s="25"/>
      <c r="M651" s="3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20" t="s">
        <v>2604</v>
      </c>
      <c r="B652" s="32" t="s">
        <v>1557</v>
      </c>
      <c r="C652" s="30" t="s">
        <v>1558</v>
      </c>
      <c r="D652" s="20" t="s">
        <v>3556</v>
      </c>
      <c r="E652" s="20"/>
      <c r="F652" s="20"/>
      <c r="G652" s="20"/>
      <c r="H652" s="20"/>
      <c r="I652" s="20"/>
      <c r="J652" s="24">
        <v>8400.0</v>
      </c>
      <c r="K652" s="20"/>
      <c r="L652" s="20"/>
      <c r="M652" s="32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25" t="s">
        <v>2604</v>
      </c>
      <c r="B653" s="39" t="s">
        <v>1549</v>
      </c>
      <c r="C653" s="29" t="s">
        <v>1550</v>
      </c>
      <c r="D653" s="25" t="s">
        <v>3557</v>
      </c>
      <c r="E653" s="25"/>
      <c r="F653" s="25"/>
      <c r="G653" s="25"/>
      <c r="H653" s="25"/>
      <c r="I653" s="25"/>
      <c r="J653" s="28">
        <v>3780.0</v>
      </c>
      <c r="K653" s="25"/>
      <c r="L653" s="25"/>
      <c r="M653" s="3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20" t="s">
        <v>2604</v>
      </c>
      <c r="B654" s="32" t="s">
        <v>1537</v>
      </c>
      <c r="C654" s="30" t="s">
        <v>1538</v>
      </c>
      <c r="D654" s="20" t="s">
        <v>3558</v>
      </c>
      <c r="E654" s="20"/>
      <c r="F654" s="20"/>
      <c r="G654" s="20"/>
      <c r="H654" s="20"/>
      <c r="I654" s="20"/>
      <c r="J654" s="24">
        <v>3360.0</v>
      </c>
      <c r="K654" s="20"/>
      <c r="L654" s="20"/>
      <c r="M654" s="32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25" t="s">
        <v>2604</v>
      </c>
      <c r="B655" s="39" t="s">
        <v>1545</v>
      </c>
      <c r="C655" s="29" t="s">
        <v>1546</v>
      </c>
      <c r="D655" s="25" t="s">
        <v>3559</v>
      </c>
      <c r="E655" s="25"/>
      <c r="F655" s="25"/>
      <c r="G655" s="25"/>
      <c r="H655" s="25"/>
      <c r="I655" s="25"/>
      <c r="J655" s="28">
        <v>2925.0</v>
      </c>
      <c r="K655" s="25"/>
      <c r="L655" s="25"/>
      <c r="M655" s="3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20" t="s">
        <v>2604</v>
      </c>
      <c r="B656" s="32" t="s">
        <v>1526</v>
      </c>
      <c r="C656" s="30" t="s">
        <v>1527</v>
      </c>
      <c r="D656" s="20" t="s">
        <v>3560</v>
      </c>
      <c r="E656" s="20"/>
      <c r="F656" s="20"/>
      <c r="G656" s="20"/>
      <c r="H656" s="20"/>
      <c r="I656" s="20"/>
      <c r="J656" s="24">
        <v>1980.0</v>
      </c>
      <c r="K656" s="20"/>
      <c r="L656" s="20"/>
      <c r="M656" s="32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25" t="s">
        <v>2604</v>
      </c>
      <c r="B657" s="39" t="s">
        <v>1533</v>
      </c>
      <c r="C657" s="44" t="s">
        <v>1534</v>
      </c>
      <c r="D657" s="25" t="s">
        <v>3561</v>
      </c>
      <c r="E657" s="25"/>
      <c r="F657" s="25"/>
      <c r="G657" s="25"/>
      <c r="H657" s="25"/>
      <c r="I657" s="25"/>
      <c r="J657" s="28">
        <v>2925.0</v>
      </c>
      <c r="K657" s="25"/>
      <c r="L657" s="25"/>
      <c r="M657" s="3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32" t="s">
        <v>2604</v>
      </c>
      <c r="B658" s="32" t="s">
        <v>1522</v>
      </c>
      <c r="C658" s="45" t="s">
        <v>1523</v>
      </c>
      <c r="D658" s="32" t="s">
        <v>3562</v>
      </c>
      <c r="E658" s="32"/>
      <c r="F658" s="32"/>
      <c r="G658" s="33" t="s">
        <v>1942</v>
      </c>
      <c r="H658" s="32"/>
      <c r="I658" s="33" t="s">
        <v>1942</v>
      </c>
      <c r="J658" s="24">
        <v>7200.0</v>
      </c>
      <c r="K658" s="33" t="s">
        <v>3563</v>
      </c>
      <c r="L658" s="33" t="s">
        <v>1947</v>
      </c>
      <c r="M658" s="33" t="s">
        <v>2525</v>
      </c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39" t="s">
        <v>2604</v>
      </c>
      <c r="B659" s="39" t="s">
        <v>1506</v>
      </c>
      <c r="C659" s="44" t="s">
        <v>1507</v>
      </c>
      <c r="D659" s="39" t="s">
        <v>3564</v>
      </c>
      <c r="E659" s="39"/>
      <c r="F659" s="39"/>
      <c r="G659" s="37" t="s">
        <v>1942</v>
      </c>
      <c r="H659" s="39"/>
      <c r="I659" s="37" t="s">
        <v>1942</v>
      </c>
      <c r="J659" s="28">
        <v>2700.0</v>
      </c>
      <c r="K659" s="37" t="s">
        <v>2558</v>
      </c>
      <c r="L659" s="37" t="s">
        <v>1947</v>
      </c>
      <c r="M659" s="37" t="s">
        <v>2525</v>
      </c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32" t="s">
        <v>2604</v>
      </c>
      <c r="B660" s="32" t="s">
        <v>1502</v>
      </c>
      <c r="C660" s="45" t="s">
        <v>1503</v>
      </c>
      <c r="D660" s="32" t="s">
        <v>3565</v>
      </c>
      <c r="E660" s="32"/>
      <c r="F660" s="32"/>
      <c r="G660" s="33" t="s">
        <v>1942</v>
      </c>
      <c r="H660" s="32"/>
      <c r="I660" s="33" t="s">
        <v>1942</v>
      </c>
      <c r="J660" s="24">
        <v>5400.0</v>
      </c>
      <c r="K660" s="33" t="s">
        <v>2562</v>
      </c>
      <c r="L660" s="33" t="s">
        <v>1947</v>
      </c>
      <c r="M660" s="33" t="s">
        <v>2525</v>
      </c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39" t="s">
        <v>2604</v>
      </c>
      <c r="B661" s="39" t="s">
        <v>1465</v>
      </c>
      <c r="C661" s="44" t="s">
        <v>1466</v>
      </c>
      <c r="D661" s="39" t="s">
        <v>3566</v>
      </c>
      <c r="E661" s="39"/>
      <c r="F661" s="39"/>
      <c r="G661" s="37" t="s">
        <v>1942</v>
      </c>
      <c r="H661" s="39"/>
      <c r="I661" s="37" t="s">
        <v>1942</v>
      </c>
      <c r="J661" s="28">
        <v>1512.0</v>
      </c>
      <c r="K661" s="37" t="s">
        <v>3567</v>
      </c>
      <c r="L661" s="37" t="s">
        <v>1947</v>
      </c>
      <c r="M661" s="37" t="s">
        <v>2525</v>
      </c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32" t="s">
        <v>2467</v>
      </c>
      <c r="B662" s="32" t="s">
        <v>3568</v>
      </c>
      <c r="C662" s="45">
        <v>6.942007618915E12</v>
      </c>
      <c r="D662" s="32" t="s">
        <v>3569</v>
      </c>
      <c r="E662" s="32"/>
      <c r="F662" s="32"/>
      <c r="G662" s="33" t="s">
        <v>1942</v>
      </c>
      <c r="H662" s="32"/>
      <c r="I662" s="33" t="s">
        <v>1942</v>
      </c>
      <c r="J662" s="35">
        <v>6000.0</v>
      </c>
      <c r="K662" s="33" t="s">
        <v>3570</v>
      </c>
      <c r="L662" s="33" t="s">
        <v>1947</v>
      </c>
      <c r="M662" s="33" t="s">
        <v>2525</v>
      </c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39" t="s">
        <v>2467</v>
      </c>
      <c r="B663" s="39" t="s">
        <v>1530</v>
      </c>
      <c r="C663" s="44">
        <v>6.942007618915E12</v>
      </c>
      <c r="D663" s="39" t="s">
        <v>3569</v>
      </c>
      <c r="E663" s="39"/>
      <c r="F663" s="39"/>
      <c r="G663" s="37" t="s">
        <v>1942</v>
      </c>
      <c r="H663" s="39"/>
      <c r="I663" s="37" t="s">
        <v>1942</v>
      </c>
      <c r="J663" s="38">
        <v>6000.0</v>
      </c>
      <c r="K663" s="37" t="s">
        <v>3570</v>
      </c>
      <c r="L663" s="37" t="s">
        <v>1947</v>
      </c>
      <c r="M663" s="37" t="s">
        <v>2525</v>
      </c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32" t="s">
        <v>2467</v>
      </c>
      <c r="B664" s="32" t="s">
        <v>1496</v>
      </c>
      <c r="C664" s="45">
        <v>6.931474788887E12</v>
      </c>
      <c r="D664" s="32" t="s">
        <v>3571</v>
      </c>
      <c r="E664" s="32"/>
      <c r="F664" s="32"/>
      <c r="G664" s="33" t="s">
        <v>1942</v>
      </c>
      <c r="H664" s="32"/>
      <c r="I664" s="33" t="s">
        <v>1942</v>
      </c>
      <c r="J664" s="35">
        <v>8000.0</v>
      </c>
      <c r="K664" s="33" t="s">
        <v>3572</v>
      </c>
      <c r="L664" s="33" t="s">
        <v>1947</v>
      </c>
      <c r="M664" s="33" t="s">
        <v>2525</v>
      </c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39" t="s">
        <v>2467</v>
      </c>
      <c r="B665" s="39" t="s">
        <v>3573</v>
      </c>
      <c r="C665" s="44">
        <v>6.931474788887E12</v>
      </c>
      <c r="D665" s="47" t="s">
        <v>3574</v>
      </c>
      <c r="E665" s="39"/>
      <c r="F665" s="39"/>
      <c r="G665" s="37" t="s">
        <v>1942</v>
      </c>
      <c r="H665" s="39"/>
      <c r="I665" s="37" t="s">
        <v>1942</v>
      </c>
      <c r="J665" s="38">
        <v>8000.0</v>
      </c>
      <c r="K665" s="37" t="s">
        <v>3572</v>
      </c>
      <c r="L665" s="37" t="s">
        <v>1947</v>
      </c>
      <c r="M665" s="37" t="s">
        <v>2525</v>
      </c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32" t="s">
        <v>2467</v>
      </c>
      <c r="B666" s="32" t="s">
        <v>3575</v>
      </c>
      <c r="C666" s="45">
        <v>6.931474788863E12</v>
      </c>
      <c r="D666" s="32" t="s">
        <v>3576</v>
      </c>
      <c r="E666" s="32"/>
      <c r="F666" s="32"/>
      <c r="G666" s="33" t="s">
        <v>1942</v>
      </c>
      <c r="H666" s="32"/>
      <c r="I666" s="33" t="s">
        <v>1942</v>
      </c>
      <c r="J666" s="35">
        <v>8000.0</v>
      </c>
      <c r="K666" s="33" t="s">
        <v>3572</v>
      </c>
      <c r="L666" s="33" t="s">
        <v>1947</v>
      </c>
      <c r="M666" s="33" t="s">
        <v>2525</v>
      </c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39" t="s">
        <v>2467</v>
      </c>
      <c r="B667" s="39" t="s">
        <v>1499</v>
      </c>
      <c r="C667" s="44">
        <v>6.931474788863E12</v>
      </c>
      <c r="D667" s="39" t="s">
        <v>3576</v>
      </c>
      <c r="E667" s="39"/>
      <c r="F667" s="39"/>
      <c r="G667" s="37" t="s">
        <v>1942</v>
      </c>
      <c r="H667" s="39"/>
      <c r="I667" s="37" t="s">
        <v>1942</v>
      </c>
      <c r="J667" s="38">
        <v>8000.0</v>
      </c>
      <c r="K667" s="37" t="s">
        <v>3572</v>
      </c>
      <c r="L667" s="37" t="s">
        <v>1947</v>
      </c>
      <c r="M667" s="37" t="s">
        <v>2525</v>
      </c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32" t="s">
        <v>2467</v>
      </c>
      <c r="B668" s="32" t="s">
        <v>1475</v>
      </c>
      <c r="C668" s="45">
        <v>6.931474789235E12</v>
      </c>
      <c r="D668" s="32" t="s">
        <v>3577</v>
      </c>
      <c r="E668" s="32"/>
      <c r="F668" s="32"/>
      <c r="G668" s="33" t="s">
        <v>1942</v>
      </c>
      <c r="H668" s="32"/>
      <c r="I668" s="33" t="s">
        <v>1942</v>
      </c>
      <c r="J668" s="35">
        <v>7200.0</v>
      </c>
      <c r="K668" s="33" t="s">
        <v>3563</v>
      </c>
      <c r="L668" s="33" t="s">
        <v>1947</v>
      </c>
      <c r="M668" s="33" t="s">
        <v>2525</v>
      </c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39" t="s">
        <v>2467</v>
      </c>
      <c r="B669" s="39" t="s">
        <v>3578</v>
      </c>
      <c r="C669" s="44">
        <v>6.931474789235E12</v>
      </c>
      <c r="D669" s="39" t="s">
        <v>3577</v>
      </c>
      <c r="E669" s="39"/>
      <c r="F669" s="39"/>
      <c r="G669" s="37" t="s">
        <v>1942</v>
      </c>
      <c r="H669" s="39"/>
      <c r="I669" s="37" t="s">
        <v>1942</v>
      </c>
      <c r="J669" s="38">
        <v>7200.0</v>
      </c>
      <c r="K669" s="37" t="s">
        <v>3563</v>
      </c>
      <c r="L669" s="37" t="s">
        <v>1947</v>
      </c>
      <c r="M669" s="37" t="s">
        <v>2525</v>
      </c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32" t="s">
        <v>2467</v>
      </c>
      <c r="B670" s="32" t="s">
        <v>1487</v>
      </c>
      <c r="C670" s="45">
        <v>6.94200761445E12</v>
      </c>
      <c r="D670" s="32" t="s">
        <v>3579</v>
      </c>
      <c r="E670" s="32"/>
      <c r="F670" s="32"/>
      <c r="G670" s="33" t="s">
        <v>1942</v>
      </c>
      <c r="H670" s="32"/>
      <c r="I670" s="33" t="s">
        <v>1942</v>
      </c>
      <c r="J670" s="35">
        <v>4400.0</v>
      </c>
      <c r="K670" s="33" t="s">
        <v>3580</v>
      </c>
      <c r="L670" s="33" t="s">
        <v>1947</v>
      </c>
      <c r="M670" s="33" t="s">
        <v>2525</v>
      </c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39" t="s">
        <v>2467</v>
      </c>
      <c r="B671" s="39" t="s">
        <v>3581</v>
      </c>
      <c r="C671" s="44">
        <v>6.94200761445E12</v>
      </c>
      <c r="D671" s="39" t="s">
        <v>3579</v>
      </c>
      <c r="E671" s="39"/>
      <c r="F671" s="39"/>
      <c r="G671" s="37" t="s">
        <v>1942</v>
      </c>
      <c r="H671" s="39"/>
      <c r="I671" s="37" t="s">
        <v>1942</v>
      </c>
      <c r="J671" s="38">
        <v>4400.0</v>
      </c>
      <c r="K671" s="37" t="s">
        <v>3580</v>
      </c>
      <c r="L671" s="37" t="s">
        <v>1947</v>
      </c>
      <c r="M671" s="37" t="s">
        <v>2525</v>
      </c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32" t="s">
        <v>2467</v>
      </c>
      <c r="B672" s="32" t="s">
        <v>3582</v>
      </c>
      <c r="C672" s="45">
        <v>6.931474766229E12</v>
      </c>
      <c r="D672" s="32" t="s">
        <v>1485</v>
      </c>
      <c r="E672" s="32"/>
      <c r="F672" s="32"/>
      <c r="G672" s="33" t="s">
        <v>1942</v>
      </c>
      <c r="H672" s="32"/>
      <c r="I672" s="33" t="s">
        <v>1942</v>
      </c>
      <c r="J672" s="35">
        <v>2400.0</v>
      </c>
      <c r="K672" s="33" t="s">
        <v>3583</v>
      </c>
      <c r="L672" s="33" t="s">
        <v>1947</v>
      </c>
      <c r="M672" s="33" t="s">
        <v>2525</v>
      </c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39" t="s">
        <v>2467</v>
      </c>
      <c r="B673" s="39" t="s">
        <v>1484</v>
      </c>
      <c r="C673" s="44">
        <v>6.931474766229E12</v>
      </c>
      <c r="D673" s="39" t="s">
        <v>1485</v>
      </c>
      <c r="E673" s="39"/>
      <c r="F673" s="39"/>
      <c r="G673" s="37" t="s">
        <v>1942</v>
      </c>
      <c r="H673" s="39"/>
      <c r="I673" s="37" t="s">
        <v>1942</v>
      </c>
      <c r="J673" s="38">
        <v>2400.0</v>
      </c>
      <c r="K673" s="37" t="s">
        <v>3583</v>
      </c>
      <c r="L673" s="37" t="s">
        <v>1947</v>
      </c>
      <c r="M673" s="37" t="s">
        <v>2525</v>
      </c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32" t="s">
        <v>2467</v>
      </c>
      <c r="B674" s="32" t="s">
        <v>3584</v>
      </c>
      <c r="C674" s="45">
        <v>6.942007631792E12</v>
      </c>
      <c r="D674" s="32" t="s">
        <v>1482</v>
      </c>
      <c r="E674" s="32"/>
      <c r="F674" s="32"/>
      <c r="G674" s="33" t="s">
        <v>1942</v>
      </c>
      <c r="H674" s="32"/>
      <c r="I674" s="33" t="s">
        <v>1942</v>
      </c>
      <c r="J674" s="35">
        <v>6400.0</v>
      </c>
      <c r="K674" s="33" t="s">
        <v>3585</v>
      </c>
      <c r="L674" s="33" t="s">
        <v>1947</v>
      </c>
      <c r="M674" s="33" t="s">
        <v>2525</v>
      </c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39" t="s">
        <v>2467</v>
      </c>
      <c r="B675" s="39" t="s">
        <v>1481</v>
      </c>
      <c r="C675" s="44">
        <v>6.942007631792E12</v>
      </c>
      <c r="D675" s="39" t="s">
        <v>1482</v>
      </c>
      <c r="E675" s="39"/>
      <c r="F675" s="39"/>
      <c r="G675" s="37" t="s">
        <v>1942</v>
      </c>
      <c r="H675" s="39"/>
      <c r="I675" s="37" t="s">
        <v>1942</v>
      </c>
      <c r="J675" s="38">
        <v>6400.0</v>
      </c>
      <c r="K675" s="37" t="s">
        <v>3585</v>
      </c>
      <c r="L675" s="37" t="s">
        <v>1947</v>
      </c>
      <c r="M675" s="37" t="s">
        <v>2525</v>
      </c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32" t="s">
        <v>2467</v>
      </c>
      <c r="B676" s="32" t="s">
        <v>1513</v>
      </c>
      <c r="C676" s="45">
        <v>6.942007602358E12</v>
      </c>
      <c r="D676" s="32" t="s">
        <v>3586</v>
      </c>
      <c r="E676" s="32"/>
      <c r="F676" s="32"/>
      <c r="G676" s="33" t="s">
        <v>1942</v>
      </c>
      <c r="H676" s="32"/>
      <c r="I676" s="33" t="s">
        <v>1942</v>
      </c>
      <c r="J676" s="35">
        <v>4800.0</v>
      </c>
      <c r="K676" s="33" t="s">
        <v>3587</v>
      </c>
      <c r="L676" s="33" t="s">
        <v>1947</v>
      </c>
      <c r="M676" s="33" t="s">
        <v>2525</v>
      </c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39" t="s">
        <v>2467</v>
      </c>
      <c r="B677" s="39" t="s">
        <v>3588</v>
      </c>
      <c r="C677" s="44">
        <v>6.942007602358E12</v>
      </c>
      <c r="D677" s="39" t="s">
        <v>3586</v>
      </c>
      <c r="E677" s="39"/>
      <c r="F677" s="39"/>
      <c r="G677" s="37" t="s">
        <v>1942</v>
      </c>
      <c r="H677" s="39"/>
      <c r="I677" s="37" t="s">
        <v>1942</v>
      </c>
      <c r="J677" s="38">
        <v>4800.0</v>
      </c>
      <c r="K677" s="37" t="s">
        <v>3587</v>
      </c>
      <c r="L677" s="37" t="s">
        <v>1947</v>
      </c>
      <c r="M677" s="37" t="s">
        <v>2525</v>
      </c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32" t="s">
        <v>2467</v>
      </c>
      <c r="B678" s="32" t="s">
        <v>1478</v>
      </c>
      <c r="C678" s="45">
        <v>6.942007602419E12</v>
      </c>
      <c r="D678" s="32" t="s">
        <v>3589</v>
      </c>
      <c r="E678" s="32"/>
      <c r="F678" s="32"/>
      <c r="G678" s="33" t="s">
        <v>1942</v>
      </c>
      <c r="H678" s="32"/>
      <c r="I678" s="33" t="s">
        <v>1942</v>
      </c>
      <c r="J678" s="35">
        <v>12000.0</v>
      </c>
      <c r="K678" s="33" t="s">
        <v>3590</v>
      </c>
      <c r="L678" s="33" t="s">
        <v>1947</v>
      </c>
      <c r="M678" s="33" t="s">
        <v>2525</v>
      </c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39" t="s">
        <v>2467</v>
      </c>
      <c r="B679" s="39" t="s">
        <v>3591</v>
      </c>
      <c r="C679" s="44">
        <v>6.942007602419E12</v>
      </c>
      <c r="D679" s="39" t="s">
        <v>3589</v>
      </c>
      <c r="E679" s="39"/>
      <c r="F679" s="39"/>
      <c r="G679" s="37" t="s">
        <v>1942</v>
      </c>
      <c r="H679" s="39"/>
      <c r="I679" s="37" t="s">
        <v>1942</v>
      </c>
      <c r="J679" s="38">
        <v>12000.0</v>
      </c>
      <c r="K679" s="37" t="s">
        <v>3590</v>
      </c>
      <c r="L679" s="37" t="s">
        <v>1947</v>
      </c>
      <c r="M679" s="37" t="s">
        <v>2525</v>
      </c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32" t="s">
        <v>2467</v>
      </c>
      <c r="B680" s="32" t="s">
        <v>3592</v>
      </c>
      <c r="C680" s="45">
        <v>6.931474783561E12</v>
      </c>
      <c r="D680" s="32" t="s">
        <v>1463</v>
      </c>
      <c r="E680" s="32"/>
      <c r="F680" s="32"/>
      <c r="G680" s="33" t="s">
        <v>1942</v>
      </c>
      <c r="H680" s="32"/>
      <c r="I680" s="33" t="s">
        <v>1942</v>
      </c>
      <c r="J680" s="35">
        <v>6400.0</v>
      </c>
      <c r="K680" s="33" t="s">
        <v>3585</v>
      </c>
      <c r="L680" s="33" t="s">
        <v>1947</v>
      </c>
      <c r="M680" s="33" t="s">
        <v>2525</v>
      </c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39" t="s">
        <v>2467</v>
      </c>
      <c r="B681" s="39" t="s">
        <v>1462</v>
      </c>
      <c r="C681" s="44">
        <v>6.931474783561E12</v>
      </c>
      <c r="D681" s="39" t="s">
        <v>1463</v>
      </c>
      <c r="E681" s="39"/>
      <c r="F681" s="39"/>
      <c r="G681" s="37" t="s">
        <v>1942</v>
      </c>
      <c r="H681" s="39"/>
      <c r="I681" s="37" t="s">
        <v>1942</v>
      </c>
      <c r="J681" s="38">
        <v>6400.0</v>
      </c>
      <c r="K681" s="37" t="s">
        <v>3585</v>
      </c>
      <c r="L681" s="37" t="s">
        <v>1947</v>
      </c>
      <c r="M681" s="37" t="s">
        <v>2525</v>
      </c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32" t="s">
        <v>2467</v>
      </c>
      <c r="B682" s="32" t="s">
        <v>1510</v>
      </c>
      <c r="C682" s="45">
        <v>6.9420076521E12</v>
      </c>
      <c r="D682" s="32" t="s">
        <v>1511</v>
      </c>
      <c r="E682" s="32"/>
      <c r="F682" s="32"/>
      <c r="G682" s="33" t="s">
        <v>1942</v>
      </c>
      <c r="H682" s="32"/>
      <c r="I682" s="33" t="s">
        <v>1942</v>
      </c>
      <c r="J682" s="35">
        <v>48000.0</v>
      </c>
      <c r="K682" s="33" t="s">
        <v>3593</v>
      </c>
      <c r="L682" s="33" t="s">
        <v>1947</v>
      </c>
      <c r="M682" s="33" t="s">
        <v>2525</v>
      </c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39" t="s">
        <v>2467</v>
      </c>
      <c r="B683" s="39" t="s">
        <v>3594</v>
      </c>
      <c r="C683" s="44">
        <v>6.9420076521E12</v>
      </c>
      <c r="D683" s="39" t="s">
        <v>1511</v>
      </c>
      <c r="E683" s="39"/>
      <c r="F683" s="39"/>
      <c r="G683" s="37" t="s">
        <v>1942</v>
      </c>
      <c r="H683" s="39"/>
      <c r="I683" s="37" t="s">
        <v>1942</v>
      </c>
      <c r="J683" s="38">
        <v>48000.0</v>
      </c>
      <c r="K683" s="37" t="s">
        <v>3593</v>
      </c>
      <c r="L683" s="37" t="s">
        <v>1947</v>
      </c>
      <c r="M683" s="37" t="s">
        <v>2525</v>
      </c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32" t="s">
        <v>2467</v>
      </c>
      <c r="B684" s="32" t="s">
        <v>3595</v>
      </c>
      <c r="C684" s="45">
        <v>6.942007639965E12</v>
      </c>
      <c r="D684" s="32" t="s">
        <v>1470</v>
      </c>
      <c r="E684" s="32"/>
      <c r="F684" s="32"/>
      <c r="G684" s="33" t="s">
        <v>1942</v>
      </c>
      <c r="H684" s="32"/>
      <c r="I684" s="33" t="s">
        <v>1942</v>
      </c>
      <c r="J684" s="35">
        <v>36000.0</v>
      </c>
      <c r="K684" s="33" t="s">
        <v>3596</v>
      </c>
      <c r="L684" s="33" t="s">
        <v>1947</v>
      </c>
      <c r="M684" s="33" t="s">
        <v>2525</v>
      </c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39" t="s">
        <v>2467</v>
      </c>
      <c r="B685" s="39" t="s">
        <v>1469</v>
      </c>
      <c r="C685" s="44">
        <v>6.942007639965E12</v>
      </c>
      <c r="D685" s="39" t="s">
        <v>1470</v>
      </c>
      <c r="E685" s="39"/>
      <c r="F685" s="39"/>
      <c r="G685" s="37" t="s">
        <v>1942</v>
      </c>
      <c r="H685" s="39"/>
      <c r="I685" s="37" t="s">
        <v>1942</v>
      </c>
      <c r="J685" s="38">
        <v>36000.0</v>
      </c>
      <c r="K685" s="37" t="s">
        <v>3596</v>
      </c>
      <c r="L685" s="37" t="s">
        <v>1947</v>
      </c>
      <c r="M685" s="37" t="s">
        <v>2525</v>
      </c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32" t="s">
        <v>2467</v>
      </c>
      <c r="B686" s="32" t="s">
        <v>1459</v>
      </c>
      <c r="C686" s="45">
        <v>6.931474758514E12</v>
      </c>
      <c r="D686" s="32" t="s">
        <v>1460</v>
      </c>
      <c r="E686" s="32"/>
      <c r="F686" s="32"/>
      <c r="G686" s="33" t="s">
        <v>1942</v>
      </c>
      <c r="H686" s="32"/>
      <c r="I686" s="33" t="s">
        <v>1942</v>
      </c>
      <c r="J686" s="35">
        <v>2800.0</v>
      </c>
      <c r="K686" s="33" t="s">
        <v>3597</v>
      </c>
      <c r="L686" s="33" t="s">
        <v>1947</v>
      </c>
      <c r="M686" s="33" t="s">
        <v>2525</v>
      </c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39" t="s">
        <v>2467</v>
      </c>
      <c r="B687" s="39" t="s">
        <v>3598</v>
      </c>
      <c r="C687" s="44">
        <v>6.931474758514E12</v>
      </c>
      <c r="D687" s="39" t="s">
        <v>1460</v>
      </c>
      <c r="E687" s="39"/>
      <c r="F687" s="39"/>
      <c r="G687" s="37" t="s">
        <v>1942</v>
      </c>
      <c r="H687" s="39"/>
      <c r="I687" s="37" t="s">
        <v>1942</v>
      </c>
      <c r="J687" s="38">
        <v>2800.0</v>
      </c>
      <c r="K687" s="37" t="s">
        <v>3597</v>
      </c>
      <c r="L687" s="37" t="s">
        <v>1947</v>
      </c>
      <c r="M687" s="37" t="s">
        <v>2525</v>
      </c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32" t="s">
        <v>2467</v>
      </c>
      <c r="B688" s="32" t="s">
        <v>3599</v>
      </c>
      <c r="C688" s="45">
        <v>6.931474742568E12</v>
      </c>
      <c r="D688" s="32" t="s">
        <v>3600</v>
      </c>
      <c r="E688" s="32"/>
      <c r="F688" s="32"/>
      <c r="G688" s="33" t="s">
        <v>1942</v>
      </c>
      <c r="H688" s="32"/>
      <c r="I688" s="33" t="s">
        <v>1942</v>
      </c>
      <c r="J688" s="35">
        <v>2240.0</v>
      </c>
      <c r="K688" s="33" t="s">
        <v>3601</v>
      </c>
      <c r="L688" s="33" t="s">
        <v>1947</v>
      </c>
      <c r="M688" s="33" t="s">
        <v>2525</v>
      </c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39" t="s">
        <v>2467</v>
      </c>
      <c r="B689" s="39" t="s">
        <v>1519</v>
      </c>
      <c r="C689" s="44">
        <v>6.931474742568E12</v>
      </c>
      <c r="D689" s="39" t="s">
        <v>3600</v>
      </c>
      <c r="E689" s="39"/>
      <c r="F689" s="39"/>
      <c r="G689" s="37" t="s">
        <v>1942</v>
      </c>
      <c r="H689" s="39"/>
      <c r="I689" s="37" t="s">
        <v>1942</v>
      </c>
      <c r="J689" s="38">
        <v>2240.0</v>
      </c>
      <c r="K689" s="37" t="s">
        <v>3601</v>
      </c>
      <c r="L689" s="37" t="s">
        <v>1947</v>
      </c>
      <c r="M689" s="37" t="s">
        <v>2525</v>
      </c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32" t="s">
        <v>2467</v>
      </c>
      <c r="B690" s="32" t="s">
        <v>1493</v>
      </c>
      <c r="C690" s="45">
        <v>6.942007619134E12</v>
      </c>
      <c r="D690" s="32" t="s">
        <v>3602</v>
      </c>
      <c r="E690" s="32"/>
      <c r="F690" s="32"/>
      <c r="G690" s="33" t="s">
        <v>1942</v>
      </c>
      <c r="H690" s="32"/>
      <c r="I690" s="33" t="s">
        <v>1942</v>
      </c>
      <c r="J690" s="35">
        <v>10400.0</v>
      </c>
      <c r="K690" s="33" t="s">
        <v>3603</v>
      </c>
      <c r="L690" s="33" t="s">
        <v>1947</v>
      </c>
      <c r="M690" s="33" t="s">
        <v>2525</v>
      </c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39" t="s">
        <v>2467</v>
      </c>
      <c r="B691" s="39" t="s">
        <v>3604</v>
      </c>
      <c r="C691" s="44">
        <v>6.942007619134E12</v>
      </c>
      <c r="D691" s="39" t="s">
        <v>3602</v>
      </c>
      <c r="E691" s="39"/>
      <c r="F691" s="39"/>
      <c r="G691" s="37" t="s">
        <v>1942</v>
      </c>
      <c r="H691" s="39"/>
      <c r="I691" s="37" t="s">
        <v>1942</v>
      </c>
      <c r="J691" s="38">
        <v>10400.0</v>
      </c>
      <c r="K691" s="37" t="s">
        <v>3603</v>
      </c>
      <c r="L691" s="37" t="s">
        <v>1947</v>
      </c>
      <c r="M691" s="37" t="s">
        <v>2525</v>
      </c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32" t="s">
        <v>2467</v>
      </c>
      <c r="B692" s="32" t="s">
        <v>3605</v>
      </c>
      <c r="C692" s="45">
        <v>6.931474784469E12</v>
      </c>
      <c r="D692" s="32" t="s">
        <v>1517</v>
      </c>
      <c r="E692" s="32"/>
      <c r="F692" s="32"/>
      <c r="G692" s="33" t="s">
        <v>1942</v>
      </c>
      <c r="H692" s="32"/>
      <c r="I692" s="33" t="s">
        <v>1942</v>
      </c>
      <c r="J692" s="35">
        <v>5600.0</v>
      </c>
      <c r="K692" s="33" t="s">
        <v>3606</v>
      </c>
      <c r="L692" s="33" t="s">
        <v>1947</v>
      </c>
      <c r="M692" s="33" t="s">
        <v>2525</v>
      </c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39" t="s">
        <v>2467</v>
      </c>
      <c r="B693" s="39" t="s">
        <v>1516</v>
      </c>
      <c r="C693" s="44">
        <v>6.931474784469E12</v>
      </c>
      <c r="D693" s="39" t="s">
        <v>1517</v>
      </c>
      <c r="E693" s="39"/>
      <c r="F693" s="39"/>
      <c r="G693" s="37" t="s">
        <v>1942</v>
      </c>
      <c r="H693" s="39"/>
      <c r="I693" s="37" t="s">
        <v>1942</v>
      </c>
      <c r="J693" s="38">
        <v>5600.0</v>
      </c>
      <c r="K693" s="37" t="s">
        <v>3606</v>
      </c>
      <c r="L693" s="37" t="s">
        <v>1947</v>
      </c>
      <c r="M693" s="37" t="s">
        <v>2525</v>
      </c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32" t="s">
        <v>2467</v>
      </c>
      <c r="B694" s="32" t="s">
        <v>1490</v>
      </c>
      <c r="C694" s="45">
        <v>6.942007619127E12</v>
      </c>
      <c r="D694" s="32" t="s">
        <v>3607</v>
      </c>
      <c r="E694" s="32"/>
      <c r="F694" s="32"/>
      <c r="G694" s="33" t="s">
        <v>1942</v>
      </c>
      <c r="H694" s="32"/>
      <c r="I694" s="33" t="s">
        <v>1942</v>
      </c>
      <c r="J694" s="35">
        <v>10400.0</v>
      </c>
      <c r="K694" s="33" t="s">
        <v>3603</v>
      </c>
      <c r="L694" s="33" t="s">
        <v>1947</v>
      </c>
      <c r="M694" s="33" t="s">
        <v>2525</v>
      </c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39" t="s">
        <v>2467</v>
      </c>
      <c r="B695" s="39" t="s">
        <v>3608</v>
      </c>
      <c r="C695" s="44">
        <v>6.942007619127E12</v>
      </c>
      <c r="D695" s="39" t="s">
        <v>3607</v>
      </c>
      <c r="E695" s="39"/>
      <c r="F695" s="39"/>
      <c r="G695" s="37" t="s">
        <v>1942</v>
      </c>
      <c r="H695" s="39"/>
      <c r="I695" s="37" t="s">
        <v>1942</v>
      </c>
      <c r="J695" s="38">
        <v>10400.0</v>
      </c>
      <c r="K695" s="37" t="s">
        <v>3603</v>
      </c>
      <c r="L695" s="37" t="s">
        <v>1947</v>
      </c>
      <c r="M695" s="37" t="s">
        <v>2525</v>
      </c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32" t="s">
        <v>2467</v>
      </c>
      <c r="B696" s="32" t="s">
        <v>3609</v>
      </c>
      <c r="C696" s="45">
        <v>6.931474780041E12</v>
      </c>
      <c r="D696" s="32" t="s">
        <v>1473</v>
      </c>
      <c r="E696" s="32"/>
      <c r="F696" s="32"/>
      <c r="G696" s="33" t="s">
        <v>1942</v>
      </c>
      <c r="H696" s="32"/>
      <c r="I696" s="33" t="s">
        <v>1942</v>
      </c>
      <c r="J696" s="35">
        <v>8000.0</v>
      </c>
      <c r="K696" s="33" t="s">
        <v>3572</v>
      </c>
      <c r="L696" s="33" t="s">
        <v>1947</v>
      </c>
      <c r="M696" s="33" t="s">
        <v>2525</v>
      </c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39" t="s">
        <v>2467</v>
      </c>
      <c r="B697" s="39" t="s">
        <v>1472</v>
      </c>
      <c r="C697" s="44">
        <v>6.931474780041E12</v>
      </c>
      <c r="D697" s="39" t="s">
        <v>1473</v>
      </c>
      <c r="E697" s="39"/>
      <c r="F697" s="39"/>
      <c r="G697" s="37" t="s">
        <v>1942</v>
      </c>
      <c r="H697" s="39"/>
      <c r="I697" s="37" t="s">
        <v>1942</v>
      </c>
      <c r="J697" s="38">
        <v>8000.0</v>
      </c>
      <c r="K697" s="37" t="s">
        <v>3572</v>
      </c>
      <c r="L697" s="37" t="s">
        <v>1947</v>
      </c>
      <c r="M697" s="37" t="s">
        <v>2525</v>
      </c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32" t="s">
        <v>2604</v>
      </c>
      <c r="B698" s="32" t="s">
        <v>1561</v>
      </c>
      <c r="C698" s="45" t="s">
        <v>1562</v>
      </c>
      <c r="D698" s="32" t="s">
        <v>3610</v>
      </c>
      <c r="E698" s="32"/>
      <c r="F698" s="32"/>
      <c r="G698" s="33" t="s">
        <v>1942</v>
      </c>
      <c r="H698" s="32"/>
      <c r="I698" s="33" t="s">
        <v>1942</v>
      </c>
      <c r="J698" s="24">
        <v>4200.0</v>
      </c>
      <c r="K698" s="33" t="s">
        <v>3611</v>
      </c>
      <c r="L698" s="33" t="s">
        <v>1947</v>
      </c>
      <c r="M698" s="33" t="s">
        <v>2525</v>
      </c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39" t="s">
        <v>3612</v>
      </c>
      <c r="B699" s="39" t="s">
        <v>1573</v>
      </c>
      <c r="C699" s="44" t="s">
        <v>1574</v>
      </c>
      <c r="D699" s="39" t="s">
        <v>3613</v>
      </c>
      <c r="E699" s="39"/>
      <c r="F699" s="39"/>
      <c r="G699" s="37" t="s">
        <v>1942</v>
      </c>
      <c r="H699" s="39"/>
      <c r="I699" s="37" t="s">
        <v>1942</v>
      </c>
      <c r="J699" s="38">
        <v>6045.0</v>
      </c>
      <c r="K699" s="37" t="s">
        <v>3614</v>
      </c>
      <c r="L699" s="37" t="s">
        <v>1947</v>
      </c>
      <c r="M699" s="37" t="s">
        <v>2525</v>
      </c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32" t="s">
        <v>3612</v>
      </c>
      <c r="B700" s="32" t="s">
        <v>3615</v>
      </c>
      <c r="C700" s="45" t="s">
        <v>1574</v>
      </c>
      <c r="D700" s="32" t="s">
        <v>3613</v>
      </c>
      <c r="E700" s="32"/>
      <c r="F700" s="32"/>
      <c r="G700" s="33" t="s">
        <v>1942</v>
      </c>
      <c r="H700" s="32"/>
      <c r="I700" s="33" t="s">
        <v>1942</v>
      </c>
      <c r="J700" s="35">
        <v>6045.0</v>
      </c>
      <c r="K700" s="33" t="s">
        <v>3614</v>
      </c>
      <c r="L700" s="33" t="s">
        <v>1947</v>
      </c>
      <c r="M700" s="33" t="s">
        <v>2525</v>
      </c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39" t="s">
        <v>3612</v>
      </c>
      <c r="B701" s="39" t="s">
        <v>3616</v>
      </c>
      <c r="C701" s="44" t="s">
        <v>1618</v>
      </c>
      <c r="D701" s="39" t="s">
        <v>1619</v>
      </c>
      <c r="E701" s="39"/>
      <c r="F701" s="39"/>
      <c r="G701" s="37" t="s">
        <v>1942</v>
      </c>
      <c r="H701" s="39"/>
      <c r="I701" s="37" t="s">
        <v>1942</v>
      </c>
      <c r="J701" s="38">
        <v>8245.0</v>
      </c>
      <c r="K701" s="37" t="s">
        <v>3617</v>
      </c>
      <c r="L701" s="37" t="s">
        <v>1947</v>
      </c>
      <c r="M701" s="37" t="s">
        <v>2525</v>
      </c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32" t="s">
        <v>3612</v>
      </c>
      <c r="B702" s="32" t="s">
        <v>1617</v>
      </c>
      <c r="C702" s="45" t="s">
        <v>1618</v>
      </c>
      <c r="D702" s="32" t="s">
        <v>1619</v>
      </c>
      <c r="E702" s="32"/>
      <c r="F702" s="32"/>
      <c r="G702" s="33" t="s">
        <v>1942</v>
      </c>
      <c r="H702" s="32"/>
      <c r="I702" s="33" t="s">
        <v>1942</v>
      </c>
      <c r="J702" s="35">
        <v>8245.0</v>
      </c>
      <c r="K702" s="33" t="s">
        <v>3617</v>
      </c>
      <c r="L702" s="33" t="s">
        <v>1947</v>
      </c>
      <c r="M702" s="33" t="s">
        <v>2525</v>
      </c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39" t="s">
        <v>3612</v>
      </c>
      <c r="B703" s="39" t="s">
        <v>3618</v>
      </c>
      <c r="C703" s="44" t="s">
        <v>1598</v>
      </c>
      <c r="D703" s="39" t="s">
        <v>1599</v>
      </c>
      <c r="E703" s="39"/>
      <c r="F703" s="39"/>
      <c r="G703" s="37" t="s">
        <v>1942</v>
      </c>
      <c r="H703" s="39"/>
      <c r="I703" s="37" t="s">
        <v>1942</v>
      </c>
      <c r="J703" s="38">
        <v>21995.0</v>
      </c>
      <c r="K703" s="37" t="s">
        <v>3619</v>
      </c>
      <c r="L703" s="37" t="s">
        <v>1947</v>
      </c>
      <c r="M703" s="37" t="s">
        <v>2525</v>
      </c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32" t="s">
        <v>3612</v>
      </c>
      <c r="B704" s="32" t="s">
        <v>1597</v>
      </c>
      <c r="C704" s="45" t="s">
        <v>1598</v>
      </c>
      <c r="D704" s="32" t="s">
        <v>1599</v>
      </c>
      <c r="E704" s="32"/>
      <c r="F704" s="32"/>
      <c r="G704" s="33" t="s">
        <v>1942</v>
      </c>
      <c r="H704" s="32"/>
      <c r="I704" s="33" t="s">
        <v>1942</v>
      </c>
      <c r="J704" s="35">
        <v>21995.0</v>
      </c>
      <c r="K704" s="33" t="s">
        <v>3619</v>
      </c>
      <c r="L704" s="33" t="s">
        <v>1947</v>
      </c>
      <c r="M704" s="33" t="s">
        <v>2525</v>
      </c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39" t="s">
        <v>3612</v>
      </c>
      <c r="B705" s="39" t="s">
        <v>3620</v>
      </c>
      <c r="C705" s="44" t="s">
        <v>1614</v>
      </c>
      <c r="D705" s="39" t="s">
        <v>1615</v>
      </c>
      <c r="E705" s="39"/>
      <c r="F705" s="39"/>
      <c r="G705" s="37" t="s">
        <v>1942</v>
      </c>
      <c r="H705" s="39"/>
      <c r="I705" s="37" t="s">
        <v>1942</v>
      </c>
      <c r="J705" s="37" t="s">
        <v>3621</v>
      </c>
      <c r="K705" s="37" t="s">
        <v>3621</v>
      </c>
      <c r="L705" s="37" t="s">
        <v>3621</v>
      </c>
      <c r="M705" s="37" t="s">
        <v>3621</v>
      </c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32" t="s">
        <v>3612</v>
      </c>
      <c r="B706" s="32" t="s">
        <v>1613</v>
      </c>
      <c r="C706" s="45" t="s">
        <v>1614</v>
      </c>
      <c r="D706" s="32" t="s">
        <v>1615</v>
      </c>
      <c r="E706" s="32"/>
      <c r="F706" s="32"/>
      <c r="G706" s="33" t="s">
        <v>1942</v>
      </c>
      <c r="H706" s="32"/>
      <c r="I706" s="33" t="s">
        <v>1942</v>
      </c>
      <c r="J706" s="33" t="s">
        <v>3621</v>
      </c>
      <c r="K706" s="33" t="s">
        <v>3621</v>
      </c>
      <c r="L706" s="33" t="s">
        <v>3621</v>
      </c>
      <c r="M706" s="33" t="s">
        <v>3621</v>
      </c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39" t="s">
        <v>3612</v>
      </c>
      <c r="B707" s="39" t="s">
        <v>3622</v>
      </c>
      <c r="C707" s="44" t="s">
        <v>1594</v>
      </c>
      <c r="D707" s="39" t="s">
        <v>3623</v>
      </c>
      <c r="E707" s="39"/>
      <c r="F707" s="39"/>
      <c r="G707" s="37" t="s">
        <v>1942</v>
      </c>
      <c r="H707" s="39"/>
      <c r="I707" s="37" t="s">
        <v>1942</v>
      </c>
      <c r="J707" s="38">
        <v>10995.0</v>
      </c>
      <c r="K707" s="37" t="s">
        <v>3624</v>
      </c>
      <c r="L707" s="37" t="s">
        <v>1947</v>
      </c>
      <c r="M707" s="37" t="s">
        <v>2525</v>
      </c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32" t="s">
        <v>3612</v>
      </c>
      <c r="B708" s="32" t="s">
        <v>1593</v>
      </c>
      <c r="C708" s="45" t="s">
        <v>1594</v>
      </c>
      <c r="D708" s="32" t="s">
        <v>3623</v>
      </c>
      <c r="E708" s="32"/>
      <c r="F708" s="32"/>
      <c r="G708" s="33" t="s">
        <v>1942</v>
      </c>
      <c r="H708" s="32"/>
      <c r="I708" s="33" t="s">
        <v>1942</v>
      </c>
      <c r="J708" s="35">
        <v>10995.0</v>
      </c>
      <c r="K708" s="33" t="s">
        <v>3624</v>
      </c>
      <c r="L708" s="33" t="s">
        <v>1947</v>
      </c>
      <c r="M708" s="33" t="s">
        <v>2525</v>
      </c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39" t="s">
        <v>3612</v>
      </c>
      <c r="B709" s="39" t="s">
        <v>3625</v>
      </c>
      <c r="C709" s="44" t="s">
        <v>1582</v>
      </c>
      <c r="D709" s="39" t="s">
        <v>1583</v>
      </c>
      <c r="E709" s="39"/>
      <c r="F709" s="39"/>
      <c r="G709" s="37" t="s">
        <v>1942</v>
      </c>
      <c r="H709" s="39"/>
      <c r="I709" s="37" t="s">
        <v>1942</v>
      </c>
      <c r="J709" s="37" t="s">
        <v>3621</v>
      </c>
      <c r="K709" s="37" t="s">
        <v>3621</v>
      </c>
      <c r="L709" s="37" t="s">
        <v>3621</v>
      </c>
      <c r="M709" s="37" t="s">
        <v>3621</v>
      </c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32" t="s">
        <v>3612</v>
      </c>
      <c r="B710" s="32" t="s">
        <v>1581</v>
      </c>
      <c r="C710" s="45" t="s">
        <v>1582</v>
      </c>
      <c r="D710" s="32" t="s">
        <v>1583</v>
      </c>
      <c r="E710" s="32"/>
      <c r="F710" s="32"/>
      <c r="G710" s="33" t="s">
        <v>1942</v>
      </c>
      <c r="H710" s="32"/>
      <c r="I710" s="33" t="s">
        <v>1942</v>
      </c>
      <c r="J710" s="33" t="s">
        <v>3621</v>
      </c>
      <c r="K710" s="33" t="s">
        <v>3621</v>
      </c>
      <c r="L710" s="33" t="s">
        <v>3621</v>
      </c>
      <c r="M710" s="33" t="s">
        <v>3621</v>
      </c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39" t="s">
        <v>3612</v>
      </c>
      <c r="B711" s="39" t="s">
        <v>3626</v>
      </c>
      <c r="C711" s="44" t="s">
        <v>1578</v>
      </c>
      <c r="D711" s="39" t="s">
        <v>1579</v>
      </c>
      <c r="E711" s="39"/>
      <c r="F711" s="39"/>
      <c r="G711" s="37" t="s">
        <v>1942</v>
      </c>
      <c r="H711" s="39"/>
      <c r="I711" s="37" t="s">
        <v>1942</v>
      </c>
      <c r="J711" s="37" t="s">
        <v>3621</v>
      </c>
      <c r="K711" s="37" t="s">
        <v>3621</v>
      </c>
      <c r="L711" s="37" t="s">
        <v>3621</v>
      </c>
      <c r="M711" s="37" t="s">
        <v>3621</v>
      </c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32" t="s">
        <v>3612</v>
      </c>
      <c r="B712" s="32" t="s">
        <v>1577</v>
      </c>
      <c r="C712" s="45" t="s">
        <v>1578</v>
      </c>
      <c r="D712" s="32" t="s">
        <v>1579</v>
      </c>
      <c r="E712" s="32"/>
      <c r="F712" s="32"/>
      <c r="G712" s="33" t="s">
        <v>1942</v>
      </c>
      <c r="H712" s="32"/>
      <c r="I712" s="33" t="s">
        <v>1942</v>
      </c>
      <c r="J712" s="33" t="s">
        <v>3621</v>
      </c>
      <c r="K712" s="33" t="s">
        <v>3621</v>
      </c>
      <c r="L712" s="33" t="s">
        <v>3621</v>
      </c>
      <c r="M712" s="33" t="s">
        <v>3621</v>
      </c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39" t="s">
        <v>3612</v>
      </c>
      <c r="B713" s="39" t="s">
        <v>3627</v>
      </c>
      <c r="C713" s="44" t="s">
        <v>1570</v>
      </c>
      <c r="D713" s="39" t="s">
        <v>3628</v>
      </c>
      <c r="E713" s="39"/>
      <c r="F713" s="39"/>
      <c r="G713" s="37" t="s">
        <v>1942</v>
      </c>
      <c r="H713" s="39"/>
      <c r="I713" s="37" t="s">
        <v>1942</v>
      </c>
      <c r="J713" s="38">
        <v>18145.0</v>
      </c>
      <c r="K713" s="37" t="s">
        <v>3629</v>
      </c>
      <c r="L713" s="37" t="s">
        <v>1947</v>
      </c>
      <c r="M713" s="37" t="s">
        <v>2525</v>
      </c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32" t="s">
        <v>3612</v>
      </c>
      <c r="B714" s="32" t="s">
        <v>1569</v>
      </c>
      <c r="C714" s="45" t="s">
        <v>1570</v>
      </c>
      <c r="D714" s="32" t="s">
        <v>3628</v>
      </c>
      <c r="E714" s="32"/>
      <c r="F714" s="32"/>
      <c r="G714" s="33" t="s">
        <v>1942</v>
      </c>
      <c r="H714" s="32"/>
      <c r="I714" s="33" t="s">
        <v>1942</v>
      </c>
      <c r="J714" s="35">
        <v>18145.0</v>
      </c>
      <c r="K714" s="33" t="s">
        <v>3629</v>
      </c>
      <c r="L714" s="33" t="s">
        <v>1947</v>
      </c>
      <c r="M714" s="33" t="s">
        <v>2525</v>
      </c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39" t="s">
        <v>3612</v>
      </c>
      <c r="B715" s="39" t="s">
        <v>3630</v>
      </c>
      <c r="C715" s="44" t="s">
        <v>1590</v>
      </c>
      <c r="D715" s="39" t="s">
        <v>3631</v>
      </c>
      <c r="E715" s="39"/>
      <c r="F715" s="39"/>
      <c r="G715" s="37" t="s">
        <v>1942</v>
      </c>
      <c r="H715" s="39"/>
      <c r="I715" s="37" t="s">
        <v>1942</v>
      </c>
      <c r="J715" s="37" t="s">
        <v>3621</v>
      </c>
      <c r="K715" s="37" t="s">
        <v>3621</v>
      </c>
      <c r="L715" s="37" t="s">
        <v>3621</v>
      </c>
      <c r="M715" s="37" t="s">
        <v>3621</v>
      </c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32" t="s">
        <v>3612</v>
      </c>
      <c r="B716" s="32" t="s">
        <v>1589</v>
      </c>
      <c r="C716" s="45" t="s">
        <v>1590</v>
      </c>
      <c r="D716" s="32" t="s">
        <v>3631</v>
      </c>
      <c r="E716" s="32"/>
      <c r="F716" s="32"/>
      <c r="G716" s="33" t="s">
        <v>1942</v>
      </c>
      <c r="H716" s="32"/>
      <c r="I716" s="33" t="s">
        <v>1942</v>
      </c>
      <c r="J716" s="33" t="s">
        <v>3621</v>
      </c>
      <c r="K716" s="33" t="s">
        <v>3621</v>
      </c>
      <c r="L716" s="33" t="s">
        <v>3621</v>
      </c>
      <c r="M716" s="33" t="s">
        <v>3621</v>
      </c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39" t="s">
        <v>3612</v>
      </c>
      <c r="B717" s="39" t="s">
        <v>1605</v>
      </c>
      <c r="C717" s="44" t="s">
        <v>1606</v>
      </c>
      <c r="D717" s="39" t="s">
        <v>1607</v>
      </c>
      <c r="E717" s="39"/>
      <c r="F717" s="39"/>
      <c r="G717" s="37" t="s">
        <v>1942</v>
      </c>
      <c r="H717" s="39"/>
      <c r="I717" s="37" t="s">
        <v>1942</v>
      </c>
      <c r="J717" s="37" t="s">
        <v>3621</v>
      </c>
      <c r="K717" s="37" t="s">
        <v>3621</v>
      </c>
      <c r="L717" s="37" t="s">
        <v>3621</v>
      </c>
      <c r="M717" s="37" t="s">
        <v>3621</v>
      </c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32" t="s">
        <v>3612</v>
      </c>
      <c r="B718" s="32" t="s">
        <v>3632</v>
      </c>
      <c r="C718" s="45" t="s">
        <v>1606</v>
      </c>
      <c r="D718" s="32" t="s">
        <v>1607</v>
      </c>
      <c r="E718" s="32"/>
      <c r="F718" s="32"/>
      <c r="G718" s="33" t="s">
        <v>1942</v>
      </c>
      <c r="H718" s="32"/>
      <c r="I718" s="33" t="s">
        <v>1942</v>
      </c>
      <c r="J718" s="33" t="s">
        <v>3621</v>
      </c>
      <c r="K718" s="33" t="s">
        <v>3621</v>
      </c>
      <c r="L718" s="33" t="s">
        <v>3621</v>
      </c>
      <c r="M718" s="33" t="s">
        <v>3621</v>
      </c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39" t="s">
        <v>3612</v>
      </c>
      <c r="B719" s="39" t="s">
        <v>3633</v>
      </c>
      <c r="C719" s="44" t="s">
        <v>1586</v>
      </c>
      <c r="D719" s="39" t="s">
        <v>1587</v>
      </c>
      <c r="E719" s="39"/>
      <c r="F719" s="39"/>
      <c r="G719" s="37" t="s">
        <v>1942</v>
      </c>
      <c r="H719" s="39"/>
      <c r="I719" s="37" t="s">
        <v>1942</v>
      </c>
      <c r="J719" s="38">
        <v>38495.0</v>
      </c>
      <c r="K719" s="37" t="s">
        <v>3634</v>
      </c>
      <c r="L719" s="37" t="s">
        <v>1947</v>
      </c>
      <c r="M719" s="37" t="s">
        <v>2525</v>
      </c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32" t="s">
        <v>3612</v>
      </c>
      <c r="B720" s="32" t="s">
        <v>1585</v>
      </c>
      <c r="C720" s="45" t="s">
        <v>1586</v>
      </c>
      <c r="D720" s="32" t="s">
        <v>1587</v>
      </c>
      <c r="E720" s="32"/>
      <c r="F720" s="32"/>
      <c r="G720" s="33" t="s">
        <v>1942</v>
      </c>
      <c r="H720" s="32"/>
      <c r="I720" s="33" t="s">
        <v>1942</v>
      </c>
      <c r="J720" s="35">
        <v>38495.0</v>
      </c>
      <c r="K720" s="33" t="s">
        <v>3634</v>
      </c>
      <c r="L720" s="33" t="s">
        <v>1947</v>
      </c>
      <c r="M720" s="33" t="s">
        <v>2525</v>
      </c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39" t="s">
        <v>3612</v>
      </c>
      <c r="B721" s="39" t="s">
        <v>1601</v>
      </c>
      <c r="C721" s="44" t="s">
        <v>1602</v>
      </c>
      <c r="D721" s="39" t="s">
        <v>1603</v>
      </c>
      <c r="E721" s="39"/>
      <c r="F721" s="39"/>
      <c r="G721" s="37" t="s">
        <v>1942</v>
      </c>
      <c r="H721" s="39"/>
      <c r="I721" s="37" t="s">
        <v>1942</v>
      </c>
      <c r="J721" s="37" t="s">
        <v>3621</v>
      </c>
      <c r="K721" s="37" t="s">
        <v>3621</v>
      </c>
      <c r="L721" s="37" t="s">
        <v>3621</v>
      </c>
      <c r="M721" s="37" t="s">
        <v>3621</v>
      </c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32" t="s">
        <v>3612</v>
      </c>
      <c r="B722" s="32" t="s">
        <v>3635</v>
      </c>
      <c r="C722" s="45" t="s">
        <v>1602</v>
      </c>
      <c r="D722" s="32" t="s">
        <v>1603</v>
      </c>
      <c r="E722" s="32"/>
      <c r="F722" s="32"/>
      <c r="G722" s="33" t="s">
        <v>1942</v>
      </c>
      <c r="H722" s="32"/>
      <c r="I722" s="33" t="s">
        <v>1942</v>
      </c>
      <c r="J722" s="33" t="s">
        <v>3621</v>
      </c>
      <c r="K722" s="33" t="s">
        <v>3621</v>
      </c>
      <c r="L722" s="33" t="s">
        <v>3621</v>
      </c>
      <c r="M722" s="33" t="s">
        <v>3621</v>
      </c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39" t="s">
        <v>3612</v>
      </c>
      <c r="B723" s="39" t="s">
        <v>1621</v>
      </c>
      <c r="C723" s="44" t="s">
        <v>1622</v>
      </c>
      <c r="D723" s="39" t="s">
        <v>1623</v>
      </c>
      <c r="E723" s="39"/>
      <c r="F723" s="39"/>
      <c r="G723" s="37" t="s">
        <v>1942</v>
      </c>
      <c r="H723" s="39"/>
      <c r="I723" s="37" t="s">
        <v>1942</v>
      </c>
      <c r="J723" s="37" t="s">
        <v>3621</v>
      </c>
      <c r="K723" s="37" t="s">
        <v>3621</v>
      </c>
      <c r="L723" s="37" t="s">
        <v>3621</v>
      </c>
      <c r="M723" s="37" t="s">
        <v>3621</v>
      </c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32" t="s">
        <v>3612</v>
      </c>
      <c r="B724" s="32" t="s">
        <v>3636</v>
      </c>
      <c r="C724" s="45" t="s">
        <v>1622</v>
      </c>
      <c r="D724" s="32" t="s">
        <v>1623</v>
      </c>
      <c r="E724" s="32"/>
      <c r="F724" s="32"/>
      <c r="G724" s="33" t="s">
        <v>1942</v>
      </c>
      <c r="H724" s="32"/>
      <c r="I724" s="33" t="s">
        <v>1942</v>
      </c>
      <c r="J724" s="33" t="s">
        <v>3621</v>
      </c>
      <c r="K724" s="33" t="s">
        <v>3621</v>
      </c>
      <c r="L724" s="33" t="s">
        <v>3621</v>
      </c>
      <c r="M724" s="33" t="s">
        <v>3621</v>
      </c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39" t="s">
        <v>3612</v>
      </c>
      <c r="B725" s="39" t="s">
        <v>1565</v>
      </c>
      <c r="C725" s="44" t="s">
        <v>1566</v>
      </c>
      <c r="D725" s="39" t="s">
        <v>1567</v>
      </c>
      <c r="E725" s="39"/>
      <c r="F725" s="39"/>
      <c r="G725" s="37" t="s">
        <v>1942</v>
      </c>
      <c r="H725" s="39"/>
      <c r="I725" s="37" t="s">
        <v>1942</v>
      </c>
      <c r="J725" s="37" t="s">
        <v>3621</v>
      </c>
      <c r="K725" s="37" t="s">
        <v>3621</v>
      </c>
      <c r="L725" s="37" t="s">
        <v>3621</v>
      </c>
      <c r="M725" s="37" t="s">
        <v>3621</v>
      </c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32" t="s">
        <v>3612</v>
      </c>
      <c r="B726" s="32" t="s">
        <v>3637</v>
      </c>
      <c r="C726" s="45" t="s">
        <v>1566</v>
      </c>
      <c r="D726" s="32" t="s">
        <v>1567</v>
      </c>
      <c r="E726" s="32"/>
      <c r="F726" s="32"/>
      <c r="G726" s="33" t="s">
        <v>1942</v>
      </c>
      <c r="H726" s="32"/>
      <c r="I726" s="33" t="s">
        <v>1942</v>
      </c>
      <c r="J726" s="33" t="s">
        <v>3621</v>
      </c>
      <c r="K726" s="33" t="s">
        <v>3621</v>
      </c>
      <c r="L726" s="33" t="s">
        <v>3621</v>
      </c>
      <c r="M726" s="33" t="s">
        <v>3621</v>
      </c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39" t="s">
        <v>2574</v>
      </c>
      <c r="B727" s="39" t="s">
        <v>3638</v>
      </c>
      <c r="C727" s="44" t="s">
        <v>1610</v>
      </c>
      <c r="D727" s="39" t="s">
        <v>3639</v>
      </c>
      <c r="E727" s="39"/>
      <c r="F727" s="39"/>
      <c r="G727" s="37" t="s">
        <v>1942</v>
      </c>
      <c r="H727" s="39"/>
      <c r="I727" s="37" t="s">
        <v>1942</v>
      </c>
      <c r="J727" s="38">
        <v>2303.0</v>
      </c>
      <c r="K727" s="37" t="s">
        <v>2578</v>
      </c>
      <c r="L727" s="37" t="s">
        <v>1947</v>
      </c>
      <c r="M727" s="37" t="s">
        <v>2525</v>
      </c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32" t="s">
        <v>2574</v>
      </c>
      <c r="B728" s="32" t="s">
        <v>1609</v>
      </c>
      <c r="C728" s="45" t="s">
        <v>1610</v>
      </c>
      <c r="D728" s="32" t="s">
        <v>3639</v>
      </c>
      <c r="E728" s="32"/>
      <c r="F728" s="32"/>
      <c r="G728" s="33" t="s">
        <v>1942</v>
      </c>
      <c r="H728" s="32"/>
      <c r="I728" s="33" t="s">
        <v>1942</v>
      </c>
      <c r="J728" s="35">
        <v>2303.0</v>
      </c>
      <c r="K728" s="33" t="s">
        <v>2578</v>
      </c>
      <c r="L728" s="33" t="s">
        <v>1947</v>
      </c>
      <c r="M728" s="33" t="s">
        <v>2525</v>
      </c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39" t="s">
        <v>2574</v>
      </c>
      <c r="B729" s="39" t="s">
        <v>3640</v>
      </c>
      <c r="C729" s="44" t="s">
        <v>1662</v>
      </c>
      <c r="D729" s="39" t="s">
        <v>3641</v>
      </c>
      <c r="E729" s="39"/>
      <c r="F729" s="39"/>
      <c r="G729" s="37" t="s">
        <v>1942</v>
      </c>
      <c r="H729" s="39"/>
      <c r="I729" s="37" t="s">
        <v>1942</v>
      </c>
      <c r="J729" s="38">
        <v>2850.0</v>
      </c>
      <c r="K729" s="37" t="s">
        <v>3642</v>
      </c>
      <c r="L729" s="37" t="s">
        <v>1947</v>
      </c>
      <c r="M729" s="37" t="s">
        <v>2525</v>
      </c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32" t="s">
        <v>2574</v>
      </c>
      <c r="B730" s="32" t="s">
        <v>1661</v>
      </c>
      <c r="C730" s="45" t="s">
        <v>1662</v>
      </c>
      <c r="D730" s="32" t="s">
        <v>3641</v>
      </c>
      <c r="E730" s="32"/>
      <c r="F730" s="32"/>
      <c r="G730" s="33" t="s">
        <v>1942</v>
      </c>
      <c r="H730" s="32"/>
      <c r="I730" s="33" t="s">
        <v>1942</v>
      </c>
      <c r="J730" s="35">
        <v>2850.0</v>
      </c>
      <c r="K730" s="33" t="s">
        <v>3642</v>
      </c>
      <c r="L730" s="33" t="s">
        <v>1947</v>
      </c>
      <c r="M730" s="33" t="s">
        <v>2525</v>
      </c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39" t="s">
        <v>2574</v>
      </c>
      <c r="B731" s="39" t="s">
        <v>3643</v>
      </c>
      <c r="C731" s="44" t="s">
        <v>1630</v>
      </c>
      <c r="D731" s="39" t="s">
        <v>1631</v>
      </c>
      <c r="E731" s="39"/>
      <c r="F731" s="39"/>
      <c r="G731" s="37" t="s">
        <v>1942</v>
      </c>
      <c r="H731" s="39"/>
      <c r="I731" s="37" t="s">
        <v>1942</v>
      </c>
      <c r="J731" s="38">
        <v>2850.0</v>
      </c>
      <c r="K731" s="37" t="s">
        <v>3642</v>
      </c>
      <c r="L731" s="37" t="s">
        <v>1947</v>
      </c>
      <c r="M731" s="37" t="s">
        <v>2525</v>
      </c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32" t="s">
        <v>2574</v>
      </c>
      <c r="B732" s="32" t="s">
        <v>1629</v>
      </c>
      <c r="C732" s="45" t="s">
        <v>1630</v>
      </c>
      <c r="D732" s="32" t="s">
        <v>1631</v>
      </c>
      <c r="E732" s="32"/>
      <c r="F732" s="32"/>
      <c r="G732" s="33" t="s">
        <v>1942</v>
      </c>
      <c r="H732" s="32"/>
      <c r="I732" s="33" t="s">
        <v>1942</v>
      </c>
      <c r="J732" s="35">
        <v>2850.0</v>
      </c>
      <c r="K732" s="33" t="s">
        <v>3642</v>
      </c>
      <c r="L732" s="33" t="s">
        <v>1947</v>
      </c>
      <c r="M732" s="33" t="s">
        <v>2525</v>
      </c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39" t="s">
        <v>2574</v>
      </c>
      <c r="B733" s="39" t="s">
        <v>3644</v>
      </c>
      <c r="C733" s="44" t="s">
        <v>1642</v>
      </c>
      <c r="D733" s="39" t="s">
        <v>1643</v>
      </c>
      <c r="E733" s="39"/>
      <c r="F733" s="39"/>
      <c r="G733" s="37" t="s">
        <v>1942</v>
      </c>
      <c r="H733" s="39"/>
      <c r="I733" s="37" t="s">
        <v>1942</v>
      </c>
      <c r="J733" s="38">
        <v>2850.0</v>
      </c>
      <c r="K733" s="37" t="s">
        <v>3642</v>
      </c>
      <c r="L733" s="37" t="s">
        <v>1947</v>
      </c>
      <c r="M733" s="37" t="s">
        <v>2525</v>
      </c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32" t="s">
        <v>2574</v>
      </c>
      <c r="B734" s="32" t="s">
        <v>1641</v>
      </c>
      <c r="C734" s="45" t="s">
        <v>1642</v>
      </c>
      <c r="D734" s="32" t="s">
        <v>1643</v>
      </c>
      <c r="E734" s="32"/>
      <c r="F734" s="32"/>
      <c r="G734" s="33" t="s">
        <v>1942</v>
      </c>
      <c r="H734" s="32"/>
      <c r="I734" s="33" t="s">
        <v>1942</v>
      </c>
      <c r="J734" s="35">
        <v>2850.0</v>
      </c>
      <c r="K734" s="33" t="s">
        <v>3642</v>
      </c>
      <c r="L734" s="33" t="s">
        <v>1947</v>
      </c>
      <c r="M734" s="33" t="s">
        <v>2525</v>
      </c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39" t="s">
        <v>2574</v>
      </c>
      <c r="B735" s="39" t="s">
        <v>3645</v>
      </c>
      <c r="C735" s="44" t="s">
        <v>1626</v>
      </c>
      <c r="D735" s="39" t="s">
        <v>3646</v>
      </c>
      <c r="E735" s="39"/>
      <c r="F735" s="39"/>
      <c r="G735" s="37" t="s">
        <v>1942</v>
      </c>
      <c r="H735" s="39"/>
      <c r="I735" s="37" t="s">
        <v>1942</v>
      </c>
      <c r="J735" s="37" t="s">
        <v>3647</v>
      </c>
      <c r="K735" s="37" t="s">
        <v>3648</v>
      </c>
      <c r="L735" s="37" t="s">
        <v>1947</v>
      </c>
      <c r="M735" s="37" t="s">
        <v>2525</v>
      </c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32" t="s">
        <v>2574</v>
      </c>
      <c r="B736" s="32" t="s">
        <v>1625</v>
      </c>
      <c r="C736" s="45" t="s">
        <v>1626</v>
      </c>
      <c r="D736" s="32" t="s">
        <v>3646</v>
      </c>
      <c r="E736" s="32"/>
      <c r="F736" s="32"/>
      <c r="G736" s="33" t="s">
        <v>1942</v>
      </c>
      <c r="H736" s="32"/>
      <c r="I736" s="33" t="s">
        <v>1942</v>
      </c>
      <c r="J736" s="33" t="s">
        <v>3647</v>
      </c>
      <c r="K736" s="33" t="s">
        <v>3648</v>
      </c>
      <c r="L736" s="33" t="s">
        <v>1947</v>
      </c>
      <c r="M736" s="33" t="s">
        <v>2525</v>
      </c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39" t="s">
        <v>2574</v>
      </c>
      <c r="B737" s="39" t="s">
        <v>1637</v>
      </c>
      <c r="C737" s="44" t="s">
        <v>1638</v>
      </c>
      <c r="D737" s="39" t="s">
        <v>1639</v>
      </c>
      <c r="E737" s="39"/>
      <c r="F737" s="39"/>
      <c r="G737" s="37" t="s">
        <v>1942</v>
      </c>
      <c r="H737" s="39"/>
      <c r="I737" s="37" t="s">
        <v>1942</v>
      </c>
      <c r="J737" s="37" t="s">
        <v>3647</v>
      </c>
      <c r="K737" s="37" t="s">
        <v>3648</v>
      </c>
      <c r="L737" s="37" t="s">
        <v>1947</v>
      </c>
      <c r="M737" s="37" t="s">
        <v>2525</v>
      </c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32" t="s">
        <v>2574</v>
      </c>
      <c r="B738" s="32" t="s">
        <v>3649</v>
      </c>
      <c r="C738" s="45" t="s">
        <v>1638</v>
      </c>
      <c r="D738" s="32" t="s">
        <v>1639</v>
      </c>
      <c r="E738" s="32"/>
      <c r="F738" s="32"/>
      <c r="G738" s="33" t="s">
        <v>1942</v>
      </c>
      <c r="H738" s="32"/>
      <c r="I738" s="33" t="s">
        <v>1942</v>
      </c>
      <c r="J738" s="33" t="s">
        <v>3647</v>
      </c>
      <c r="K738" s="33" t="s">
        <v>3648</v>
      </c>
      <c r="L738" s="33" t="s">
        <v>1947</v>
      </c>
      <c r="M738" s="33" t="s">
        <v>2525</v>
      </c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39" t="s">
        <v>2574</v>
      </c>
      <c r="B739" s="39" t="s">
        <v>1653</v>
      </c>
      <c r="C739" s="44" t="s">
        <v>1654</v>
      </c>
      <c r="D739" s="39" t="s">
        <v>1655</v>
      </c>
      <c r="E739" s="39"/>
      <c r="F739" s="39"/>
      <c r="G739" s="37" t="s">
        <v>1942</v>
      </c>
      <c r="H739" s="39"/>
      <c r="I739" s="37" t="s">
        <v>1942</v>
      </c>
      <c r="J739" s="37" t="s">
        <v>3647</v>
      </c>
      <c r="K739" s="37" t="s">
        <v>3648</v>
      </c>
      <c r="L739" s="37" t="s">
        <v>1947</v>
      </c>
      <c r="M739" s="37" t="s">
        <v>2525</v>
      </c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32" t="s">
        <v>2574</v>
      </c>
      <c r="B740" s="32" t="s">
        <v>3650</v>
      </c>
      <c r="C740" s="45" t="s">
        <v>1654</v>
      </c>
      <c r="D740" s="32" t="s">
        <v>1655</v>
      </c>
      <c r="E740" s="32"/>
      <c r="F740" s="32"/>
      <c r="G740" s="33" t="s">
        <v>1942</v>
      </c>
      <c r="H740" s="32"/>
      <c r="I740" s="33" t="s">
        <v>1942</v>
      </c>
      <c r="J740" s="33" t="s">
        <v>3647</v>
      </c>
      <c r="K740" s="33" t="s">
        <v>3648</v>
      </c>
      <c r="L740" s="33" t="s">
        <v>1947</v>
      </c>
      <c r="M740" s="33" t="s">
        <v>2525</v>
      </c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39" t="s">
        <v>2574</v>
      </c>
      <c r="B741" s="39" t="s">
        <v>3651</v>
      </c>
      <c r="C741" s="44" t="s">
        <v>1646</v>
      </c>
      <c r="D741" s="39" t="s">
        <v>3652</v>
      </c>
      <c r="E741" s="39"/>
      <c r="F741" s="39"/>
      <c r="G741" s="37" t="s">
        <v>1942</v>
      </c>
      <c r="H741" s="39"/>
      <c r="I741" s="37" t="s">
        <v>1942</v>
      </c>
      <c r="J741" s="37" t="s">
        <v>3647</v>
      </c>
      <c r="K741" s="37" t="s">
        <v>3648</v>
      </c>
      <c r="L741" s="37" t="s">
        <v>1947</v>
      </c>
      <c r="M741" s="37" t="s">
        <v>2525</v>
      </c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32" t="s">
        <v>2574</v>
      </c>
      <c r="B742" s="32" t="s">
        <v>1645</v>
      </c>
      <c r="C742" s="45" t="s">
        <v>1646</v>
      </c>
      <c r="D742" s="32" t="s">
        <v>3652</v>
      </c>
      <c r="E742" s="32"/>
      <c r="F742" s="32"/>
      <c r="G742" s="33" t="s">
        <v>1942</v>
      </c>
      <c r="H742" s="32"/>
      <c r="I742" s="33" t="s">
        <v>1942</v>
      </c>
      <c r="J742" s="33" t="s">
        <v>3647</v>
      </c>
      <c r="K742" s="33" t="s">
        <v>3648</v>
      </c>
      <c r="L742" s="33" t="s">
        <v>1947</v>
      </c>
      <c r="M742" s="33" t="s">
        <v>2525</v>
      </c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39" t="s">
        <v>2574</v>
      </c>
      <c r="B743" s="39" t="s">
        <v>3653</v>
      </c>
      <c r="C743" s="44" t="s">
        <v>1658</v>
      </c>
      <c r="D743" s="39" t="s">
        <v>3654</v>
      </c>
      <c r="E743" s="39"/>
      <c r="F743" s="39"/>
      <c r="G743" s="37" t="s">
        <v>1942</v>
      </c>
      <c r="H743" s="39"/>
      <c r="I743" s="37" t="s">
        <v>1942</v>
      </c>
      <c r="J743" s="38">
        <v>1777.0</v>
      </c>
      <c r="K743" s="37" t="s">
        <v>3655</v>
      </c>
      <c r="L743" s="37" t="s">
        <v>1947</v>
      </c>
      <c r="M743" s="37" t="s">
        <v>2525</v>
      </c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32" t="s">
        <v>2574</v>
      </c>
      <c r="B744" s="32" t="s">
        <v>1657</v>
      </c>
      <c r="C744" s="45" t="s">
        <v>1658</v>
      </c>
      <c r="D744" s="32" t="s">
        <v>3654</v>
      </c>
      <c r="E744" s="32"/>
      <c r="F744" s="32"/>
      <c r="G744" s="33" t="s">
        <v>1942</v>
      </c>
      <c r="H744" s="32"/>
      <c r="I744" s="33" t="s">
        <v>1942</v>
      </c>
      <c r="J744" s="35">
        <v>1777.0</v>
      </c>
      <c r="K744" s="33" t="s">
        <v>3655</v>
      </c>
      <c r="L744" s="33" t="s">
        <v>1947</v>
      </c>
      <c r="M744" s="33" t="s">
        <v>2525</v>
      </c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39" t="s">
        <v>2574</v>
      </c>
      <c r="B745" s="39" t="s">
        <v>1649</v>
      </c>
      <c r="C745" s="44" t="s">
        <v>1650</v>
      </c>
      <c r="D745" s="39" t="s">
        <v>1651</v>
      </c>
      <c r="E745" s="39"/>
      <c r="F745" s="39"/>
      <c r="G745" s="37" t="s">
        <v>1942</v>
      </c>
      <c r="H745" s="39"/>
      <c r="I745" s="37" t="s">
        <v>1942</v>
      </c>
      <c r="J745" s="38">
        <v>1777.0</v>
      </c>
      <c r="K745" s="37" t="s">
        <v>3655</v>
      </c>
      <c r="L745" s="37" t="s">
        <v>1947</v>
      </c>
      <c r="M745" s="37" t="s">
        <v>2525</v>
      </c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32" t="s">
        <v>2574</v>
      </c>
      <c r="B746" s="32" t="s">
        <v>1633</v>
      </c>
      <c r="C746" s="45" t="s">
        <v>3656</v>
      </c>
      <c r="D746" s="32" t="s">
        <v>3657</v>
      </c>
      <c r="E746" s="32"/>
      <c r="F746" s="32"/>
      <c r="G746" s="33" t="s">
        <v>1942</v>
      </c>
      <c r="H746" s="32"/>
      <c r="I746" s="33" t="s">
        <v>1942</v>
      </c>
      <c r="J746" s="33" t="s">
        <v>3647</v>
      </c>
      <c r="K746" s="33" t="s">
        <v>3648</v>
      </c>
      <c r="L746" s="33" t="s">
        <v>1947</v>
      </c>
      <c r="M746" s="33" t="s">
        <v>2525</v>
      </c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39" t="s">
        <v>2604</v>
      </c>
      <c r="B747" s="39" t="s">
        <v>3658</v>
      </c>
      <c r="C747" s="44" t="s">
        <v>1422</v>
      </c>
      <c r="D747" s="39" t="s">
        <v>3659</v>
      </c>
      <c r="E747" s="39"/>
      <c r="F747" s="39"/>
      <c r="G747" s="37" t="s">
        <v>1942</v>
      </c>
      <c r="H747" s="39"/>
      <c r="I747" s="37" t="s">
        <v>1942</v>
      </c>
      <c r="J747" s="38">
        <v>1260.0</v>
      </c>
      <c r="K747" s="37" t="s">
        <v>3660</v>
      </c>
      <c r="L747" s="37" t="s">
        <v>1947</v>
      </c>
      <c r="M747" s="37" t="s">
        <v>2525</v>
      </c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32" t="s">
        <v>2604</v>
      </c>
      <c r="B748" s="32" t="s">
        <v>3661</v>
      </c>
      <c r="C748" s="45" t="s">
        <v>1562</v>
      </c>
      <c r="D748" s="32" t="s">
        <v>3662</v>
      </c>
      <c r="E748" s="32"/>
      <c r="F748" s="32"/>
      <c r="G748" s="33" t="s">
        <v>1942</v>
      </c>
      <c r="H748" s="32"/>
      <c r="I748" s="33" t="s">
        <v>1942</v>
      </c>
      <c r="J748" s="35">
        <v>4200.0</v>
      </c>
      <c r="K748" s="33" t="s">
        <v>3611</v>
      </c>
      <c r="L748" s="33" t="s">
        <v>1947</v>
      </c>
      <c r="M748" s="33" t="s">
        <v>2525</v>
      </c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39" t="s">
        <v>2604</v>
      </c>
      <c r="B749" s="39" t="s">
        <v>3663</v>
      </c>
      <c r="C749" s="44" t="s">
        <v>1323</v>
      </c>
      <c r="D749" s="39" t="s">
        <v>3664</v>
      </c>
      <c r="E749" s="39"/>
      <c r="F749" s="39"/>
      <c r="G749" s="37" t="s">
        <v>1942</v>
      </c>
      <c r="H749" s="39"/>
      <c r="I749" s="37" t="s">
        <v>1942</v>
      </c>
      <c r="J749" s="38">
        <v>6720.0</v>
      </c>
      <c r="K749" s="37" t="s">
        <v>3665</v>
      </c>
      <c r="L749" s="37" t="s">
        <v>1947</v>
      </c>
      <c r="M749" s="37" t="s">
        <v>2525</v>
      </c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32" t="s">
        <v>2604</v>
      </c>
      <c r="B750" s="32" t="s">
        <v>3666</v>
      </c>
      <c r="C750" s="45" t="s">
        <v>1456</v>
      </c>
      <c r="D750" s="32" t="s">
        <v>3667</v>
      </c>
      <c r="E750" s="32"/>
      <c r="F750" s="32"/>
      <c r="G750" s="33" t="s">
        <v>1942</v>
      </c>
      <c r="H750" s="32"/>
      <c r="I750" s="33" t="s">
        <v>1942</v>
      </c>
      <c r="J750" s="35">
        <v>3600.0</v>
      </c>
      <c r="K750" s="33" t="s">
        <v>3668</v>
      </c>
      <c r="L750" s="33" t="s">
        <v>1947</v>
      </c>
      <c r="M750" s="33" t="s">
        <v>2525</v>
      </c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39" t="s">
        <v>2604</v>
      </c>
      <c r="B751" s="39" t="s">
        <v>3669</v>
      </c>
      <c r="C751" s="44" t="s">
        <v>1558</v>
      </c>
      <c r="D751" s="39" t="s">
        <v>1559</v>
      </c>
      <c r="E751" s="39"/>
      <c r="F751" s="39"/>
      <c r="G751" s="37" t="s">
        <v>1942</v>
      </c>
      <c r="H751" s="39"/>
      <c r="I751" s="37" t="s">
        <v>1942</v>
      </c>
      <c r="J751" s="38">
        <v>8400.0</v>
      </c>
      <c r="K751" s="37" t="s">
        <v>3095</v>
      </c>
      <c r="L751" s="37" t="s">
        <v>1947</v>
      </c>
      <c r="M751" s="37" t="s">
        <v>2525</v>
      </c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32" t="s">
        <v>2604</v>
      </c>
      <c r="B752" s="32" t="s">
        <v>3670</v>
      </c>
      <c r="C752" s="45" t="s">
        <v>1418</v>
      </c>
      <c r="D752" s="32" t="s">
        <v>3671</v>
      </c>
      <c r="E752" s="32"/>
      <c r="F752" s="32"/>
      <c r="G752" s="33" t="s">
        <v>1942</v>
      </c>
      <c r="H752" s="32"/>
      <c r="I752" s="33" t="s">
        <v>1942</v>
      </c>
      <c r="J752" s="35">
        <v>5460.0</v>
      </c>
      <c r="K752" s="33" t="s">
        <v>2334</v>
      </c>
      <c r="L752" s="33" t="s">
        <v>1947</v>
      </c>
      <c r="M752" s="33" t="s">
        <v>2525</v>
      </c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39" t="s">
        <v>2564</v>
      </c>
      <c r="B753" s="39" t="s">
        <v>3672</v>
      </c>
      <c r="C753" s="44" t="s">
        <v>1269</v>
      </c>
      <c r="D753" s="39" t="s">
        <v>3673</v>
      </c>
      <c r="E753" s="39"/>
      <c r="F753" s="39"/>
      <c r="G753" s="37" t="s">
        <v>1942</v>
      </c>
      <c r="H753" s="39"/>
      <c r="I753" s="37" t="s">
        <v>1942</v>
      </c>
      <c r="J753" s="38">
        <v>6902.0</v>
      </c>
      <c r="K753" s="37" t="s">
        <v>3674</v>
      </c>
      <c r="L753" s="37" t="s">
        <v>1947</v>
      </c>
      <c r="M753" s="37" t="s">
        <v>2525</v>
      </c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32" t="s">
        <v>2604</v>
      </c>
      <c r="B754" s="32" t="s">
        <v>3675</v>
      </c>
      <c r="C754" s="45" t="s">
        <v>1398</v>
      </c>
      <c r="D754" s="32" t="s">
        <v>3676</v>
      </c>
      <c r="E754" s="32"/>
      <c r="F754" s="32"/>
      <c r="G754" s="33" t="s">
        <v>1942</v>
      </c>
      <c r="H754" s="32"/>
      <c r="I754" s="33" t="s">
        <v>1942</v>
      </c>
      <c r="J754" s="35">
        <v>3360.0</v>
      </c>
      <c r="K754" s="33" t="s">
        <v>3677</v>
      </c>
      <c r="L754" s="33" t="s">
        <v>1947</v>
      </c>
      <c r="M754" s="33" t="s">
        <v>2525</v>
      </c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39" t="s">
        <v>2604</v>
      </c>
      <c r="B755" s="39" t="s">
        <v>3678</v>
      </c>
      <c r="C755" s="44" t="s">
        <v>1319</v>
      </c>
      <c r="D755" s="39" t="s">
        <v>3679</v>
      </c>
      <c r="E755" s="39"/>
      <c r="F755" s="39"/>
      <c r="G755" s="37" t="s">
        <v>1942</v>
      </c>
      <c r="H755" s="39"/>
      <c r="I755" s="37" t="s">
        <v>1942</v>
      </c>
      <c r="J755" s="38">
        <v>5460.0</v>
      </c>
      <c r="K755" s="37" t="s">
        <v>2334</v>
      </c>
      <c r="L755" s="37" t="s">
        <v>1947</v>
      </c>
      <c r="M755" s="37" t="s">
        <v>2525</v>
      </c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32" t="s">
        <v>2604</v>
      </c>
      <c r="B756" s="32" t="s">
        <v>3680</v>
      </c>
      <c r="C756" s="45" t="s">
        <v>1406</v>
      </c>
      <c r="D756" s="32" t="s">
        <v>3681</v>
      </c>
      <c r="E756" s="32"/>
      <c r="F756" s="32"/>
      <c r="G756" s="33" t="s">
        <v>1942</v>
      </c>
      <c r="H756" s="32"/>
      <c r="I756" s="33" t="s">
        <v>1942</v>
      </c>
      <c r="J756" s="35">
        <v>2520.0</v>
      </c>
      <c r="K756" s="33" t="s">
        <v>3682</v>
      </c>
      <c r="L756" s="33" t="s">
        <v>1947</v>
      </c>
      <c r="M756" s="33" t="s">
        <v>2525</v>
      </c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39" t="s">
        <v>2604</v>
      </c>
      <c r="B757" s="39" t="s">
        <v>3683</v>
      </c>
      <c r="C757" s="44" t="s">
        <v>1554</v>
      </c>
      <c r="D757" s="39" t="s">
        <v>3684</v>
      </c>
      <c r="E757" s="39"/>
      <c r="F757" s="39"/>
      <c r="G757" s="37" t="s">
        <v>1942</v>
      </c>
      <c r="H757" s="39"/>
      <c r="I757" s="37" t="s">
        <v>1942</v>
      </c>
      <c r="J757" s="38">
        <v>7200.0</v>
      </c>
      <c r="K757" s="37" t="s">
        <v>3563</v>
      </c>
      <c r="L757" s="37" t="s">
        <v>1947</v>
      </c>
      <c r="M757" s="37" t="s">
        <v>2525</v>
      </c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32" t="s">
        <v>2604</v>
      </c>
      <c r="B758" s="32" t="s">
        <v>3685</v>
      </c>
      <c r="C758" s="45" t="s">
        <v>1414</v>
      </c>
      <c r="D758" s="32" t="s">
        <v>3686</v>
      </c>
      <c r="E758" s="32"/>
      <c r="F758" s="32"/>
      <c r="G758" s="33" t="s">
        <v>1942</v>
      </c>
      <c r="H758" s="32"/>
      <c r="I758" s="33" t="s">
        <v>1942</v>
      </c>
      <c r="J758" s="35">
        <v>5040.0</v>
      </c>
      <c r="K758" s="33" t="s">
        <v>3687</v>
      </c>
      <c r="L758" s="33" t="s">
        <v>1947</v>
      </c>
      <c r="M758" s="33" t="s">
        <v>2525</v>
      </c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39" t="s">
        <v>2604</v>
      </c>
      <c r="B759" s="39" t="s">
        <v>3688</v>
      </c>
      <c r="C759" s="44" t="s">
        <v>1426</v>
      </c>
      <c r="D759" s="39" t="s">
        <v>3689</v>
      </c>
      <c r="E759" s="39"/>
      <c r="F759" s="39"/>
      <c r="G759" s="37" t="s">
        <v>1942</v>
      </c>
      <c r="H759" s="39"/>
      <c r="I759" s="37" t="s">
        <v>1942</v>
      </c>
      <c r="J759" s="38">
        <v>2940.0</v>
      </c>
      <c r="K759" s="37" t="s">
        <v>3690</v>
      </c>
      <c r="L759" s="37" t="s">
        <v>1947</v>
      </c>
      <c r="M759" s="37" t="s">
        <v>2525</v>
      </c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32" t="s">
        <v>2604</v>
      </c>
      <c r="B760" s="32" t="s">
        <v>3691</v>
      </c>
      <c r="C760" s="45" t="s">
        <v>1434</v>
      </c>
      <c r="D760" s="32" t="s">
        <v>3692</v>
      </c>
      <c r="E760" s="32"/>
      <c r="F760" s="32"/>
      <c r="G760" s="33" t="s">
        <v>1942</v>
      </c>
      <c r="H760" s="32"/>
      <c r="I760" s="33" t="s">
        <v>1942</v>
      </c>
      <c r="J760" s="35">
        <v>4550.0</v>
      </c>
      <c r="K760" s="33" t="s">
        <v>3094</v>
      </c>
      <c r="L760" s="33" t="s">
        <v>1947</v>
      </c>
      <c r="M760" s="33" t="s">
        <v>2525</v>
      </c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39" t="s">
        <v>2604</v>
      </c>
      <c r="B761" s="39" t="s">
        <v>3693</v>
      </c>
      <c r="C761" s="44" t="s">
        <v>1542</v>
      </c>
      <c r="D761" s="39" t="s">
        <v>3694</v>
      </c>
      <c r="E761" s="39"/>
      <c r="F761" s="39"/>
      <c r="G761" s="37" t="s">
        <v>1942</v>
      </c>
      <c r="H761" s="39"/>
      <c r="I761" s="37" t="s">
        <v>1942</v>
      </c>
      <c r="J761" s="38">
        <v>7200.0</v>
      </c>
      <c r="K761" s="37" t="s">
        <v>3563</v>
      </c>
      <c r="L761" s="37" t="s">
        <v>1947</v>
      </c>
      <c r="M761" s="37" t="s">
        <v>2525</v>
      </c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32" t="s">
        <v>2604</v>
      </c>
      <c r="B762" s="32" t="s">
        <v>3695</v>
      </c>
      <c r="C762" s="45" t="s">
        <v>1430</v>
      </c>
      <c r="D762" s="32" t="s">
        <v>3696</v>
      </c>
      <c r="E762" s="32"/>
      <c r="F762" s="32"/>
      <c r="G762" s="33" t="s">
        <v>1942</v>
      </c>
      <c r="H762" s="32"/>
      <c r="I762" s="33" t="s">
        <v>1942</v>
      </c>
      <c r="J762" s="35">
        <v>3780.0</v>
      </c>
      <c r="K762" s="33" t="s">
        <v>3697</v>
      </c>
      <c r="L762" s="33" t="s">
        <v>1947</v>
      </c>
      <c r="M762" s="33" t="s">
        <v>2525</v>
      </c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39" t="s">
        <v>2604</v>
      </c>
      <c r="B763" s="39" t="s">
        <v>3698</v>
      </c>
      <c r="C763" s="44" t="s">
        <v>1507</v>
      </c>
      <c r="D763" s="39" t="s">
        <v>1508</v>
      </c>
      <c r="E763" s="39"/>
      <c r="F763" s="39"/>
      <c r="G763" s="37" t="s">
        <v>1942</v>
      </c>
      <c r="H763" s="39"/>
      <c r="I763" s="37" t="s">
        <v>1942</v>
      </c>
      <c r="J763" s="38">
        <v>2700.0</v>
      </c>
      <c r="K763" s="37" t="s">
        <v>2558</v>
      </c>
      <c r="L763" s="37" t="s">
        <v>1947</v>
      </c>
      <c r="M763" s="37" t="s">
        <v>2525</v>
      </c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32" t="s">
        <v>2604</v>
      </c>
      <c r="B764" s="32" t="s">
        <v>3699</v>
      </c>
      <c r="C764" s="45" t="s">
        <v>1503</v>
      </c>
      <c r="D764" s="32" t="s">
        <v>3700</v>
      </c>
      <c r="E764" s="32"/>
      <c r="F764" s="32"/>
      <c r="G764" s="33" t="s">
        <v>1942</v>
      </c>
      <c r="H764" s="32"/>
      <c r="I764" s="33" t="s">
        <v>1942</v>
      </c>
      <c r="J764" s="35">
        <v>5400.0</v>
      </c>
      <c r="K764" s="33" t="s">
        <v>2562</v>
      </c>
      <c r="L764" s="33" t="s">
        <v>1947</v>
      </c>
      <c r="M764" s="33" t="s">
        <v>2525</v>
      </c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39" t="s">
        <v>2604</v>
      </c>
      <c r="B765" s="39" t="s">
        <v>3701</v>
      </c>
      <c r="C765" s="44" t="s">
        <v>1527</v>
      </c>
      <c r="D765" s="39" t="s">
        <v>3702</v>
      </c>
      <c r="E765" s="39"/>
      <c r="F765" s="39"/>
      <c r="G765" s="37" t="s">
        <v>1942</v>
      </c>
      <c r="H765" s="39"/>
      <c r="I765" s="37" t="s">
        <v>1942</v>
      </c>
      <c r="J765" s="38">
        <v>1980.0</v>
      </c>
      <c r="K765" s="37" t="s">
        <v>3703</v>
      </c>
      <c r="L765" s="37" t="s">
        <v>1947</v>
      </c>
      <c r="M765" s="37" t="s">
        <v>2525</v>
      </c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32" t="s">
        <v>2604</v>
      </c>
      <c r="B766" s="32" t="s">
        <v>3704</v>
      </c>
      <c r="C766" s="45" t="s">
        <v>1534</v>
      </c>
      <c r="D766" s="32" t="s">
        <v>3705</v>
      </c>
      <c r="E766" s="32"/>
      <c r="F766" s="32"/>
      <c r="G766" s="33" t="s">
        <v>1942</v>
      </c>
      <c r="H766" s="32"/>
      <c r="I766" s="33" t="s">
        <v>1942</v>
      </c>
      <c r="J766" s="35">
        <v>2925.0</v>
      </c>
      <c r="K766" s="33" t="s">
        <v>3706</v>
      </c>
      <c r="L766" s="33" t="s">
        <v>1947</v>
      </c>
      <c r="M766" s="33" t="s">
        <v>2525</v>
      </c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39" t="s">
        <v>2604</v>
      </c>
      <c r="B767" s="39" t="s">
        <v>3707</v>
      </c>
      <c r="C767" s="44" t="s">
        <v>1438</v>
      </c>
      <c r="D767" s="39" t="s">
        <v>3708</v>
      </c>
      <c r="E767" s="39"/>
      <c r="F767" s="39"/>
      <c r="G767" s="37" t="s">
        <v>1942</v>
      </c>
      <c r="H767" s="39"/>
      <c r="I767" s="37" t="s">
        <v>1942</v>
      </c>
      <c r="J767" s="38">
        <v>3360.0</v>
      </c>
      <c r="K767" s="37" t="s">
        <v>3677</v>
      </c>
      <c r="L767" s="37" t="s">
        <v>1947</v>
      </c>
      <c r="M767" s="37" t="s">
        <v>2525</v>
      </c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32" t="s">
        <v>2604</v>
      </c>
      <c r="B768" s="32" t="s">
        <v>3709</v>
      </c>
      <c r="C768" s="45" t="s">
        <v>1546</v>
      </c>
      <c r="D768" s="32" t="s">
        <v>3710</v>
      </c>
      <c r="E768" s="32"/>
      <c r="F768" s="32"/>
      <c r="G768" s="33" t="s">
        <v>1942</v>
      </c>
      <c r="H768" s="32"/>
      <c r="I768" s="33" t="s">
        <v>1942</v>
      </c>
      <c r="J768" s="35">
        <v>2925.0</v>
      </c>
      <c r="K768" s="33" t="s">
        <v>3706</v>
      </c>
      <c r="L768" s="33" t="s">
        <v>1947</v>
      </c>
      <c r="M768" s="33" t="s">
        <v>2525</v>
      </c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39" t="s">
        <v>2604</v>
      </c>
      <c r="B769" s="39" t="s">
        <v>3711</v>
      </c>
      <c r="C769" s="44" t="s">
        <v>1452</v>
      </c>
      <c r="D769" s="39" t="s">
        <v>3712</v>
      </c>
      <c r="E769" s="39"/>
      <c r="F769" s="39"/>
      <c r="G769" s="37" t="s">
        <v>1942</v>
      </c>
      <c r="H769" s="39"/>
      <c r="I769" s="37" t="s">
        <v>1942</v>
      </c>
      <c r="J769" s="38">
        <v>5850.0</v>
      </c>
      <c r="K769" s="37" t="s">
        <v>3713</v>
      </c>
      <c r="L769" s="37" t="s">
        <v>1947</v>
      </c>
      <c r="M769" s="37" t="s">
        <v>2525</v>
      </c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32" t="s">
        <v>1948</v>
      </c>
      <c r="B770" s="32" t="s">
        <v>1665</v>
      </c>
      <c r="C770" s="45" t="s">
        <v>1666</v>
      </c>
      <c r="D770" s="32" t="s">
        <v>1667</v>
      </c>
      <c r="E770" s="32"/>
      <c r="F770" s="32"/>
      <c r="G770" s="33" t="s">
        <v>1942</v>
      </c>
      <c r="H770" s="32"/>
      <c r="I770" s="33" t="s">
        <v>1942</v>
      </c>
      <c r="J770" s="35">
        <v>6694.0</v>
      </c>
      <c r="K770" s="33" t="s">
        <v>1969</v>
      </c>
      <c r="L770" s="33" t="s">
        <v>1947</v>
      </c>
      <c r="M770" s="33" t="s">
        <v>2525</v>
      </c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39" t="s">
        <v>2604</v>
      </c>
      <c r="B771" s="39" t="s">
        <v>1669</v>
      </c>
      <c r="C771" s="44">
        <v>106498.0</v>
      </c>
      <c r="D771" s="39" t="s">
        <v>3714</v>
      </c>
      <c r="E771" s="39"/>
      <c r="F771" s="39"/>
      <c r="G771" s="37" t="s">
        <v>1942</v>
      </c>
      <c r="H771" s="39"/>
      <c r="I771" s="37" t="s">
        <v>1942</v>
      </c>
      <c r="J771" s="38">
        <v>8064.0</v>
      </c>
      <c r="K771" s="37" t="s">
        <v>3060</v>
      </c>
      <c r="L771" s="37" t="s">
        <v>1947</v>
      </c>
      <c r="M771" s="37" t="s">
        <v>2525</v>
      </c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32" t="s">
        <v>2604</v>
      </c>
      <c r="B772" s="32" t="s">
        <v>1675</v>
      </c>
      <c r="C772" s="45">
        <v>106499.0</v>
      </c>
      <c r="D772" s="32" t="s">
        <v>3715</v>
      </c>
      <c r="E772" s="32"/>
      <c r="F772" s="32"/>
      <c r="G772" s="33" t="s">
        <v>1942</v>
      </c>
      <c r="H772" s="32"/>
      <c r="I772" s="33" t="s">
        <v>1942</v>
      </c>
      <c r="J772" s="35">
        <v>8820.0</v>
      </c>
      <c r="K772" s="33" t="s">
        <v>3054</v>
      </c>
      <c r="L772" s="33" t="s">
        <v>1947</v>
      </c>
      <c r="M772" s="33" t="s">
        <v>2525</v>
      </c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39" t="s">
        <v>1890</v>
      </c>
      <c r="B773" s="39" t="s">
        <v>1678</v>
      </c>
      <c r="C773" s="48">
        <v>7.99192588914E11</v>
      </c>
      <c r="D773" s="39" t="s">
        <v>3716</v>
      </c>
      <c r="E773" s="39"/>
      <c r="F773" s="39"/>
      <c r="G773" s="37" t="s">
        <v>1942</v>
      </c>
      <c r="H773" s="39"/>
      <c r="I773" s="37" t="s">
        <v>1942</v>
      </c>
      <c r="J773" s="38">
        <v>16794.0</v>
      </c>
      <c r="K773" s="37" t="s">
        <v>3717</v>
      </c>
      <c r="L773" s="37" t="s">
        <v>1947</v>
      </c>
      <c r="M773" s="37" t="s">
        <v>2525</v>
      </c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32" t="s">
        <v>1890</v>
      </c>
      <c r="B774" s="32" t="s">
        <v>1684</v>
      </c>
      <c r="C774" s="45">
        <v>7.99192588945E11</v>
      </c>
      <c r="D774" s="32" t="s">
        <v>3718</v>
      </c>
      <c r="E774" s="32"/>
      <c r="F774" s="32"/>
      <c r="G774" s="33" t="s">
        <v>1942</v>
      </c>
      <c r="H774" s="32"/>
      <c r="I774" s="33" t="s">
        <v>1942</v>
      </c>
      <c r="J774" s="35">
        <v>26455.0</v>
      </c>
      <c r="K774" s="33" t="s">
        <v>3382</v>
      </c>
      <c r="L774" s="33" t="s">
        <v>1947</v>
      </c>
      <c r="M774" s="33" t="s">
        <v>2525</v>
      </c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39" t="s">
        <v>1890</v>
      </c>
      <c r="B775" s="39" t="s">
        <v>1672</v>
      </c>
      <c r="C775" s="44">
        <v>7.99192588853E11</v>
      </c>
      <c r="D775" s="39" t="s">
        <v>3719</v>
      </c>
      <c r="E775" s="39"/>
      <c r="F775" s="39"/>
      <c r="G775" s="37" t="s">
        <v>1942</v>
      </c>
      <c r="H775" s="39"/>
      <c r="I775" s="37" t="s">
        <v>1942</v>
      </c>
      <c r="J775" s="38">
        <v>18195.0</v>
      </c>
      <c r="K775" s="37" t="s">
        <v>3720</v>
      </c>
      <c r="L775" s="37" t="s">
        <v>1947</v>
      </c>
      <c r="M775" s="37" t="s">
        <v>2525</v>
      </c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32" t="s">
        <v>1890</v>
      </c>
      <c r="B776" s="32" t="s">
        <v>1681</v>
      </c>
      <c r="C776" s="45">
        <v>7.99192588938E11</v>
      </c>
      <c r="D776" s="32" t="s">
        <v>3721</v>
      </c>
      <c r="E776" s="32"/>
      <c r="F776" s="32"/>
      <c r="G776" s="33" t="s">
        <v>1942</v>
      </c>
      <c r="H776" s="32"/>
      <c r="I776" s="33" t="s">
        <v>1942</v>
      </c>
      <c r="J776" s="35">
        <v>18195.0</v>
      </c>
      <c r="K776" s="33" t="s">
        <v>3720</v>
      </c>
      <c r="L776" s="33" t="s">
        <v>1947</v>
      </c>
      <c r="M776" s="33" t="s">
        <v>2525</v>
      </c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39" t="s">
        <v>3722</v>
      </c>
      <c r="B777" s="39" t="s">
        <v>3723</v>
      </c>
      <c r="C777" s="44">
        <v>6.06110081443E11</v>
      </c>
      <c r="D777" s="39" t="s">
        <v>1694</v>
      </c>
      <c r="E777" s="39"/>
      <c r="F777" s="39"/>
      <c r="G777" s="37" t="s">
        <v>1942</v>
      </c>
      <c r="H777" s="39"/>
      <c r="I777" s="37" t="s">
        <v>1942</v>
      </c>
      <c r="J777" s="38">
        <v>3797.0</v>
      </c>
      <c r="K777" s="37" t="s">
        <v>3724</v>
      </c>
      <c r="L777" s="37" t="s">
        <v>1947</v>
      </c>
      <c r="M777" s="37" t="s">
        <v>2525</v>
      </c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32" t="s">
        <v>3722</v>
      </c>
      <c r="B778" s="32" t="s">
        <v>1693</v>
      </c>
      <c r="C778" s="45">
        <v>6.06110081443E11</v>
      </c>
      <c r="D778" s="32" t="s">
        <v>1694</v>
      </c>
      <c r="E778" s="32"/>
      <c r="F778" s="32"/>
      <c r="G778" s="33" t="s">
        <v>1942</v>
      </c>
      <c r="H778" s="32"/>
      <c r="I778" s="33" t="s">
        <v>1942</v>
      </c>
      <c r="J778" s="35">
        <v>3797.0</v>
      </c>
      <c r="K778" s="33" t="s">
        <v>3724</v>
      </c>
      <c r="L778" s="33" t="s">
        <v>1947</v>
      </c>
      <c r="M778" s="33" t="s">
        <v>2525</v>
      </c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39" t="s">
        <v>3722</v>
      </c>
      <c r="B779" s="39" t="s">
        <v>1687</v>
      </c>
      <c r="C779" s="44">
        <v>2.006126603E12</v>
      </c>
      <c r="D779" s="39" t="s">
        <v>1688</v>
      </c>
      <c r="E779" s="39"/>
      <c r="F779" s="39"/>
      <c r="G779" s="37" t="s">
        <v>1942</v>
      </c>
      <c r="H779" s="39"/>
      <c r="I779" s="37" t="s">
        <v>1942</v>
      </c>
      <c r="J779" s="38">
        <v>3094.0</v>
      </c>
      <c r="K779" s="37" t="s">
        <v>3725</v>
      </c>
      <c r="L779" s="37" t="s">
        <v>1947</v>
      </c>
      <c r="M779" s="37" t="s">
        <v>2525</v>
      </c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32" t="s">
        <v>3722</v>
      </c>
      <c r="B780" s="32" t="s">
        <v>3726</v>
      </c>
      <c r="C780" s="45">
        <v>2.006126603E12</v>
      </c>
      <c r="D780" s="32" t="s">
        <v>1688</v>
      </c>
      <c r="E780" s="32"/>
      <c r="F780" s="32"/>
      <c r="G780" s="33" t="s">
        <v>1942</v>
      </c>
      <c r="H780" s="32"/>
      <c r="I780" s="33" t="s">
        <v>1942</v>
      </c>
      <c r="J780" s="35">
        <v>3094.0</v>
      </c>
      <c r="K780" s="33" t="s">
        <v>3725</v>
      </c>
      <c r="L780" s="33" t="s">
        <v>1947</v>
      </c>
      <c r="M780" s="33" t="s">
        <v>2525</v>
      </c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39" t="s">
        <v>3722</v>
      </c>
      <c r="B781" s="39" t="s">
        <v>1690</v>
      </c>
      <c r="C781" s="44">
        <v>6.0611008145E11</v>
      </c>
      <c r="D781" s="39" t="s">
        <v>1691</v>
      </c>
      <c r="E781" s="39"/>
      <c r="F781" s="39"/>
      <c r="G781" s="37" t="s">
        <v>1942</v>
      </c>
      <c r="H781" s="39"/>
      <c r="I781" s="37" t="s">
        <v>1942</v>
      </c>
      <c r="J781" s="38">
        <v>3511.0</v>
      </c>
      <c r="K781" s="37" t="s">
        <v>3727</v>
      </c>
      <c r="L781" s="37" t="s">
        <v>1947</v>
      </c>
      <c r="M781" s="37" t="s">
        <v>2525</v>
      </c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32" t="s">
        <v>3722</v>
      </c>
      <c r="B782" s="32" t="s">
        <v>3728</v>
      </c>
      <c r="C782" s="45">
        <v>6.0611008145E11</v>
      </c>
      <c r="D782" s="32" t="s">
        <v>1691</v>
      </c>
      <c r="E782" s="32"/>
      <c r="F782" s="32"/>
      <c r="G782" s="33" t="s">
        <v>1942</v>
      </c>
      <c r="H782" s="32"/>
      <c r="I782" s="33" t="s">
        <v>1942</v>
      </c>
      <c r="J782" s="35">
        <v>3511.0</v>
      </c>
      <c r="K782" s="33" t="s">
        <v>3727</v>
      </c>
      <c r="L782" s="33" t="s">
        <v>1947</v>
      </c>
      <c r="M782" s="33" t="s">
        <v>2525</v>
      </c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39" t="s">
        <v>3612</v>
      </c>
      <c r="B783" s="39" t="s">
        <v>1728</v>
      </c>
      <c r="C783" s="44" t="s">
        <v>1729</v>
      </c>
      <c r="D783" s="39" t="s">
        <v>3729</v>
      </c>
      <c r="E783" s="39"/>
      <c r="F783" s="39"/>
      <c r="G783" s="37" t="s">
        <v>1942</v>
      </c>
      <c r="H783" s="39"/>
      <c r="I783" s="37" t="s">
        <v>1942</v>
      </c>
      <c r="J783" s="38">
        <v>9812.0</v>
      </c>
      <c r="K783" s="37" t="s">
        <v>3730</v>
      </c>
      <c r="L783" s="37" t="s">
        <v>1947</v>
      </c>
      <c r="M783" s="37" t="s">
        <v>2525</v>
      </c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32" t="s">
        <v>3612</v>
      </c>
      <c r="B784" s="32" t="s">
        <v>3731</v>
      </c>
      <c r="C784" s="45" t="s">
        <v>1729</v>
      </c>
      <c r="D784" s="32" t="s">
        <v>3729</v>
      </c>
      <c r="E784" s="32"/>
      <c r="F784" s="32"/>
      <c r="G784" s="33" t="s">
        <v>1942</v>
      </c>
      <c r="H784" s="32"/>
      <c r="I784" s="33" t="s">
        <v>1942</v>
      </c>
      <c r="J784" s="35">
        <v>9812.0</v>
      </c>
      <c r="K784" s="33" t="s">
        <v>3730</v>
      </c>
      <c r="L784" s="33" t="s">
        <v>1947</v>
      </c>
      <c r="M784" s="33" t="s">
        <v>2525</v>
      </c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39" t="s">
        <v>3612</v>
      </c>
      <c r="B785" s="39" t="s">
        <v>1700</v>
      </c>
      <c r="C785" s="44" t="s">
        <v>1701</v>
      </c>
      <c r="D785" s="39" t="s">
        <v>3732</v>
      </c>
      <c r="E785" s="39"/>
      <c r="F785" s="39"/>
      <c r="G785" s="37" t="s">
        <v>1942</v>
      </c>
      <c r="H785" s="39"/>
      <c r="I785" s="37" t="s">
        <v>1942</v>
      </c>
      <c r="J785" s="38">
        <v>9812.0</v>
      </c>
      <c r="K785" s="37" t="s">
        <v>3730</v>
      </c>
      <c r="L785" s="37" t="s">
        <v>1947</v>
      </c>
      <c r="M785" s="37" t="s">
        <v>2525</v>
      </c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32" t="s">
        <v>3612</v>
      </c>
      <c r="B786" s="32" t="s">
        <v>3733</v>
      </c>
      <c r="C786" s="45" t="s">
        <v>1701</v>
      </c>
      <c r="D786" s="32" t="s">
        <v>3732</v>
      </c>
      <c r="E786" s="32"/>
      <c r="F786" s="32"/>
      <c r="G786" s="33" t="s">
        <v>1942</v>
      </c>
      <c r="H786" s="32"/>
      <c r="I786" s="33" t="s">
        <v>1942</v>
      </c>
      <c r="J786" s="35">
        <v>9812.0</v>
      </c>
      <c r="K786" s="33" t="s">
        <v>3730</v>
      </c>
      <c r="L786" s="33" t="s">
        <v>1947</v>
      </c>
      <c r="M786" s="33" t="s">
        <v>2525</v>
      </c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39" t="s">
        <v>3612</v>
      </c>
      <c r="B787" s="39" t="s">
        <v>1724</v>
      </c>
      <c r="C787" s="44" t="s">
        <v>1725</v>
      </c>
      <c r="D787" s="39" t="s">
        <v>1726</v>
      </c>
      <c r="E787" s="39"/>
      <c r="F787" s="39"/>
      <c r="G787" s="37" t="s">
        <v>1942</v>
      </c>
      <c r="H787" s="39"/>
      <c r="I787" s="37" t="s">
        <v>1942</v>
      </c>
      <c r="J787" s="38">
        <v>8503.0</v>
      </c>
      <c r="K787" s="37" t="s">
        <v>3734</v>
      </c>
      <c r="L787" s="37" t="s">
        <v>1947</v>
      </c>
      <c r="M787" s="37" t="s">
        <v>2525</v>
      </c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32" t="s">
        <v>3612</v>
      </c>
      <c r="B788" s="32" t="s">
        <v>3735</v>
      </c>
      <c r="C788" s="45" t="s">
        <v>1725</v>
      </c>
      <c r="D788" s="32" t="s">
        <v>1726</v>
      </c>
      <c r="E788" s="32"/>
      <c r="F788" s="32"/>
      <c r="G788" s="33" t="s">
        <v>1942</v>
      </c>
      <c r="H788" s="32"/>
      <c r="I788" s="33" t="s">
        <v>1942</v>
      </c>
      <c r="J788" s="35">
        <v>8503.0</v>
      </c>
      <c r="K788" s="33" t="s">
        <v>3734</v>
      </c>
      <c r="L788" s="33" t="s">
        <v>1947</v>
      </c>
      <c r="M788" s="33" t="s">
        <v>2525</v>
      </c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39" t="s">
        <v>3612</v>
      </c>
      <c r="B789" s="39" t="s">
        <v>1716</v>
      </c>
      <c r="C789" s="44" t="s">
        <v>1717</v>
      </c>
      <c r="D789" s="39" t="s">
        <v>3736</v>
      </c>
      <c r="E789" s="39"/>
      <c r="F789" s="39"/>
      <c r="G789" s="37" t="s">
        <v>1942</v>
      </c>
      <c r="H789" s="39"/>
      <c r="I789" s="37" t="s">
        <v>1942</v>
      </c>
      <c r="J789" s="38">
        <v>13084.0</v>
      </c>
      <c r="K789" s="37" t="s">
        <v>3737</v>
      </c>
      <c r="L789" s="37" t="s">
        <v>1947</v>
      </c>
      <c r="M789" s="37" t="s">
        <v>2525</v>
      </c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32" t="s">
        <v>3612</v>
      </c>
      <c r="B790" s="32" t="s">
        <v>3738</v>
      </c>
      <c r="C790" s="45" t="s">
        <v>1717</v>
      </c>
      <c r="D790" s="32" t="s">
        <v>3736</v>
      </c>
      <c r="E790" s="32"/>
      <c r="F790" s="32"/>
      <c r="G790" s="33" t="s">
        <v>1942</v>
      </c>
      <c r="H790" s="32"/>
      <c r="I790" s="33" t="s">
        <v>1942</v>
      </c>
      <c r="J790" s="35">
        <v>13084.0</v>
      </c>
      <c r="K790" s="33" t="s">
        <v>3737</v>
      </c>
      <c r="L790" s="33" t="s">
        <v>1947</v>
      </c>
      <c r="M790" s="33" t="s">
        <v>2525</v>
      </c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39" t="s">
        <v>3612</v>
      </c>
      <c r="B791" s="39" t="s">
        <v>1696</v>
      </c>
      <c r="C791" s="44" t="s">
        <v>1697</v>
      </c>
      <c r="D791" s="39" t="s">
        <v>1698</v>
      </c>
      <c r="E791" s="39"/>
      <c r="F791" s="39"/>
      <c r="G791" s="37" t="s">
        <v>1942</v>
      </c>
      <c r="H791" s="39"/>
      <c r="I791" s="37" t="s">
        <v>1942</v>
      </c>
      <c r="J791" s="38">
        <v>10793.0</v>
      </c>
      <c r="K791" s="37" t="s">
        <v>3739</v>
      </c>
      <c r="L791" s="37" t="s">
        <v>1947</v>
      </c>
      <c r="M791" s="37" t="s">
        <v>2525</v>
      </c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32" t="s">
        <v>3612</v>
      </c>
      <c r="B792" s="32" t="s">
        <v>3740</v>
      </c>
      <c r="C792" s="45" t="s">
        <v>1697</v>
      </c>
      <c r="D792" s="32" t="s">
        <v>1698</v>
      </c>
      <c r="E792" s="32"/>
      <c r="F792" s="32"/>
      <c r="G792" s="33" t="s">
        <v>1942</v>
      </c>
      <c r="H792" s="32"/>
      <c r="I792" s="33" t="s">
        <v>1942</v>
      </c>
      <c r="J792" s="35">
        <v>10793.0</v>
      </c>
      <c r="K792" s="33" t="s">
        <v>3739</v>
      </c>
      <c r="L792" s="33" t="s">
        <v>1947</v>
      </c>
      <c r="M792" s="33" t="s">
        <v>2525</v>
      </c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39" t="s">
        <v>3612</v>
      </c>
      <c r="B793" s="39" t="s">
        <v>3741</v>
      </c>
      <c r="C793" s="44" t="s">
        <v>1721</v>
      </c>
      <c r="D793" s="39" t="s">
        <v>1722</v>
      </c>
      <c r="E793" s="39"/>
      <c r="F793" s="39"/>
      <c r="G793" s="37" t="s">
        <v>1942</v>
      </c>
      <c r="H793" s="39"/>
      <c r="I793" s="37" t="s">
        <v>1942</v>
      </c>
      <c r="J793" s="38">
        <v>7194.0</v>
      </c>
      <c r="K793" s="37" t="s">
        <v>3742</v>
      </c>
      <c r="L793" s="37" t="s">
        <v>1947</v>
      </c>
      <c r="M793" s="37" t="s">
        <v>2525</v>
      </c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32" t="s">
        <v>3612</v>
      </c>
      <c r="B794" s="32" t="s">
        <v>1720</v>
      </c>
      <c r="C794" s="45" t="s">
        <v>1721</v>
      </c>
      <c r="D794" s="32" t="s">
        <v>1722</v>
      </c>
      <c r="E794" s="32"/>
      <c r="F794" s="32"/>
      <c r="G794" s="33" t="s">
        <v>1942</v>
      </c>
      <c r="H794" s="32"/>
      <c r="I794" s="33" t="s">
        <v>1942</v>
      </c>
      <c r="J794" s="35">
        <v>7194.0</v>
      </c>
      <c r="K794" s="33" t="s">
        <v>3742</v>
      </c>
      <c r="L794" s="33" t="s">
        <v>1947</v>
      </c>
      <c r="M794" s="33" t="s">
        <v>2525</v>
      </c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39" t="s">
        <v>3612</v>
      </c>
      <c r="B795" s="39" t="s">
        <v>1736</v>
      </c>
      <c r="C795" s="44" t="s">
        <v>1737</v>
      </c>
      <c r="D795" s="39" t="s">
        <v>3743</v>
      </c>
      <c r="E795" s="39"/>
      <c r="F795" s="39"/>
      <c r="G795" s="37" t="s">
        <v>1942</v>
      </c>
      <c r="H795" s="39"/>
      <c r="I795" s="37" t="s">
        <v>1942</v>
      </c>
      <c r="J795" s="38">
        <v>3070.0</v>
      </c>
      <c r="K795" s="37" t="s">
        <v>3744</v>
      </c>
      <c r="L795" s="37" t="s">
        <v>1947</v>
      </c>
      <c r="M795" s="37" t="s">
        <v>2525</v>
      </c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32" t="s">
        <v>3612</v>
      </c>
      <c r="B796" s="32" t="s">
        <v>3745</v>
      </c>
      <c r="C796" s="45" t="s">
        <v>1737</v>
      </c>
      <c r="D796" s="32" t="s">
        <v>3743</v>
      </c>
      <c r="E796" s="32"/>
      <c r="F796" s="32"/>
      <c r="G796" s="33" t="s">
        <v>1942</v>
      </c>
      <c r="H796" s="32"/>
      <c r="I796" s="33" t="s">
        <v>1942</v>
      </c>
      <c r="J796" s="35">
        <v>3070.0</v>
      </c>
      <c r="K796" s="33" t="s">
        <v>3744</v>
      </c>
      <c r="L796" s="33" t="s">
        <v>1947</v>
      </c>
      <c r="M796" s="33" t="s">
        <v>2525</v>
      </c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39" t="s">
        <v>3612</v>
      </c>
      <c r="B797" s="39" t="s">
        <v>3746</v>
      </c>
      <c r="C797" s="44" t="s">
        <v>1709</v>
      </c>
      <c r="D797" s="39" t="s">
        <v>1710</v>
      </c>
      <c r="E797" s="39"/>
      <c r="F797" s="39"/>
      <c r="G797" s="37" t="s">
        <v>1942</v>
      </c>
      <c r="H797" s="39"/>
      <c r="I797" s="37" t="s">
        <v>1942</v>
      </c>
      <c r="J797" s="37" t="s">
        <v>3747</v>
      </c>
      <c r="K797" s="37" t="s">
        <v>3748</v>
      </c>
      <c r="L797" s="37" t="s">
        <v>1947</v>
      </c>
      <c r="M797" s="37" t="s">
        <v>2525</v>
      </c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32" t="s">
        <v>3612</v>
      </c>
      <c r="B798" s="32" t="s">
        <v>1708</v>
      </c>
      <c r="C798" s="45" t="s">
        <v>1709</v>
      </c>
      <c r="D798" s="32" t="s">
        <v>1710</v>
      </c>
      <c r="E798" s="32"/>
      <c r="F798" s="32"/>
      <c r="G798" s="33" t="s">
        <v>1942</v>
      </c>
      <c r="H798" s="32"/>
      <c r="I798" s="33" t="s">
        <v>1942</v>
      </c>
      <c r="J798" s="33" t="s">
        <v>3747</v>
      </c>
      <c r="K798" s="33" t="s">
        <v>3748</v>
      </c>
      <c r="L798" s="33" t="s">
        <v>1947</v>
      </c>
      <c r="M798" s="33" t="s">
        <v>2525</v>
      </c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39" t="s">
        <v>3612</v>
      </c>
      <c r="B799" s="39" t="s">
        <v>1712</v>
      </c>
      <c r="C799" s="44" t="s">
        <v>1713</v>
      </c>
      <c r="D799" s="39" t="s">
        <v>3749</v>
      </c>
      <c r="E799" s="39"/>
      <c r="F799" s="39"/>
      <c r="G799" s="37" t="s">
        <v>1942</v>
      </c>
      <c r="H799" s="39"/>
      <c r="I799" s="37" t="s">
        <v>1942</v>
      </c>
      <c r="J799" s="38">
        <v>16357.0</v>
      </c>
      <c r="K799" s="37" t="s">
        <v>3750</v>
      </c>
      <c r="L799" s="37" t="s">
        <v>1947</v>
      </c>
      <c r="M799" s="37" t="s">
        <v>2525</v>
      </c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32" t="s">
        <v>3612</v>
      </c>
      <c r="B800" s="32" t="s">
        <v>3751</v>
      </c>
      <c r="C800" s="45" t="s">
        <v>1713</v>
      </c>
      <c r="D800" s="32" t="s">
        <v>3749</v>
      </c>
      <c r="E800" s="32"/>
      <c r="F800" s="32"/>
      <c r="G800" s="33" t="s">
        <v>1942</v>
      </c>
      <c r="H800" s="32"/>
      <c r="I800" s="33" t="s">
        <v>1942</v>
      </c>
      <c r="J800" s="35">
        <v>16357.0</v>
      </c>
      <c r="K800" s="33" t="s">
        <v>3750</v>
      </c>
      <c r="L800" s="33" t="s">
        <v>1947</v>
      </c>
      <c r="M800" s="33" t="s">
        <v>2525</v>
      </c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39" t="s">
        <v>3612</v>
      </c>
      <c r="B801" s="39" t="s">
        <v>1704</v>
      </c>
      <c r="C801" s="44" t="s">
        <v>1705</v>
      </c>
      <c r="D801" s="39" t="s">
        <v>1706</v>
      </c>
      <c r="E801" s="39"/>
      <c r="F801" s="39"/>
      <c r="G801" s="37" t="s">
        <v>1942</v>
      </c>
      <c r="H801" s="39"/>
      <c r="I801" s="37" t="s">
        <v>1942</v>
      </c>
      <c r="J801" s="38">
        <v>10705.0</v>
      </c>
      <c r="K801" s="37" t="s">
        <v>3752</v>
      </c>
      <c r="L801" s="37" t="s">
        <v>1947</v>
      </c>
      <c r="M801" s="37" t="s">
        <v>2525</v>
      </c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32" t="s">
        <v>3612</v>
      </c>
      <c r="B802" s="32" t="s">
        <v>3753</v>
      </c>
      <c r="C802" s="45" t="s">
        <v>1705</v>
      </c>
      <c r="D802" s="32" t="s">
        <v>1706</v>
      </c>
      <c r="E802" s="32"/>
      <c r="F802" s="32"/>
      <c r="G802" s="33" t="s">
        <v>1942</v>
      </c>
      <c r="H802" s="32"/>
      <c r="I802" s="33" t="s">
        <v>1942</v>
      </c>
      <c r="J802" s="35">
        <v>10705.0</v>
      </c>
      <c r="K802" s="33" t="s">
        <v>3752</v>
      </c>
      <c r="L802" s="33" t="s">
        <v>1947</v>
      </c>
      <c r="M802" s="33" t="s">
        <v>2525</v>
      </c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39" t="s">
        <v>3612</v>
      </c>
      <c r="B803" s="39" t="s">
        <v>1740</v>
      </c>
      <c r="C803" s="44" t="s">
        <v>1741</v>
      </c>
      <c r="D803" s="39" t="s">
        <v>3754</v>
      </c>
      <c r="E803" s="39"/>
      <c r="F803" s="39"/>
      <c r="G803" s="37" t="s">
        <v>1942</v>
      </c>
      <c r="H803" s="39"/>
      <c r="I803" s="37" t="s">
        <v>1942</v>
      </c>
      <c r="J803" s="38">
        <v>8503.0</v>
      </c>
      <c r="K803" s="37" t="s">
        <v>3734</v>
      </c>
      <c r="L803" s="37" t="s">
        <v>1947</v>
      </c>
      <c r="M803" s="37" t="s">
        <v>2525</v>
      </c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32" t="s">
        <v>3612</v>
      </c>
      <c r="B804" s="32" t="s">
        <v>3755</v>
      </c>
      <c r="C804" s="45" t="s">
        <v>1741</v>
      </c>
      <c r="D804" s="32" t="s">
        <v>3754</v>
      </c>
      <c r="E804" s="32"/>
      <c r="F804" s="32"/>
      <c r="G804" s="33" t="s">
        <v>1942</v>
      </c>
      <c r="H804" s="32"/>
      <c r="I804" s="33" t="s">
        <v>1942</v>
      </c>
      <c r="J804" s="35">
        <v>8503.0</v>
      </c>
      <c r="K804" s="33" t="s">
        <v>3734</v>
      </c>
      <c r="L804" s="33" t="s">
        <v>1947</v>
      </c>
      <c r="M804" s="33" t="s">
        <v>2525</v>
      </c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39" t="s">
        <v>3612</v>
      </c>
      <c r="B805" s="39" t="s">
        <v>1732</v>
      </c>
      <c r="C805" s="44" t="s">
        <v>1733</v>
      </c>
      <c r="D805" s="39" t="s">
        <v>1734</v>
      </c>
      <c r="E805" s="39"/>
      <c r="F805" s="39"/>
      <c r="G805" s="37" t="s">
        <v>1942</v>
      </c>
      <c r="H805" s="39"/>
      <c r="I805" s="37" t="s">
        <v>1942</v>
      </c>
      <c r="J805" s="38">
        <v>10793.0</v>
      </c>
      <c r="K805" s="37" t="s">
        <v>3739</v>
      </c>
      <c r="L805" s="37" t="s">
        <v>1947</v>
      </c>
      <c r="M805" s="37" t="s">
        <v>2525</v>
      </c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32" t="s">
        <v>3612</v>
      </c>
      <c r="B806" s="32" t="s">
        <v>3756</v>
      </c>
      <c r="C806" s="45" t="s">
        <v>1733</v>
      </c>
      <c r="D806" s="32" t="s">
        <v>1734</v>
      </c>
      <c r="E806" s="32"/>
      <c r="F806" s="32"/>
      <c r="G806" s="33" t="s">
        <v>1942</v>
      </c>
      <c r="H806" s="32"/>
      <c r="I806" s="33" t="s">
        <v>1942</v>
      </c>
      <c r="J806" s="35">
        <v>10793.0</v>
      </c>
      <c r="K806" s="33" t="s">
        <v>3739</v>
      </c>
      <c r="L806" s="33" t="s">
        <v>1947</v>
      </c>
      <c r="M806" s="33" t="s">
        <v>2525</v>
      </c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39" t="s">
        <v>1890</v>
      </c>
      <c r="B807" s="39" t="s">
        <v>3757</v>
      </c>
      <c r="C807" s="44">
        <v>7.99192588938E11</v>
      </c>
      <c r="D807" s="39" t="s">
        <v>1682</v>
      </c>
      <c r="E807" s="39"/>
      <c r="F807" s="39"/>
      <c r="G807" s="37" t="s">
        <v>1942</v>
      </c>
      <c r="H807" s="39"/>
      <c r="I807" s="37" t="s">
        <v>1942</v>
      </c>
      <c r="J807" s="38">
        <v>18195.0</v>
      </c>
      <c r="K807" s="37" t="s">
        <v>3720</v>
      </c>
      <c r="L807" s="37" t="s">
        <v>1947</v>
      </c>
      <c r="M807" s="37" t="s">
        <v>2525</v>
      </c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32" t="s">
        <v>1890</v>
      </c>
      <c r="B808" s="32" t="s">
        <v>3758</v>
      </c>
      <c r="C808" s="45">
        <v>7.99192588945E11</v>
      </c>
      <c r="D808" s="32" t="s">
        <v>1685</v>
      </c>
      <c r="E808" s="32"/>
      <c r="F808" s="32"/>
      <c r="G808" s="33" t="s">
        <v>1942</v>
      </c>
      <c r="H808" s="32"/>
      <c r="I808" s="33" t="s">
        <v>1942</v>
      </c>
      <c r="J808" s="35">
        <v>26455.0</v>
      </c>
      <c r="K808" s="33" t="s">
        <v>3382</v>
      </c>
      <c r="L808" s="33" t="s">
        <v>1947</v>
      </c>
      <c r="M808" s="33" t="s">
        <v>2525</v>
      </c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39" t="s">
        <v>1890</v>
      </c>
      <c r="B809" s="39" t="s">
        <v>3759</v>
      </c>
      <c r="C809" s="44">
        <v>7.99192588914E11</v>
      </c>
      <c r="D809" s="39" t="s">
        <v>3760</v>
      </c>
      <c r="E809" s="39"/>
      <c r="F809" s="39"/>
      <c r="G809" s="37" t="s">
        <v>1942</v>
      </c>
      <c r="H809" s="39"/>
      <c r="I809" s="37" t="s">
        <v>1942</v>
      </c>
      <c r="J809" s="38">
        <v>16794.0</v>
      </c>
      <c r="K809" s="37" t="s">
        <v>3717</v>
      </c>
      <c r="L809" s="37" t="s">
        <v>1947</v>
      </c>
      <c r="M809" s="37" t="s">
        <v>2525</v>
      </c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32" t="s">
        <v>3612</v>
      </c>
      <c r="B810" s="32" t="s">
        <v>1744</v>
      </c>
      <c r="C810" s="45" t="s">
        <v>1745</v>
      </c>
      <c r="D810" s="32" t="s">
        <v>3761</v>
      </c>
      <c r="E810" s="32"/>
      <c r="F810" s="32"/>
      <c r="G810" s="33" t="s">
        <v>1942</v>
      </c>
      <c r="H810" s="32"/>
      <c r="I810" s="33" t="s">
        <v>1942</v>
      </c>
      <c r="J810" s="35">
        <v>2023.0</v>
      </c>
      <c r="K810" s="33" t="s">
        <v>3762</v>
      </c>
      <c r="L810" s="33" t="s">
        <v>1947</v>
      </c>
      <c r="M810" s="33" t="s">
        <v>2525</v>
      </c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39" t="s">
        <v>3612</v>
      </c>
      <c r="B811" s="39" t="s">
        <v>3763</v>
      </c>
      <c r="C811" s="44" t="s">
        <v>1745</v>
      </c>
      <c r="D811" s="39" t="s">
        <v>3761</v>
      </c>
      <c r="E811" s="39"/>
      <c r="F811" s="39"/>
      <c r="G811" s="37" t="s">
        <v>1942</v>
      </c>
      <c r="H811" s="39"/>
      <c r="I811" s="37" t="s">
        <v>1942</v>
      </c>
      <c r="J811" s="38">
        <v>2023.0</v>
      </c>
      <c r="K811" s="37" t="s">
        <v>3762</v>
      </c>
      <c r="L811" s="37" t="s">
        <v>1947</v>
      </c>
      <c r="M811" s="37" t="s">
        <v>2525</v>
      </c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32" t="s">
        <v>1890</v>
      </c>
      <c r="B812" s="32" t="s">
        <v>3764</v>
      </c>
      <c r="C812" s="45">
        <v>7.99192588853E11</v>
      </c>
      <c r="D812" s="32" t="s">
        <v>1673</v>
      </c>
      <c r="E812" s="32"/>
      <c r="F812" s="32"/>
      <c r="G812" s="33" t="s">
        <v>1942</v>
      </c>
      <c r="H812" s="32"/>
      <c r="I812" s="33" t="s">
        <v>1942</v>
      </c>
      <c r="J812" s="35">
        <v>18195.0</v>
      </c>
      <c r="K812" s="33" t="s">
        <v>3720</v>
      </c>
      <c r="L812" s="33" t="s">
        <v>1947</v>
      </c>
      <c r="M812" s="33" t="s">
        <v>2525</v>
      </c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39" t="s">
        <v>2604</v>
      </c>
      <c r="B813" s="39" t="s">
        <v>1808</v>
      </c>
      <c r="C813" s="44">
        <v>107373.0</v>
      </c>
      <c r="D813" s="39" t="s">
        <v>3765</v>
      </c>
      <c r="E813" s="39"/>
      <c r="F813" s="39"/>
      <c r="G813" s="37" t="s">
        <v>1942</v>
      </c>
      <c r="H813" s="39"/>
      <c r="I813" s="37" t="s">
        <v>1942</v>
      </c>
      <c r="J813" s="38">
        <v>1848.0</v>
      </c>
      <c r="K813" s="37" t="s">
        <v>3079</v>
      </c>
      <c r="L813" s="37" t="s">
        <v>1947</v>
      </c>
      <c r="M813" s="37" t="s">
        <v>2525</v>
      </c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32" t="s">
        <v>2604</v>
      </c>
      <c r="B814" s="32" t="s">
        <v>1815</v>
      </c>
      <c r="C814" s="45" t="s">
        <v>1816</v>
      </c>
      <c r="D814" s="32" t="s">
        <v>3766</v>
      </c>
      <c r="E814" s="32"/>
      <c r="F814" s="32"/>
      <c r="G814" s="33" t="s">
        <v>1942</v>
      </c>
      <c r="H814" s="32"/>
      <c r="I814" s="33" t="s">
        <v>1942</v>
      </c>
      <c r="J814" s="35">
        <v>7200.0</v>
      </c>
      <c r="K814" s="33" t="s">
        <v>3563</v>
      </c>
      <c r="L814" s="33" t="s">
        <v>1947</v>
      </c>
      <c r="M814" s="33" t="s">
        <v>2525</v>
      </c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39" t="s">
        <v>2604</v>
      </c>
      <c r="B815" s="39" t="s">
        <v>1819</v>
      </c>
      <c r="C815" s="44" t="s">
        <v>1820</v>
      </c>
      <c r="D815" s="39" t="s">
        <v>3767</v>
      </c>
      <c r="E815" s="39"/>
      <c r="F815" s="39"/>
      <c r="G815" s="37" t="s">
        <v>1942</v>
      </c>
      <c r="H815" s="39"/>
      <c r="I815" s="37" t="s">
        <v>1942</v>
      </c>
      <c r="J815" s="38">
        <v>2925.0</v>
      </c>
      <c r="K815" s="37" t="s">
        <v>3706</v>
      </c>
      <c r="L815" s="37" t="s">
        <v>1947</v>
      </c>
      <c r="M815" s="37" t="s">
        <v>2525</v>
      </c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32" t="s">
        <v>2604</v>
      </c>
      <c r="B816" s="32" t="s">
        <v>1827</v>
      </c>
      <c r="C816" s="45" t="s">
        <v>1828</v>
      </c>
      <c r="D816" s="32" t="s">
        <v>3768</v>
      </c>
      <c r="E816" s="32"/>
      <c r="F816" s="32"/>
      <c r="G816" s="33" t="s">
        <v>1942</v>
      </c>
      <c r="H816" s="32"/>
      <c r="I816" s="33" t="s">
        <v>1942</v>
      </c>
      <c r="J816" s="35">
        <v>4050.0</v>
      </c>
      <c r="K816" s="33" t="s">
        <v>3769</v>
      </c>
      <c r="L816" s="33" t="s">
        <v>1947</v>
      </c>
      <c r="M816" s="33" t="s">
        <v>2525</v>
      </c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39" t="s">
        <v>2604</v>
      </c>
      <c r="B817" s="39" t="s">
        <v>1772</v>
      </c>
      <c r="C817" s="44" t="s">
        <v>1773</v>
      </c>
      <c r="D817" s="39" t="s">
        <v>3770</v>
      </c>
      <c r="E817" s="39"/>
      <c r="F817" s="39"/>
      <c r="G817" s="37" t="s">
        <v>1942</v>
      </c>
      <c r="H817" s="39"/>
      <c r="I817" s="37" t="s">
        <v>1942</v>
      </c>
      <c r="J817" s="38">
        <v>1620.0</v>
      </c>
      <c r="K817" s="37" t="s">
        <v>3771</v>
      </c>
      <c r="L817" s="37" t="s">
        <v>1947</v>
      </c>
      <c r="M817" s="37" t="s">
        <v>2525</v>
      </c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32" t="s">
        <v>2604</v>
      </c>
      <c r="B818" s="32" t="s">
        <v>1811</v>
      </c>
      <c r="C818" s="45" t="s">
        <v>1812</v>
      </c>
      <c r="D818" s="32" t="s">
        <v>3772</v>
      </c>
      <c r="E818" s="32"/>
      <c r="F818" s="32"/>
      <c r="G818" s="33" t="s">
        <v>1942</v>
      </c>
      <c r="H818" s="32"/>
      <c r="I818" s="33" t="s">
        <v>1942</v>
      </c>
      <c r="J818" s="35">
        <v>1350.0</v>
      </c>
      <c r="K818" s="33" t="s">
        <v>3773</v>
      </c>
      <c r="L818" s="33" t="s">
        <v>1947</v>
      </c>
      <c r="M818" s="33" t="s">
        <v>2525</v>
      </c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39" t="s">
        <v>2604</v>
      </c>
      <c r="B819" s="39" t="s">
        <v>1784</v>
      </c>
      <c r="C819" s="44" t="s">
        <v>1785</v>
      </c>
      <c r="D819" s="39" t="s">
        <v>3774</v>
      </c>
      <c r="E819" s="39"/>
      <c r="F819" s="39"/>
      <c r="G819" s="37" t="s">
        <v>1942</v>
      </c>
      <c r="H819" s="39"/>
      <c r="I819" s="37" t="s">
        <v>1942</v>
      </c>
      <c r="J819" s="38">
        <v>1350.0</v>
      </c>
      <c r="K819" s="37" t="s">
        <v>3773</v>
      </c>
      <c r="L819" s="37" t="s">
        <v>1947</v>
      </c>
      <c r="M819" s="37" t="s">
        <v>2525</v>
      </c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32" t="s">
        <v>2604</v>
      </c>
      <c r="B820" s="32" t="s">
        <v>1804</v>
      </c>
      <c r="C820" s="45" t="s">
        <v>1805</v>
      </c>
      <c r="D820" s="32" t="s">
        <v>3775</v>
      </c>
      <c r="E820" s="32"/>
      <c r="F820" s="32"/>
      <c r="G820" s="33" t="s">
        <v>1942</v>
      </c>
      <c r="H820" s="32"/>
      <c r="I820" s="33" t="s">
        <v>1942</v>
      </c>
      <c r="J820" s="35">
        <v>2700.0</v>
      </c>
      <c r="K820" s="33" t="s">
        <v>2558</v>
      </c>
      <c r="L820" s="33" t="s">
        <v>1947</v>
      </c>
      <c r="M820" s="33" t="s">
        <v>2525</v>
      </c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39" t="s">
        <v>2604</v>
      </c>
      <c r="B821" s="39" t="s">
        <v>1764</v>
      </c>
      <c r="C821" s="44" t="s">
        <v>1765</v>
      </c>
      <c r="D821" s="39" t="s">
        <v>3776</v>
      </c>
      <c r="E821" s="39"/>
      <c r="F821" s="39"/>
      <c r="G821" s="37" t="s">
        <v>1942</v>
      </c>
      <c r="H821" s="39"/>
      <c r="I821" s="37" t="s">
        <v>1942</v>
      </c>
      <c r="J821" s="38">
        <v>2700.0</v>
      </c>
      <c r="K821" s="37" t="s">
        <v>2558</v>
      </c>
      <c r="L821" s="37" t="s">
        <v>1947</v>
      </c>
      <c r="M821" s="37" t="s">
        <v>2525</v>
      </c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32" t="s">
        <v>2604</v>
      </c>
      <c r="B822" s="32" t="s">
        <v>1768</v>
      </c>
      <c r="C822" s="45" t="s">
        <v>1769</v>
      </c>
      <c r="D822" s="32" t="s">
        <v>3777</v>
      </c>
      <c r="E822" s="32"/>
      <c r="F822" s="32"/>
      <c r="G822" s="33" t="s">
        <v>1942</v>
      </c>
      <c r="H822" s="32"/>
      <c r="I822" s="33" t="s">
        <v>1942</v>
      </c>
      <c r="J822" s="35">
        <v>2700.0</v>
      </c>
      <c r="K822" s="33" t="s">
        <v>2558</v>
      </c>
      <c r="L822" s="33" t="s">
        <v>1947</v>
      </c>
      <c r="M822" s="33" t="s">
        <v>2525</v>
      </c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39" t="s">
        <v>2604</v>
      </c>
      <c r="B823" s="39" t="s">
        <v>1800</v>
      </c>
      <c r="C823" s="44" t="s">
        <v>1801</v>
      </c>
      <c r="D823" s="39" t="s">
        <v>3778</v>
      </c>
      <c r="E823" s="39"/>
      <c r="F823" s="39"/>
      <c r="G823" s="37" t="s">
        <v>1942</v>
      </c>
      <c r="H823" s="39"/>
      <c r="I823" s="37" t="s">
        <v>1942</v>
      </c>
      <c r="J823" s="38">
        <v>5400.0</v>
      </c>
      <c r="K823" s="37" t="s">
        <v>2562</v>
      </c>
      <c r="L823" s="37" t="s">
        <v>1947</v>
      </c>
      <c r="M823" s="37" t="s">
        <v>2525</v>
      </c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32" t="s">
        <v>2604</v>
      </c>
      <c r="B824" s="32" t="s">
        <v>1760</v>
      </c>
      <c r="C824" s="45" t="s">
        <v>1761</v>
      </c>
      <c r="D824" s="32" t="s">
        <v>3779</v>
      </c>
      <c r="E824" s="32"/>
      <c r="F824" s="32"/>
      <c r="G824" s="33" t="s">
        <v>1942</v>
      </c>
      <c r="H824" s="32"/>
      <c r="I824" s="33" t="s">
        <v>1942</v>
      </c>
      <c r="J824" s="35">
        <v>1980.0</v>
      </c>
      <c r="K824" s="33" t="s">
        <v>3703</v>
      </c>
      <c r="L824" s="33" t="s">
        <v>1947</v>
      </c>
      <c r="M824" s="33" t="s">
        <v>2525</v>
      </c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39" t="s">
        <v>2604</v>
      </c>
      <c r="B825" s="39" t="s">
        <v>1780</v>
      </c>
      <c r="C825" s="44" t="s">
        <v>1781</v>
      </c>
      <c r="D825" s="39" t="s">
        <v>3780</v>
      </c>
      <c r="E825" s="39"/>
      <c r="F825" s="39"/>
      <c r="G825" s="37" t="s">
        <v>1942</v>
      </c>
      <c r="H825" s="39"/>
      <c r="I825" s="37" t="s">
        <v>1942</v>
      </c>
      <c r="J825" s="38">
        <v>3150.0</v>
      </c>
      <c r="K825" s="37" t="s">
        <v>3781</v>
      </c>
      <c r="L825" s="37" t="s">
        <v>1947</v>
      </c>
      <c r="M825" s="37" t="s">
        <v>2525</v>
      </c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32" t="s">
        <v>2604</v>
      </c>
      <c r="B826" s="32" t="s">
        <v>1752</v>
      </c>
      <c r="C826" s="45" t="s">
        <v>1753</v>
      </c>
      <c r="D826" s="32" t="s">
        <v>3782</v>
      </c>
      <c r="E826" s="32"/>
      <c r="F826" s="32"/>
      <c r="G826" s="33" t="s">
        <v>1942</v>
      </c>
      <c r="H826" s="32"/>
      <c r="I826" s="33" t="s">
        <v>1942</v>
      </c>
      <c r="J826" s="35">
        <v>2700.0</v>
      </c>
      <c r="K826" s="33" t="s">
        <v>2558</v>
      </c>
      <c r="L826" s="33" t="s">
        <v>1947</v>
      </c>
      <c r="M826" s="33" t="s">
        <v>2525</v>
      </c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39" t="s">
        <v>2604</v>
      </c>
      <c r="B827" s="39" t="s">
        <v>1823</v>
      </c>
      <c r="C827" s="44" t="s">
        <v>1824</v>
      </c>
      <c r="D827" s="39" t="s">
        <v>3783</v>
      </c>
      <c r="E827" s="39"/>
      <c r="F827" s="39"/>
      <c r="G827" s="37" t="s">
        <v>1942</v>
      </c>
      <c r="H827" s="39"/>
      <c r="I827" s="37" t="s">
        <v>1942</v>
      </c>
      <c r="J827" s="38">
        <v>4500.0</v>
      </c>
      <c r="K827" s="37" t="s">
        <v>3784</v>
      </c>
      <c r="L827" s="37" t="s">
        <v>1947</v>
      </c>
      <c r="M827" s="37" t="s">
        <v>2525</v>
      </c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32" t="s">
        <v>2604</v>
      </c>
      <c r="B828" s="32" t="s">
        <v>1756</v>
      </c>
      <c r="C828" s="45" t="s">
        <v>1757</v>
      </c>
      <c r="D828" s="32" t="s">
        <v>3785</v>
      </c>
      <c r="E828" s="32"/>
      <c r="F828" s="32"/>
      <c r="G828" s="33" t="s">
        <v>1942</v>
      </c>
      <c r="H828" s="32"/>
      <c r="I828" s="33" t="s">
        <v>1942</v>
      </c>
      <c r="J828" s="35">
        <v>1620.0</v>
      </c>
      <c r="K828" s="33" t="s">
        <v>3771</v>
      </c>
      <c r="L828" s="33" t="s">
        <v>1947</v>
      </c>
      <c r="M828" s="33" t="s">
        <v>2525</v>
      </c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39" t="s">
        <v>2604</v>
      </c>
      <c r="B829" s="39" t="s">
        <v>1796</v>
      </c>
      <c r="C829" s="44" t="s">
        <v>1797</v>
      </c>
      <c r="D829" s="39" t="s">
        <v>3786</v>
      </c>
      <c r="E829" s="39"/>
      <c r="F829" s="39"/>
      <c r="G829" s="37" t="s">
        <v>1942</v>
      </c>
      <c r="H829" s="39"/>
      <c r="I829" s="37" t="s">
        <v>1942</v>
      </c>
      <c r="J829" s="38">
        <v>3150.0</v>
      </c>
      <c r="K829" s="37" t="s">
        <v>3781</v>
      </c>
      <c r="L829" s="37" t="s">
        <v>1947</v>
      </c>
      <c r="M829" s="37" t="s">
        <v>2525</v>
      </c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32" t="s">
        <v>2604</v>
      </c>
      <c r="B830" s="32" t="s">
        <v>1776</v>
      </c>
      <c r="C830" s="45" t="s">
        <v>1777</v>
      </c>
      <c r="D830" s="32" t="s">
        <v>3787</v>
      </c>
      <c r="E830" s="32"/>
      <c r="F830" s="32"/>
      <c r="G830" s="33" t="s">
        <v>1942</v>
      </c>
      <c r="H830" s="32"/>
      <c r="I830" s="33" t="s">
        <v>1942</v>
      </c>
      <c r="J830" s="35">
        <v>6300.0</v>
      </c>
      <c r="K830" s="33" t="s">
        <v>3788</v>
      </c>
      <c r="L830" s="33" t="s">
        <v>1947</v>
      </c>
      <c r="M830" s="33" t="s">
        <v>2525</v>
      </c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39" t="s">
        <v>2604</v>
      </c>
      <c r="B831" s="39" t="s">
        <v>1748</v>
      </c>
      <c r="C831" s="44" t="s">
        <v>1749</v>
      </c>
      <c r="D831" s="39" t="s">
        <v>3789</v>
      </c>
      <c r="E831" s="39"/>
      <c r="F831" s="39"/>
      <c r="G831" s="37" t="s">
        <v>1942</v>
      </c>
      <c r="H831" s="39"/>
      <c r="I831" s="37" t="s">
        <v>1942</v>
      </c>
      <c r="J831" s="38">
        <v>2475.0</v>
      </c>
      <c r="K831" s="37" t="s">
        <v>2393</v>
      </c>
      <c r="L831" s="37" t="s">
        <v>1947</v>
      </c>
      <c r="M831" s="37" t="s">
        <v>2525</v>
      </c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32" t="s">
        <v>2604</v>
      </c>
      <c r="B832" s="32" t="s">
        <v>1788</v>
      </c>
      <c r="C832" s="45" t="s">
        <v>1789</v>
      </c>
      <c r="D832" s="32" t="s">
        <v>3790</v>
      </c>
      <c r="E832" s="32"/>
      <c r="F832" s="32"/>
      <c r="G832" s="33" t="s">
        <v>1942</v>
      </c>
      <c r="H832" s="32"/>
      <c r="I832" s="33" t="s">
        <v>1942</v>
      </c>
      <c r="J832" s="35">
        <v>5850.0</v>
      </c>
      <c r="K832" s="33" t="s">
        <v>3713</v>
      </c>
      <c r="L832" s="33" t="s">
        <v>1947</v>
      </c>
      <c r="M832" s="33" t="s">
        <v>2525</v>
      </c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39" t="s">
        <v>2604</v>
      </c>
      <c r="B833" s="39" t="s">
        <v>1792</v>
      </c>
      <c r="C833" s="44" t="s">
        <v>1793</v>
      </c>
      <c r="D833" s="39" t="s">
        <v>3791</v>
      </c>
      <c r="E833" s="39"/>
      <c r="F833" s="39"/>
      <c r="G833" s="37" t="s">
        <v>1942</v>
      </c>
      <c r="H833" s="39"/>
      <c r="I833" s="37" t="s">
        <v>1942</v>
      </c>
      <c r="J833" s="38">
        <v>6300.0</v>
      </c>
      <c r="K833" s="37" t="s">
        <v>3788</v>
      </c>
      <c r="L833" s="37" t="s">
        <v>1947</v>
      </c>
      <c r="M833" s="37" t="s">
        <v>2525</v>
      </c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32" t="s">
        <v>2604</v>
      </c>
      <c r="B834" s="32" t="s">
        <v>3792</v>
      </c>
      <c r="C834" s="45" t="s">
        <v>99</v>
      </c>
      <c r="D834" s="32" t="s">
        <v>3793</v>
      </c>
      <c r="E834" s="32"/>
      <c r="F834" s="32"/>
      <c r="G834" s="33" t="s">
        <v>1942</v>
      </c>
      <c r="H834" s="32"/>
      <c r="I834" s="33" t="s">
        <v>1942</v>
      </c>
      <c r="J834" s="35">
        <v>6720.0</v>
      </c>
      <c r="K834" s="33" t="s">
        <v>3665</v>
      </c>
      <c r="L834" s="33" t="s">
        <v>1947</v>
      </c>
      <c r="M834" s="33" t="s">
        <v>2525</v>
      </c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39" t="s">
        <v>2060</v>
      </c>
      <c r="B835" s="39" t="s">
        <v>1831</v>
      </c>
      <c r="C835" s="44">
        <v>1364.0</v>
      </c>
      <c r="D835" s="39" t="s">
        <v>3794</v>
      </c>
      <c r="E835" s="39"/>
      <c r="F835" s="39"/>
      <c r="G835" s="37" t="s">
        <v>1942</v>
      </c>
      <c r="H835" s="39"/>
      <c r="I835" s="37" t="s">
        <v>1942</v>
      </c>
      <c r="J835" s="38">
        <v>11892.0</v>
      </c>
      <c r="K835" s="37" t="s">
        <v>3795</v>
      </c>
      <c r="L835" s="37" t="s">
        <v>1947</v>
      </c>
      <c r="M835" s="37" t="s">
        <v>2525</v>
      </c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32" t="s">
        <v>2060</v>
      </c>
      <c r="B836" s="32" t="s">
        <v>3796</v>
      </c>
      <c r="C836" s="45">
        <v>1364.0</v>
      </c>
      <c r="D836" s="32" t="s">
        <v>3794</v>
      </c>
      <c r="E836" s="32"/>
      <c r="F836" s="32"/>
      <c r="G836" s="33" t="s">
        <v>1942</v>
      </c>
      <c r="H836" s="32"/>
      <c r="I836" s="33" t="s">
        <v>1942</v>
      </c>
      <c r="J836" s="35">
        <v>11892.0</v>
      </c>
      <c r="K836" s="33" t="s">
        <v>3795</v>
      </c>
      <c r="L836" s="33" t="s">
        <v>1947</v>
      </c>
      <c r="M836" s="33" t="s">
        <v>2525</v>
      </c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39" t="s">
        <v>2604</v>
      </c>
      <c r="B837" s="39" t="s">
        <v>3797</v>
      </c>
      <c r="C837" s="44" t="s">
        <v>1749</v>
      </c>
      <c r="D837" s="39" t="s">
        <v>1750</v>
      </c>
      <c r="E837" s="39"/>
      <c r="F837" s="39"/>
      <c r="G837" s="37" t="s">
        <v>1942</v>
      </c>
      <c r="H837" s="39"/>
      <c r="I837" s="37" t="s">
        <v>1942</v>
      </c>
      <c r="J837" s="38">
        <v>2475.0</v>
      </c>
      <c r="K837" s="37" t="s">
        <v>2393</v>
      </c>
      <c r="L837" s="37" t="s">
        <v>1947</v>
      </c>
      <c r="M837" s="37" t="s">
        <v>2525</v>
      </c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32" t="s">
        <v>2604</v>
      </c>
      <c r="B838" s="32" t="s">
        <v>3798</v>
      </c>
      <c r="C838" s="45" t="s">
        <v>1801</v>
      </c>
      <c r="D838" s="32" t="s">
        <v>3799</v>
      </c>
      <c r="E838" s="32"/>
      <c r="F838" s="32"/>
      <c r="G838" s="33" t="s">
        <v>1942</v>
      </c>
      <c r="H838" s="32"/>
      <c r="I838" s="33" t="s">
        <v>1942</v>
      </c>
      <c r="J838" s="35">
        <v>5400.0</v>
      </c>
      <c r="K838" s="33" t="s">
        <v>2562</v>
      </c>
      <c r="L838" s="33" t="s">
        <v>1947</v>
      </c>
      <c r="M838" s="33" t="s">
        <v>2525</v>
      </c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39" t="s">
        <v>2604</v>
      </c>
      <c r="B839" s="39" t="s">
        <v>3800</v>
      </c>
      <c r="C839" s="44" t="s">
        <v>1769</v>
      </c>
      <c r="D839" s="39" t="s">
        <v>3801</v>
      </c>
      <c r="E839" s="39"/>
      <c r="F839" s="39"/>
      <c r="G839" s="37" t="s">
        <v>1942</v>
      </c>
      <c r="H839" s="39"/>
      <c r="I839" s="37" t="s">
        <v>1942</v>
      </c>
      <c r="J839" s="38">
        <v>2700.0</v>
      </c>
      <c r="K839" s="37" t="s">
        <v>2558</v>
      </c>
      <c r="L839" s="37" t="s">
        <v>1947</v>
      </c>
      <c r="M839" s="37" t="s">
        <v>2525</v>
      </c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32" t="s">
        <v>2604</v>
      </c>
      <c r="B840" s="32" t="s">
        <v>3802</v>
      </c>
      <c r="C840" s="45" t="s">
        <v>1789</v>
      </c>
      <c r="D840" s="32" t="s">
        <v>3803</v>
      </c>
      <c r="E840" s="32"/>
      <c r="F840" s="32"/>
      <c r="G840" s="33" t="s">
        <v>1942</v>
      </c>
      <c r="H840" s="32"/>
      <c r="I840" s="33" t="s">
        <v>1942</v>
      </c>
      <c r="J840" s="35">
        <v>5850.0</v>
      </c>
      <c r="K840" s="33" t="s">
        <v>3713</v>
      </c>
      <c r="L840" s="33" t="s">
        <v>1947</v>
      </c>
      <c r="M840" s="33" t="s">
        <v>2525</v>
      </c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39" t="s">
        <v>2604</v>
      </c>
      <c r="B841" s="39" t="s">
        <v>3804</v>
      </c>
      <c r="C841" s="44">
        <v>106887.0</v>
      </c>
      <c r="D841" s="39" t="s">
        <v>777</v>
      </c>
      <c r="E841" s="39"/>
      <c r="F841" s="39"/>
      <c r="G841" s="37" t="s">
        <v>1942</v>
      </c>
      <c r="H841" s="39"/>
      <c r="I841" s="37" t="s">
        <v>1942</v>
      </c>
      <c r="J841" s="38">
        <v>1344.0</v>
      </c>
      <c r="K841" s="37" t="s">
        <v>3069</v>
      </c>
      <c r="L841" s="37" t="s">
        <v>1947</v>
      </c>
      <c r="M841" s="37" t="s">
        <v>2525</v>
      </c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32" t="s">
        <v>2604</v>
      </c>
      <c r="B842" s="32" t="s">
        <v>3805</v>
      </c>
      <c r="C842" s="45" t="s">
        <v>1805</v>
      </c>
      <c r="D842" s="32" t="s">
        <v>3806</v>
      </c>
      <c r="E842" s="32"/>
      <c r="F842" s="32"/>
      <c r="G842" s="33" t="s">
        <v>1942</v>
      </c>
      <c r="H842" s="32"/>
      <c r="I842" s="33" t="s">
        <v>1942</v>
      </c>
      <c r="J842" s="35">
        <v>2700.0</v>
      </c>
      <c r="K842" s="33" t="s">
        <v>2558</v>
      </c>
      <c r="L842" s="33" t="s">
        <v>1947</v>
      </c>
      <c r="M842" s="33" t="s">
        <v>2525</v>
      </c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39" t="s">
        <v>2604</v>
      </c>
      <c r="B843" s="39" t="s">
        <v>3807</v>
      </c>
      <c r="C843" s="44" t="s">
        <v>1773</v>
      </c>
      <c r="D843" s="39" t="s">
        <v>3808</v>
      </c>
      <c r="E843" s="39"/>
      <c r="F843" s="39"/>
      <c r="G843" s="37" t="s">
        <v>1942</v>
      </c>
      <c r="H843" s="39"/>
      <c r="I843" s="37" t="s">
        <v>1942</v>
      </c>
      <c r="J843" s="38">
        <v>1620.0</v>
      </c>
      <c r="K843" s="37" t="s">
        <v>3771</v>
      </c>
      <c r="L843" s="37" t="s">
        <v>1947</v>
      </c>
      <c r="M843" s="37" t="s">
        <v>2525</v>
      </c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32" t="s">
        <v>2604</v>
      </c>
      <c r="B844" s="32" t="s">
        <v>3809</v>
      </c>
      <c r="C844" s="45" t="s">
        <v>1765</v>
      </c>
      <c r="D844" s="32" t="s">
        <v>3810</v>
      </c>
      <c r="E844" s="32"/>
      <c r="F844" s="32"/>
      <c r="G844" s="33" t="s">
        <v>1942</v>
      </c>
      <c r="H844" s="32"/>
      <c r="I844" s="33" t="s">
        <v>1942</v>
      </c>
      <c r="J844" s="35">
        <v>2700.0</v>
      </c>
      <c r="K844" s="33" t="s">
        <v>2558</v>
      </c>
      <c r="L844" s="33" t="s">
        <v>1947</v>
      </c>
      <c r="M844" s="33" t="s">
        <v>2525</v>
      </c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39" t="s">
        <v>2604</v>
      </c>
      <c r="B845" s="39" t="s">
        <v>3811</v>
      </c>
      <c r="C845" s="44" t="s">
        <v>1757</v>
      </c>
      <c r="D845" s="39" t="s">
        <v>3812</v>
      </c>
      <c r="E845" s="39"/>
      <c r="F845" s="39"/>
      <c r="G845" s="37" t="s">
        <v>1942</v>
      </c>
      <c r="H845" s="39"/>
      <c r="I845" s="37" t="s">
        <v>1942</v>
      </c>
      <c r="J845" s="38">
        <v>1620.0</v>
      </c>
      <c r="K845" s="37" t="s">
        <v>3771</v>
      </c>
      <c r="L845" s="37" t="s">
        <v>1947</v>
      </c>
      <c r="M845" s="37" t="s">
        <v>2525</v>
      </c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32" t="s">
        <v>2604</v>
      </c>
      <c r="B846" s="32" t="s">
        <v>3813</v>
      </c>
      <c r="C846" s="45" t="s">
        <v>1781</v>
      </c>
      <c r="D846" s="32" t="s">
        <v>3814</v>
      </c>
      <c r="E846" s="32"/>
      <c r="F846" s="32"/>
      <c r="G846" s="33" t="s">
        <v>1942</v>
      </c>
      <c r="H846" s="32"/>
      <c r="I846" s="33" t="s">
        <v>1942</v>
      </c>
      <c r="J846" s="35">
        <v>3150.0</v>
      </c>
      <c r="K846" s="33" t="s">
        <v>3781</v>
      </c>
      <c r="L846" s="33" t="s">
        <v>1947</v>
      </c>
      <c r="M846" s="33" t="s">
        <v>2525</v>
      </c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39" t="s">
        <v>2604</v>
      </c>
      <c r="B847" s="39" t="s">
        <v>3815</v>
      </c>
      <c r="C847" s="44" t="s">
        <v>1824</v>
      </c>
      <c r="D847" s="39" t="s">
        <v>3816</v>
      </c>
      <c r="E847" s="39"/>
      <c r="F847" s="39"/>
      <c r="G847" s="37" t="s">
        <v>1942</v>
      </c>
      <c r="H847" s="39"/>
      <c r="I847" s="37" t="s">
        <v>1942</v>
      </c>
      <c r="J847" s="38">
        <v>4500.0</v>
      </c>
      <c r="K847" s="37" t="s">
        <v>3784</v>
      </c>
      <c r="L847" s="37" t="s">
        <v>1947</v>
      </c>
      <c r="M847" s="37" t="s">
        <v>2525</v>
      </c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32" t="s">
        <v>2604</v>
      </c>
      <c r="B848" s="32" t="s">
        <v>3817</v>
      </c>
      <c r="C848" s="45">
        <v>107373.0</v>
      </c>
      <c r="D848" s="32" t="s">
        <v>3818</v>
      </c>
      <c r="E848" s="32"/>
      <c r="F848" s="32"/>
      <c r="G848" s="33" t="s">
        <v>1942</v>
      </c>
      <c r="H848" s="32"/>
      <c r="I848" s="33" t="s">
        <v>1942</v>
      </c>
      <c r="J848" s="35">
        <v>1848.0</v>
      </c>
      <c r="K848" s="33" t="s">
        <v>3079</v>
      </c>
      <c r="L848" s="33" t="s">
        <v>1947</v>
      </c>
      <c r="M848" s="33" t="s">
        <v>2525</v>
      </c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39" t="s">
        <v>2604</v>
      </c>
      <c r="B849" s="39" t="s">
        <v>3819</v>
      </c>
      <c r="C849" s="44" t="s">
        <v>1812</v>
      </c>
      <c r="D849" s="39" t="s">
        <v>3820</v>
      </c>
      <c r="E849" s="39"/>
      <c r="F849" s="39"/>
      <c r="G849" s="37" t="s">
        <v>1942</v>
      </c>
      <c r="H849" s="39"/>
      <c r="I849" s="37" t="s">
        <v>1942</v>
      </c>
      <c r="J849" s="38">
        <v>1350.0</v>
      </c>
      <c r="K849" s="37" t="s">
        <v>3773</v>
      </c>
      <c r="L849" s="37" t="s">
        <v>1947</v>
      </c>
      <c r="M849" s="37" t="s">
        <v>2525</v>
      </c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32" t="s">
        <v>2604</v>
      </c>
      <c r="B850" s="32" t="s">
        <v>3821</v>
      </c>
      <c r="C850" s="45" t="s">
        <v>1753</v>
      </c>
      <c r="D850" s="32" t="s">
        <v>3822</v>
      </c>
      <c r="E850" s="32"/>
      <c r="F850" s="32"/>
      <c r="G850" s="33" t="s">
        <v>1942</v>
      </c>
      <c r="H850" s="32"/>
      <c r="I850" s="33" t="s">
        <v>1942</v>
      </c>
      <c r="J850" s="35">
        <v>2700.0</v>
      </c>
      <c r="K850" s="33" t="s">
        <v>2558</v>
      </c>
      <c r="L850" s="33" t="s">
        <v>1947</v>
      </c>
      <c r="M850" s="33" t="s">
        <v>2525</v>
      </c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39" t="s">
        <v>2604</v>
      </c>
      <c r="B851" s="39" t="s">
        <v>3823</v>
      </c>
      <c r="C851" s="44" t="s">
        <v>1793</v>
      </c>
      <c r="D851" s="39" t="s">
        <v>1794</v>
      </c>
      <c r="E851" s="39"/>
      <c r="F851" s="39"/>
      <c r="G851" s="37" t="s">
        <v>1942</v>
      </c>
      <c r="H851" s="39"/>
      <c r="I851" s="37" t="s">
        <v>1942</v>
      </c>
      <c r="J851" s="38">
        <v>6300.0</v>
      </c>
      <c r="K851" s="37" t="s">
        <v>3788</v>
      </c>
      <c r="L851" s="37" t="s">
        <v>1947</v>
      </c>
      <c r="M851" s="37" t="s">
        <v>2525</v>
      </c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32" t="s">
        <v>2604</v>
      </c>
      <c r="B852" s="32" t="s">
        <v>3824</v>
      </c>
      <c r="C852" s="45" t="s">
        <v>1777</v>
      </c>
      <c r="D852" s="32" t="s">
        <v>1778</v>
      </c>
      <c r="E852" s="32"/>
      <c r="F852" s="32"/>
      <c r="G852" s="33" t="s">
        <v>1942</v>
      </c>
      <c r="H852" s="32"/>
      <c r="I852" s="33" t="s">
        <v>1942</v>
      </c>
      <c r="J852" s="35">
        <v>6300.0</v>
      </c>
      <c r="K852" s="33" t="s">
        <v>3788</v>
      </c>
      <c r="L852" s="33" t="s">
        <v>1947</v>
      </c>
      <c r="M852" s="33" t="s">
        <v>2525</v>
      </c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39" t="s">
        <v>2467</v>
      </c>
      <c r="B853" s="39" t="s">
        <v>3825</v>
      </c>
      <c r="C853" s="44">
        <v>6.931474731753E12</v>
      </c>
      <c r="D853" s="39" t="s">
        <v>1835</v>
      </c>
      <c r="E853" s="39"/>
      <c r="F853" s="39"/>
      <c r="G853" s="37" t="s">
        <v>1942</v>
      </c>
      <c r="H853" s="39"/>
      <c r="I853" s="37" t="s">
        <v>1942</v>
      </c>
      <c r="J853" s="38">
        <v>3524.0</v>
      </c>
      <c r="K853" s="37" t="s">
        <v>3826</v>
      </c>
      <c r="L853" s="37" t="s">
        <v>1947</v>
      </c>
      <c r="M853" s="37" t="s">
        <v>2525</v>
      </c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32" t="s">
        <v>2467</v>
      </c>
      <c r="B854" s="32" t="s">
        <v>1834</v>
      </c>
      <c r="C854" s="45">
        <v>6.931474731753E12</v>
      </c>
      <c r="D854" s="32" t="s">
        <v>1835</v>
      </c>
      <c r="E854" s="32"/>
      <c r="F854" s="32"/>
      <c r="G854" s="33" t="s">
        <v>1942</v>
      </c>
      <c r="H854" s="32"/>
      <c r="I854" s="33" t="s">
        <v>1942</v>
      </c>
      <c r="J854" s="35">
        <v>3524.0</v>
      </c>
      <c r="K854" s="33" t="s">
        <v>3826</v>
      </c>
      <c r="L854" s="33" t="s">
        <v>1947</v>
      </c>
      <c r="M854" s="33" t="s">
        <v>2525</v>
      </c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39" t="s">
        <v>2604</v>
      </c>
      <c r="B855" s="39" t="s">
        <v>3827</v>
      </c>
      <c r="C855" s="44" t="s">
        <v>1797</v>
      </c>
      <c r="D855" s="39" t="s">
        <v>1798</v>
      </c>
      <c r="E855" s="39"/>
      <c r="F855" s="39"/>
      <c r="G855" s="37" t="s">
        <v>1942</v>
      </c>
      <c r="H855" s="39"/>
      <c r="I855" s="37" t="s">
        <v>1942</v>
      </c>
      <c r="J855" s="38">
        <v>3150.0</v>
      </c>
      <c r="K855" s="37" t="s">
        <v>3781</v>
      </c>
      <c r="L855" s="37" t="s">
        <v>1947</v>
      </c>
      <c r="M855" s="37" t="s">
        <v>2525</v>
      </c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32" t="s">
        <v>2604</v>
      </c>
      <c r="B856" s="32" t="s">
        <v>3828</v>
      </c>
      <c r="C856" s="45" t="s">
        <v>1820</v>
      </c>
      <c r="D856" s="32" t="s">
        <v>1821</v>
      </c>
      <c r="E856" s="32"/>
      <c r="F856" s="32"/>
      <c r="G856" s="33" t="s">
        <v>1942</v>
      </c>
      <c r="H856" s="32"/>
      <c r="I856" s="33" t="s">
        <v>1942</v>
      </c>
      <c r="J856" s="35">
        <v>2925.0</v>
      </c>
      <c r="K856" s="33" t="s">
        <v>3706</v>
      </c>
      <c r="L856" s="33" t="s">
        <v>1947</v>
      </c>
      <c r="M856" s="33" t="s">
        <v>2525</v>
      </c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39" t="s">
        <v>2604</v>
      </c>
      <c r="B857" s="39" t="s">
        <v>3829</v>
      </c>
      <c r="C857" s="44" t="s">
        <v>1785</v>
      </c>
      <c r="D857" s="39" t="s">
        <v>1786</v>
      </c>
      <c r="E857" s="39"/>
      <c r="F857" s="39"/>
      <c r="G857" s="37" t="s">
        <v>1942</v>
      </c>
      <c r="H857" s="39"/>
      <c r="I857" s="37" t="s">
        <v>1942</v>
      </c>
      <c r="J857" s="38">
        <v>1350.0</v>
      </c>
      <c r="K857" s="37" t="s">
        <v>3773</v>
      </c>
      <c r="L857" s="37" t="s">
        <v>1947</v>
      </c>
      <c r="M857" s="37" t="s">
        <v>2525</v>
      </c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32" t="s">
        <v>2604</v>
      </c>
      <c r="B858" s="32" t="s">
        <v>3830</v>
      </c>
      <c r="C858" s="45" t="s">
        <v>1828</v>
      </c>
      <c r="D858" s="32" t="s">
        <v>1829</v>
      </c>
      <c r="E858" s="32"/>
      <c r="F858" s="32"/>
      <c r="G858" s="33" t="s">
        <v>1942</v>
      </c>
      <c r="H858" s="32"/>
      <c r="I858" s="33" t="s">
        <v>1942</v>
      </c>
      <c r="J858" s="35">
        <v>4050.0</v>
      </c>
      <c r="K858" s="33" t="s">
        <v>3769</v>
      </c>
      <c r="L858" s="33" t="s">
        <v>1947</v>
      </c>
      <c r="M858" s="33" t="s">
        <v>2525</v>
      </c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25" t="s">
        <v>2604</v>
      </c>
      <c r="B859" s="25" t="s">
        <v>3831</v>
      </c>
      <c r="C859" s="29" t="s">
        <v>1816</v>
      </c>
      <c r="D859" s="25" t="s">
        <v>1817</v>
      </c>
      <c r="E859" s="25"/>
      <c r="F859" s="25"/>
      <c r="G859" s="26" t="s">
        <v>1942</v>
      </c>
      <c r="H859" s="25"/>
      <c r="I859" s="26" t="s">
        <v>1942</v>
      </c>
      <c r="J859" s="28">
        <v>7200.0</v>
      </c>
      <c r="K859" s="26" t="s">
        <v>3563</v>
      </c>
      <c r="L859" s="26" t="s">
        <v>1947</v>
      </c>
      <c r="M859" s="26" t="s">
        <v>2525</v>
      </c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49" t="s">
        <v>2604</v>
      </c>
      <c r="B860" s="2" t="s">
        <v>19</v>
      </c>
      <c r="C860" s="50"/>
      <c r="D860" s="2" t="s">
        <v>20</v>
      </c>
      <c r="E860" s="19"/>
      <c r="F860" s="19"/>
      <c r="G860" s="19"/>
      <c r="H860" s="19"/>
      <c r="I860" s="19"/>
      <c r="J860" s="49">
        <v>4550.0</v>
      </c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49" t="s">
        <v>2604</v>
      </c>
      <c r="B861" s="2" t="s">
        <v>24</v>
      </c>
      <c r="C861" s="2" t="s">
        <v>25</v>
      </c>
      <c r="D861" s="2" t="s">
        <v>26</v>
      </c>
      <c r="E861" s="19"/>
      <c r="F861" s="19"/>
      <c r="G861" s="19"/>
      <c r="H861" s="19"/>
      <c r="I861" s="19"/>
      <c r="J861" s="49">
        <v>1848.0</v>
      </c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49" t="s">
        <v>2604</v>
      </c>
      <c r="B862" s="2" t="s">
        <v>78</v>
      </c>
      <c r="C862" s="50"/>
      <c r="D862" s="2" t="s">
        <v>79</v>
      </c>
      <c r="E862" s="19"/>
      <c r="F862" s="19"/>
      <c r="G862" s="19"/>
      <c r="H862" s="19"/>
      <c r="I862" s="19"/>
      <c r="J862" s="49">
        <v>2730.0</v>
      </c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49" t="s">
        <v>2133</v>
      </c>
      <c r="B863" s="2" t="s">
        <v>615</v>
      </c>
      <c r="C863" s="2">
        <v>4.001499112942E12</v>
      </c>
      <c r="D863" s="2" t="s">
        <v>616</v>
      </c>
      <c r="E863" s="19"/>
      <c r="F863" s="19"/>
      <c r="G863" s="19"/>
      <c r="H863" s="19"/>
      <c r="I863" s="19"/>
      <c r="J863" s="49">
        <v>2843.0</v>
      </c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50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50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50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50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50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50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50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50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50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50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50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50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50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50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50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50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50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50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50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50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50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50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50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50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50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50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50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50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50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50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50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50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50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50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50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50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50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50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50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50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50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50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50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50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50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50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50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50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50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50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50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50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50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50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50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50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50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50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50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50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50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50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50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50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50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50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50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50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50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50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50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50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50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50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50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50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50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50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50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50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50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50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50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50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50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50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50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50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50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50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50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50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50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50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50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50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50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50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50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50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50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50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50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50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50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50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50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50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50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50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50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50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50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50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50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50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50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50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50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50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50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50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50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50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50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50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50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50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50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50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50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50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50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50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50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50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50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hyperlinks>
    <hyperlink r:id="rId1" ref="D105"/>
    <hyperlink r:id="rId2" ref="D106"/>
    <hyperlink r:id="rId3" ref="D665"/>
  </hyperlinks>
  <drawing r:id="rId4"/>
</worksheet>
</file>