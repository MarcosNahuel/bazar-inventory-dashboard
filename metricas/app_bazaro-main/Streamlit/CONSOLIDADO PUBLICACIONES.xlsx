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MERCADO LIBRE\"/>
    </mc:Choice>
  </mc:AlternateContent>
  <xr:revisionPtr revIDLastSave="0" documentId="13_ncr:1_{EF5F47D5-0E67-4A3C-A363-F7592D973FF2}" xr6:coauthVersionLast="47" xr6:coauthVersionMax="47" xr10:uidLastSave="{00000000-0000-0000-0000-000000000000}"/>
  <bookViews>
    <workbookView xWindow="14295" yWindow="0" windowWidth="14610" windowHeight="15585" firstSheet="1" activeTab="1" xr2:uid="{00000000-000D-0000-FFFF-FFFF00000000}"/>
  </bookViews>
  <sheets>
    <sheet name="hidden" sheetId="2" state="veryHidden" r:id="rId1"/>
    <sheet name="Publicaciones" sheetId="3" r:id="rId2"/>
    <sheet name="Precio minimo og" sheetId="7" r:id="rId3"/>
    <sheet name="Hoja1" sheetId="8" r:id="rId4"/>
    <sheet name="Hoja2" sheetId="9" r:id="rId5"/>
  </sheets>
  <externalReferences>
    <externalReference r:id="rId6"/>
    <externalReference r:id="rId7"/>
  </externalReferences>
  <definedNames>
    <definedName name="solver_adj" localSheetId="2" hidden="1">'Precio minimo og'!$C$147</definedName>
    <definedName name="solver_adj" localSheetId="1" hidden="1">Publicaciones!$E$140</definedName>
    <definedName name="solver_cvg" localSheetId="2" hidden="1">0.0001</definedName>
    <definedName name="solver_cvg" localSheetId="1" hidden="1">0.0001</definedName>
    <definedName name="solver_drv" localSheetId="2" hidden="1">1</definedName>
    <definedName name="solver_drv" localSheetId="1" hidden="1">1</definedName>
    <definedName name="solver_eng" localSheetId="2" hidden="1">1</definedName>
    <definedName name="solver_eng" localSheetId="1" hidden="1">1</definedName>
    <definedName name="solver_est" localSheetId="2" hidden="1">1</definedName>
    <definedName name="solver_est" localSheetId="1" hidden="1">1</definedName>
    <definedName name="solver_itr" localSheetId="2" hidden="1">2147483647</definedName>
    <definedName name="solver_itr" localSheetId="1" hidden="1">2147483647</definedName>
    <definedName name="solver_mip" localSheetId="2" hidden="1">2147483647</definedName>
    <definedName name="solver_mip" localSheetId="1" hidden="1">2147483647</definedName>
    <definedName name="solver_mni" localSheetId="2" hidden="1">30</definedName>
    <definedName name="solver_mni" localSheetId="1" hidden="1">30</definedName>
    <definedName name="solver_mrt" localSheetId="2" hidden="1">0.075</definedName>
    <definedName name="solver_mrt" localSheetId="1" hidden="1">0.075</definedName>
    <definedName name="solver_msl" localSheetId="2" hidden="1">2</definedName>
    <definedName name="solver_msl" localSheetId="1" hidden="1">2</definedName>
    <definedName name="solver_neg" localSheetId="2" hidden="1">1</definedName>
    <definedName name="solver_neg" localSheetId="1" hidden="1">1</definedName>
    <definedName name="solver_nod" localSheetId="2" hidden="1">2147483647</definedName>
    <definedName name="solver_nod" localSheetId="1" hidden="1">2147483647</definedName>
    <definedName name="solver_num" localSheetId="2" hidden="1">0</definedName>
    <definedName name="solver_num" localSheetId="1" hidden="1">0</definedName>
    <definedName name="solver_nwt" localSheetId="2" hidden="1">1</definedName>
    <definedName name="solver_nwt" localSheetId="1" hidden="1">1</definedName>
    <definedName name="solver_opt" localSheetId="2" hidden="1">'Precio minimo og'!$J$147</definedName>
    <definedName name="solver_opt" localSheetId="1" hidden="1">Publicaciones!$L$140</definedName>
    <definedName name="solver_pre" localSheetId="2" hidden="1">0.000001</definedName>
    <definedName name="solver_pre" localSheetId="1" hidden="1">0.000001</definedName>
    <definedName name="solver_rbv" localSheetId="2" hidden="1">1</definedName>
    <definedName name="solver_rbv" localSheetId="1" hidden="1">1</definedName>
    <definedName name="solver_rlx" localSheetId="2" hidden="1">2</definedName>
    <definedName name="solver_rlx" localSheetId="1" hidden="1">2</definedName>
    <definedName name="solver_rsd" localSheetId="2" hidden="1">0</definedName>
    <definedName name="solver_rsd" localSheetId="1" hidden="1">0</definedName>
    <definedName name="solver_scl" localSheetId="2" hidden="1">1</definedName>
    <definedName name="solver_scl" localSheetId="1" hidden="1">1</definedName>
    <definedName name="solver_sho" localSheetId="2" hidden="1">2</definedName>
    <definedName name="solver_sho" localSheetId="1" hidden="1">2</definedName>
    <definedName name="solver_ssz" localSheetId="2" hidden="1">100</definedName>
    <definedName name="solver_ssz" localSheetId="1" hidden="1">100</definedName>
    <definedName name="solver_tim" localSheetId="2" hidden="1">2147483647</definedName>
    <definedName name="solver_tim" localSheetId="1" hidden="1">2147483647</definedName>
    <definedName name="solver_tol" localSheetId="2" hidden="1">0.01</definedName>
    <definedName name="solver_tol" localSheetId="1" hidden="1">0.01</definedName>
    <definedName name="solver_typ" localSheetId="2" hidden="1">3</definedName>
    <definedName name="solver_typ" localSheetId="1" hidden="1">3</definedName>
    <definedName name="solver_val" localSheetId="2" hidden="1">0.1</definedName>
    <definedName name="solver_val" localSheetId="1" hidden="1">0.1</definedName>
    <definedName name="solver_ver" localSheetId="2" hidden="1">3</definedName>
    <definedName name="solver_ver" localSheetId="1"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60" i="3" l="1"/>
  <c r="I860" i="3" s="1"/>
  <c r="K860" i="3" s="1"/>
  <c r="G859" i="3"/>
  <c r="I859" i="3"/>
  <c r="K859" i="3"/>
  <c r="L859" i="3" s="1"/>
  <c r="G858" i="3"/>
  <c r="I858" i="3" s="1"/>
  <c r="K858" i="3" s="1"/>
  <c r="G857" i="3"/>
  <c r="I857" i="3" s="1"/>
  <c r="K857" i="3" s="1"/>
  <c r="G856" i="3"/>
  <c r="I856" i="3"/>
  <c r="K856" i="3" s="1"/>
  <c r="J707" i="3"/>
  <c r="J706" i="3"/>
  <c r="J701" i="3"/>
  <c r="J702" i="3"/>
  <c r="J703" i="3"/>
  <c r="J704" i="3"/>
  <c r="J705" i="3"/>
  <c r="J708" i="3"/>
  <c r="J709" i="3"/>
  <c r="J710" i="3"/>
  <c r="J711" i="3"/>
  <c r="J712" i="3"/>
  <c r="J713" i="3"/>
  <c r="J714" i="3"/>
  <c r="J715" i="3"/>
  <c r="J716" i="3"/>
  <c r="J717" i="3"/>
  <c r="J718" i="3"/>
  <c r="J719" i="3"/>
  <c r="J720" i="3"/>
  <c r="J721" i="3"/>
  <c r="J722" i="3"/>
  <c r="J723" i="3"/>
  <c r="J724" i="3"/>
  <c r="J725" i="3"/>
  <c r="J726" i="3"/>
  <c r="J727" i="3"/>
  <c r="J700" i="3"/>
  <c r="G855" i="3"/>
  <c r="I855" i="3" s="1"/>
  <c r="K855" i="3" s="1"/>
  <c r="G854" i="3"/>
  <c r="I854" i="3" s="1"/>
  <c r="K854" i="3" s="1"/>
  <c r="L860" i="3" l="1"/>
  <c r="M860" i="3"/>
  <c r="M859" i="3"/>
  <c r="L858" i="3"/>
  <c r="M858" i="3"/>
  <c r="L857" i="3"/>
  <c r="M857" i="3"/>
  <c r="L856" i="3"/>
  <c r="M856" i="3"/>
  <c r="L855" i="3"/>
  <c r="M855" i="3"/>
  <c r="L854" i="3"/>
  <c r="M854" i="3"/>
  <c r="J839" i="3"/>
  <c r="J840" i="3"/>
  <c r="J841" i="3"/>
  <c r="J843" i="3"/>
  <c r="J844" i="3"/>
  <c r="J845" i="3"/>
  <c r="J846" i="3"/>
  <c r="J847" i="3"/>
  <c r="J848" i="3"/>
  <c r="J850" i="3"/>
  <c r="J851" i="3"/>
  <c r="J852" i="3"/>
  <c r="J853" i="3"/>
  <c r="J838" i="3"/>
  <c r="G853" i="3" l="1"/>
  <c r="I853" i="3" s="1"/>
  <c r="G852" i="3"/>
  <c r="I852" i="3" s="1"/>
  <c r="G851" i="3"/>
  <c r="I851" i="3" s="1"/>
  <c r="G850" i="3"/>
  <c r="I850" i="3" s="1"/>
  <c r="G849" i="3"/>
  <c r="I849" i="3" s="1"/>
  <c r="G848" i="3"/>
  <c r="I848" i="3" s="1"/>
  <c r="G847" i="3"/>
  <c r="I847" i="3" s="1"/>
  <c r="G846" i="3"/>
  <c r="I846" i="3" s="1"/>
  <c r="G845" i="3"/>
  <c r="I845" i="3" s="1"/>
  <c r="G844" i="3"/>
  <c r="I844" i="3" s="1"/>
  <c r="K844" i="3" s="1"/>
  <c r="G843" i="3"/>
  <c r="I843" i="3" s="1"/>
  <c r="G842" i="3"/>
  <c r="I842" i="3" s="1"/>
  <c r="K842" i="3" s="1"/>
  <c r="G841" i="3"/>
  <c r="I841" i="3" s="1"/>
  <c r="G840" i="3"/>
  <c r="I840" i="3" s="1"/>
  <c r="G839" i="3"/>
  <c r="I839" i="3" s="1"/>
  <c r="G838" i="3"/>
  <c r="I838" i="3" s="1"/>
  <c r="J817" i="3"/>
  <c r="J818" i="3"/>
  <c r="J819" i="3"/>
  <c r="J820" i="3"/>
  <c r="J821" i="3"/>
  <c r="J822" i="3"/>
  <c r="J823" i="3"/>
  <c r="J824" i="3"/>
  <c r="J825" i="3"/>
  <c r="J826" i="3"/>
  <c r="J827" i="3"/>
  <c r="J828" i="3"/>
  <c r="J829" i="3"/>
  <c r="J830" i="3"/>
  <c r="J831" i="3"/>
  <c r="J832" i="3"/>
  <c r="J833" i="3"/>
  <c r="J834" i="3"/>
  <c r="J816" i="3"/>
  <c r="J815" i="3"/>
  <c r="K846" i="3" l="1"/>
  <c r="L846" i="3" s="1"/>
  <c r="K847" i="3"/>
  <c r="L847" i="3" s="1"/>
  <c r="K845" i="3"/>
  <c r="M845" i="3" s="1"/>
  <c r="K849" i="3"/>
  <c r="L849" i="3" s="1"/>
  <c r="K853" i="3"/>
  <c r="L853" i="3" s="1"/>
  <c r="K843" i="3"/>
  <c r="L843" i="3" s="1"/>
  <c r="K848" i="3"/>
  <c r="L848" i="3" s="1"/>
  <c r="K850" i="3"/>
  <c r="M850" i="3" s="1"/>
  <c r="K841" i="3"/>
  <c r="L841" i="3" s="1"/>
  <c r="K839" i="3"/>
  <c r="M839" i="3" s="1"/>
  <c r="K851" i="3"/>
  <c r="M851" i="3" s="1"/>
  <c r="K840" i="3"/>
  <c r="L840" i="3" s="1"/>
  <c r="K852" i="3"/>
  <c r="L852" i="3" s="1"/>
  <c r="K838" i="3"/>
  <c r="M838" i="3" s="1"/>
  <c r="L845" i="3"/>
  <c r="L844" i="3"/>
  <c r="M844" i="3"/>
  <c r="L842" i="3"/>
  <c r="M842" i="3"/>
  <c r="G837" i="3"/>
  <c r="I837" i="3" s="1"/>
  <c r="K837" i="3" s="1"/>
  <c r="G836" i="3"/>
  <c r="I836" i="3" s="1"/>
  <c r="K836" i="3" s="1"/>
  <c r="G835" i="3"/>
  <c r="I835" i="3" s="1"/>
  <c r="K835" i="3" s="1"/>
  <c r="G834" i="3"/>
  <c r="I834" i="3" s="1"/>
  <c r="K834" i="3" s="1"/>
  <c r="G833" i="3"/>
  <c r="I833" i="3" s="1"/>
  <c r="K833" i="3" s="1"/>
  <c r="G832" i="3"/>
  <c r="I832" i="3" s="1"/>
  <c r="K832" i="3" s="1"/>
  <c r="G831" i="3"/>
  <c r="I831" i="3" s="1"/>
  <c r="K831" i="3" s="1"/>
  <c r="G830" i="3"/>
  <c r="I830" i="3" s="1"/>
  <c r="K830" i="3" s="1"/>
  <c r="G829" i="3"/>
  <c r="I829" i="3" s="1"/>
  <c r="K829" i="3" s="1"/>
  <c r="G828" i="3"/>
  <c r="I828" i="3" s="1"/>
  <c r="K828" i="3" s="1"/>
  <c r="G827" i="3"/>
  <c r="I827" i="3" s="1"/>
  <c r="K827" i="3" s="1"/>
  <c r="L827" i="3" s="1"/>
  <c r="G826" i="3"/>
  <c r="I826" i="3" s="1"/>
  <c r="K826" i="3" s="1"/>
  <c r="G825" i="3"/>
  <c r="I825" i="3" s="1"/>
  <c r="K825" i="3" s="1"/>
  <c r="G824" i="3"/>
  <c r="I824" i="3" s="1"/>
  <c r="K824" i="3" s="1"/>
  <c r="G823" i="3"/>
  <c r="I823" i="3"/>
  <c r="K823" i="3" s="1"/>
  <c r="G822" i="3"/>
  <c r="I822" i="3" s="1"/>
  <c r="K822" i="3" s="1"/>
  <c r="L822" i="3" s="1"/>
  <c r="G821" i="3"/>
  <c r="I821" i="3" s="1"/>
  <c r="K821" i="3" s="1"/>
  <c r="G820" i="3"/>
  <c r="I820" i="3"/>
  <c r="K820" i="3" s="1"/>
  <c r="L820" i="3" s="1"/>
  <c r="G819" i="3"/>
  <c r="I819" i="3" s="1"/>
  <c r="K819" i="3" s="1"/>
  <c r="G818" i="3"/>
  <c r="I818" i="3" s="1"/>
  <c r="K818" i="3" s="1"/>
  <c r="G817" i="3"/>
  <c r="I817" i="3" s="1"/>
  <c r="K817" i="3" s="1"/>
  <c r="G816" i="3"/>
  <c r="I816" i="3" s="1"/>
  <c r="K816" i="3" s="1"/>
  <c r="G815" i="3"/>
  <c r="I815" i="3" s="1"/>
  <c r="K815" i="3" s="1"/>
  <c r="G814" i="3"/>
  <c r="I814" i="3" s="1"/>
  <c r="K814" i="3" s="1"/>
  <c r="G813" i="3"/>
  <c r="I813" i="3" s="1"/>
  <c r="K813" i="3" s="1"/>
  <c r="G812" i="3"/>
  <c r="I812" i="3" s="1"/>
  <c r="K812" i="3" s="1"/>
  <c r="G811" i="3"/>
  <c r="I811" i="3" s="1"/>
  <c r="K811" i="3" s="1"/>
  <c r="G810" i="3"/>
  <c r="I810" i="3" s="1"/>
  <c r="K810" i="3" s="1"/>
  <c r="G809" i="3"/>
  <c r="I809" i="3" s="1"/>
  <c r="K809" i="3" s="1"/>
  <c r="G808" i="3"/>
  <c r="I808" i="3" s="1"/>
  <c r="K808" i="3" s="1"/>
  <c r="M843" i="3" l="1"/>
  <c r="M846" i="3"/>
  <c r="M847" i="3"/>
  <c r="L839" i="3"/>
  <c r="M848" i="3"/>
  <c r="M849" i="3"/>
  <c r="L838" i="3"/>
  <c r="L850" i="3"/>
  <c r="L851" i="3"/>
  <c r="M853" i="3"/>
  <c r="M841" i="3"/>
  <c r="M840" i="3"/>
  <c r="M852" i="3"/>
  <c r="L837" i="3"/>
  <c r="M837" i="3"/>
  <c r="L836" i="3"/>
  <c r="M836" i="3"/>
  <c r="L835" i="3"/>
  <c r="M835" i="3"/>
  <c r="L834" i="3"/>
  <c r="M834" i="3"/>
  <c r="L833" i="3"/>
  <c r="M833" i="3"/>
  <c r="L832" i="3"/>
  <c r="M832" i="3"/>
  <c r="L831" i="3"/>
  <c r="M831" i="3"/>
  <c r="L830" i="3"/>
  <c r="M830" i="3"/>
  <c r="L829" i="3"/>
  <c r="M829" i="3"/>
  <c r="L828" i="3"/>
  <c r="M828" i="3"/>
  <c r="M827" i="3"/>
  <c r="L826" i="3"/>
  <c r="M826" i="3"/>
  <c r="L825" i="3"/>
  <c r="M825" i="3"/>
  <c r="L824" i="3"/>
  <c r="M824" i="3"/>
  <c r="L823" i="3"/>
  <c r="M823" i="3"/>
  <c r="M822" i="3"/>
  <c r="L821" i="3"/>
  <c r="M821" i="3"/>
  <c r="M820" i="3"/>
  <c r="L819" i="3"/>
  <c r="M819" i="3"/>
  <c r="L818" i="3"/>
  <c r="M818" i="3"/>
  <c r="L817" i="3"/>
  <c r="M817" i="3"/>
  <c r="L816" i="3"/>
  <c r="M816" i="3"/>
  <c r="L815" i="3"/>
  <c r="M815" i="3"/>
  <c r="M814" i="3"/>
  <c r="L814" i="3"/>
  <c r="L813" i="3"/>
  <c r="M813" i="3"/>
  <c r="L812" i="3"/>
  <c r="M812" i="3"/>
  <c r="L811" i="3"/>
  <c r="M811" i="3"/>
  <c r="L810" i="3"/>
  <c r="M810" i="3"/>
  <c r="L809" i="3"/>
  <c r="M809" i="3"/>
  <c r="L808" i="3"/>
  <c r="M808" i="3"/>
  <c r="G807" i="3"/>
  <c r="I807" i="3" s="1"/>
  <c r="K807" i="3" s="1"/>
  <c r="G806" i="3"/>
  <c r="I806" i="3" s="1"/>
  <c r="K806" i="3" s="1"/>
  <c r="G805" i="3"/>
  <c r="I805" i="3" s="1"/>
  <c r="K805" i="3" s="1"/>
  <c r="G804" i="3"/>
  <c r="I804" i="3" s="1"/>
  <c r="K804" i="3" s="1"/>
  <c r="G803" i="3"/>
  <c r="I803" i="3" s="1"/>
  <c r="K803" i="3" s="1"/>
  <c r="G802" i="3"/>
  <c r="I802" i="3" s="1"/>
  <c r="K802" i="3" s="1"/>
  <c r="G801" i="3"/>
  <c r="I801" i="3" s="1"/>
  <c r="K801" i="3" s="1"/>
  <c r="G800" i="3"/>
  <c r="I800" i="3" s="1"/>
  <c r="K800" i="3" s="1"/>
  <c r="G799" i="3"/>
  <c r="I799" i="3" s="1"/>
  <c r="K799" i="3" s="1"/>
  <c r="G798" i="3"/>
  <c r="I798" i="3" s="1"/>
  <c r="K798" i="3" s="1"/>
  <c r="G797" i="3"/>
  <c r="I797" i="3" s="1"/>
  <c r="K797" i="3" s="1"/>
  <c r="G796" i="3"/>
  <c r="I796" i="3" s="1"/>
  <c r="K796" i="3" s="1"/>
  <c r="G795" i="3"/>
  <c r="I795" i="3" s="1"/>
  <c r="K795" i="3" s="1"/>
  <c r="G794" i="3"/>
  <c r="I794" i="3" s="1"/>
  <c r="K794" i="3" s="1"/>
  <c r="G793" i="3"/>
  <c r="I793" i="3" s="1"/>
  <c r="K793" i="3" s="1"/>
  <c r="G792" i="3"/>
  <c r="I792" i="3" s="1"/>
  <c r="K792" i="3" s="1"/>
  <c r="G791" i="3"/>
  <c r="I791" i="3" s="1"/>
  <c r="K791" i="3" s="1"/>
  <c r="G790" i="3"/>
  <c r="I790" i="3" s="1"/>
  <c r="K790" i="3" s="1"/>
  <c r="G789" i="3"/>
  <c r="I789" i="3" s="1"/>
  <c r="K789" i="3" s="1"/>
  <c r="G788" i="3"/>
  <c r="I788" i="3" s="1"/>
  <c r="K788" i="3" s="1"/>
  <c r="G787" i="3"/>
  <c r="I787" i="3" s="1"/>
  <c r="K787" i="3" s="1"/>
  <c r="G786" i="3"/>
  <c r="I786" i="3" s="1"/>
  <c r="K786" i="3" s="1"/>
  <c r="G785" i="3"/>
  <c r="I785" i="3" s="1"/>
  <c r="K785" i="3" s="1"/>
  <c r="G784" i="3"/>
  <c r="I784" i="3" s="1"/>
  <c r="K784" i="3" s="1"/>
  <c r="G783" i="3"/>
  <c r="I783" i="3" s="1"/>
  <c r="K783" i="3" s="1"/>
  <c r="G782" i="3"/>
  <c r="I782" i="3" s="1"/>
  <c r="K782" i="3" s="1"/>
  <c r="G781" i="3"/>
  <c r="I781" i="3" s="1"/>
  <c r="K781" i="3" s="1"/>
  <c r="G780" i="3"/>
  <c r="I780" i="3" s="1"/>
  <c r="K780" i="3" s="1"/>
  <c r="G779" i="3"/>
  <c r="I779" i="3" s="1"/>
  <c r="K779" i="3" s="1"/>
  <c r="G778" i="3"/>
  <c r="I778" i="3" s="1"/>
  <c r="K778" i="3" s="1"/>
  <c r="G777" i="3"/>
  <c r="I777" i="3" s="1"/>
  <c r="K777" i="3" s="1"/>
  <c r="G776" i="3"/>
  <c r="I776" i="3" s="1"/>
  <c r="K776" i="3" s="1"/>
  <c r="G775" i="3"/>
  <c r="I775" i="3" s="1"/>
  <c r="K775" i="3" s="1"/>
  <c r="G774" i="3"/>
  <c r="I774" i="3" s="1"/>
  <c r="K774" i="3" s="1"/>
  <c r="G773" i="3"/>
  <c r="I773" i="3" s="1"/>
  <c r="K773" i="3" s="1"/>
  <c r="G772" i="3"/>
  <c r="I772" i="3" s="1"/>
  <c r="K772" i="3" s="1"/>
  <c r="G771" i="3"/>
  <c r="I771" i="3" s="1"/>
  <c r="K771" i="3" s="1"/>
  <c r="G770" i="3"/>
  <c r="I770" i="3" s="1"/>
  <c r="K770" i="3" s="1"/>
  <c r="G769" i="3"/>
  <c r="I769" i="3" s="1"/>
  <c r="K769" i="3" s="1"/>
  <c r="G768" i="3"/>
  <c r="I768" i="3" s="1"/>
  <c r="K768" i="3" s="1"/>
  <c r="G767" i="3"/>
  <c r="I767" i="3" s="1"/>
  <c r="K767" i="3" s="1"/>
  <c r="G766" i="3"/>
  <c r="I766" i="3" s="1"/>
  <c r="K766" i="3" s="1"/>
  <c r="G765" i="3"/>
  <c r="I765" i="3" s="1"/>
  <c r="K765" i="3" s="1"/>
  <c r="G764" i="3"/>
  <c r="I764" i="3" s="1"/>
  <c r="K764" i="3" s="1"/>
  <c r="G763" i="3"/>
  <c r="I763" i="3" s="1"/>
  <c r="K763" i="3" s="1"/>
  <c r="G762" i="3"/>
  <c r="I762" i="3" s="1"/>
  <c r="K762" i="3" s="1"/>
  <c r="G761" i="3"/>
  <c r="I761" i="3" s="1"/>
  <c r="K761" i="3" s="1"/>
  <c r="G760" i="3"/>
  <c r="I760" i="3" s="1"/>
  <c r="K760" i="3" s="1"/>
  <c r="G759" i="3"/>
  <c r="I759" i="3" s="1"/>
  <c r="K759" i="3" s="1"/>
  <c r="G758" i="3"/>
  <c r="I758" i="3" s="1"/>
  <c r="K758" i="3" s="1"/>
  <c r="G757" i="3"/>
  <c r="I757" i="3" s="1"/>
  <c r="K757" i="3" s="1"/>
  <c r="G756" i="3"/>
  <c r="I756" i="3" s="1"/>
  <c r="K756" i="3" s="1"/>
  <c r="G755" i="3"/>
  <c r="I755" i="3" s="1"/>
  <c r="K755" i="3" s="1"/>
  <c r="G754" i="3"/>
  <c r="I754" i="3" s="1"/>
  <c r="K754" i="3" s="1"/>
  <c r="G753" i="3"/>
  <c r="I753" i="3" s="1"/>
  <c r="K753" i="3" s="1"/>
  <c r="G752" i="3"/>
  <c r="I752" i="3" s="1"/>
  <c r="K752" i="3" s="1"/>
  <c r="G751" i="3"/>
  <c r="I751" i="3" s="1"/>
  <c r="K751" i="3" s="1"/>
  <c r="G750" i="3"/>
  <c r="I750" i="3" s="1"/>
  <c r="K750" i="3" s="1"/>
  <c r="G749" i="3"/>
  <c r="I749" i="3" s="1"/>
  <c r="K749" i="3" s="1"/>
  <c r="G748" i="3"/>
  <c r="I748" i="3" s="1"/>
  <c r="K748" i="3" s="1"/>
  <c r="G747" i="3"/>
  <c r="I747" i="3" s="1"/>
  <c r="K747" i="3" s="1"/>
  <c r="G746" i="3"/>
  <c r="I746" i="3" s="1"/>
  <c r="K746" i="3" s="1"/>
  <c r="G745" i="3"/>
  <c r="I745" i="3" s="1"/>
  <c r="K745" i="3" s="1"/>
  <c r="G744" i="3"/>
  <c r="I744" i="3" s="1"/>
  <c r="K744" i="3" s="1"/>
  <c r="G743" i="3"/>
  <c r="I743" i="3" s="1"/>
  <c r="K743" i="3" s="1"/>
  <c r="G742" i="3"/>
  <c r="I742" i="3" s="1"/>
  <c r="K742" i="3" s="1"/>
  <c r="G741" i="3"/>
  <c r="I741" i="3" s="1"/>
  <c r="K741" i="3" s="1"/>
  <c r="G740" i="3"/>
  <c r="I740" i="3" s="1"/>
  <c r="K740" i="3" s="1"/>
  <c r="G739" i="3"/>
  <c r="I739" i="3" s="1"/>
  <c r="K739" i="3" s="1"/>
  <c r="G738" i="3"/>
  <c r="I738" i="3" s="1"/>
  <c r="K738" i="3" s="1"/>
  <c r="G737" i="3"/>
  <c r="I737" i="3" s="1"/>
  <c r="K737" i="3" s="1"/>
  <c r="G736" i="3"/>
  <c r="I736" i="3" s="1"/>
  <c r="K736" i="3" s="1"/>
  <c r="G735" i="3"/>
  <c r="I735" i="3" s="1"/>
  <c r="K735" i="3" s="1"/>
  <c r="G734" i="3"/>
  <c r="I734" i="3" s="1"/>
  <c r="K734" i="3" s="1"/>
  <c r="G733" i="3"/>
  <c r="I733" i="3" s="1"/>
  <c r="K733" i="3" s="1"/>
  <c r="G732" i="3"/>
  <c r="I732" i="3" s="1"/>
  <c r="K732" i="3" s="1"/>
  <c r="G731" i="3"/>
  <c r="I731" i="3" s="1"/>
  <c r="K731" i="3" s="1"/>
  <c r="G730" i="3"/>
  <c r="I730" i="3" s="1"/>
  <c r="K730" i="3" s="1"/>
  <c r="G729" i="3"/>
  <c r="I729" i="3" s="1"/>
  <c r="K729" i="3" s="1"/>
  <c r="G728" i="3"/>
  <c r="I728" i="3" s="1"/>
  <c r="K728" i="3" s="1"/>
  <c r="G727" i="3"/>
  <c r="I727" i="3" s="1"/>
  <c r="G726" i="3"/>
  <c r="I726" i="3" s="1"/>
  <c r="G725" i="3"/>
  <c r="I725" i="3" s="1"/>
  <c r="G724" i="3"/>
  <c r="I724" i="3" s="1"/>
  <c r="G723" i="3"/>
  <c r="I723" i="3" s="1"/>
  <c r="G722" i="3"/>
  <c r="I722" i="3" s="1"/>
  <c r="G721" i="3"/>
  <c r="I721" i="3" s="1"/>
  <c r="G720" i="3"/>
  <c r="I720" i="3" s="1"/>
  <c r="G719" i="3"/>
  <c r="I719" i="3" s="1"/>
  <c r="G718" i="3"/>
  <c r="I718" i="3" s="1"/>
  <c r="G717" i="3"/>
  <c r="I717" i="3" s="1"/>
  <c r="G716" i="3"/>
  <c r="I716" i="3" s="1"/>
  <c r="G715" i="3"/>
  <c r="I715" i="3" s="1"/>
  <c r="G714" i="3"/>
  <c r="I714" i="3" s="1"/>
  <c r="G713" i="3"/>
  <c r="I713" i="3" s="1"/>
  <c r="G712" i="3"/>
  <c r="I712" i="3" s="1"/>
  <c r="G711" i="3"/>
  <c r="I711" i="3" s="1"/>
  <c r="G710" i="3"/>
  <c r="I710" i="3" s="1"/>
  <c r="G709" i="3"/>
  <c r="I709" i="3" s="1"/>
  <c r="G708" i="3"/>
  <c r="I708" i="3" s="1"/>
  <c r="G707" i="3"/>
  <c r="I707" i="3" s="1"/>
  <c r="G706" i="3"/>
  <c r="I706" i="3" s="1"/>
  <c r="G705" i="3"/>
  <c r="I705" i="3" s="1"/>
  <c r="G704" i="3"/>
  <c r="I704" i="3" s="1"/>
  <c r="G703" i="3"/>
  <c r="I703" i="3" s="1"/>
  <c r="G702" i="3"/>
  <c r="I702" i="3" s="1"/>
  <c r="G701" i="3"/>
  <c r="I701" i="3" s="1"/>
  <c r="L807" i="3" l="1"/>
  <c r="M807" i="3"/>
  <c r="L806" i="3"/>
  <c r="M806" i="3"/>
  <c r="L805" i="3"/>
  <c r="M805" i="3"/>
  <c r="L804" i="3"/>
  <c r="M804" i="3"/>
  <c r="L803" i="3"/>
  <c r="M803" i="3"/>
  <c r="L802" i="3"/>
  <c r="M802" i="3"/>
  <c r="L801" i="3"/>
  <c r="M801" i="3"/>
  <c r="L800" i="3"/>
  <c r="M800" i="3"/>
  <c r="L799" i="3"/>
  <c r="M799" i="3"/>
  <c r="L798" i="3"/>
  <c r="M798" i="3"/>
  <c r="L797" i="3"/>
  <c r="M797" i="3"/>
  <c r="L796" i="3"/>
  <c r="M796" i="3"/>
  <c r="L795" i="3"/>
  <c r="M795" i="3"/>
  <c r="L794" i="3"/>
  <c r="M794" i="3"/>
  <c r="K715" i="3"/>
  <c r="M715" i="3" s="1"/>
  <c r="L793" i="3"/>
  <c r="M793" i="3"/>
  <c r="L792" i="3"/>
  <c r="M792" i="3"/>
  <c r="L791" i="3"/>
  <c r="M791" i="3"/>
  <c r="L790" i="3"/>
  <c r="M790" i="3"/>
  <c r="L789" i="3"/>
  <c r="M789" i="3"/>
  <c r="L788" i="3"/>
  <c r="M788" i="3"/>
  <c r="K721" i="3"/>
  <c r="L721" i="3" s="1"/>
  <c r="K708" i="3"/>
  <c r="L708" i="3" s="1"/>
  <c r="K709" i="3"/>
  <c r="L709" i="3" s="1"/>
  <c r="K720" i="3"/>
  <c r="L720" i="3" s="1"/>
  <c r="L787" i="3"/>
  <c r="M787" i="3"/>
  <c r="L786" i="3"/>
  <c r="M786" i="3"/>
  <c r="L785" i="3"/>
  <c r="M785" i="3"/>
  <c r="L784" i="3"/>
  <c r="M784" i="3"/>
  <c r="L783" i="3"/>
  <c r="M783" i="3"/>
  <c r="L782" i="3"/>
  <c r="M782" i="3"/>
  <c r="L781" i="3"/>
  <c r="M781" i="3"/>
  <c r="K726" i="3"/>
  <c r="L726" i="3" s="1"/>
  <c r="K702" i="3"/>
  <c r="L702" i="3" s="1"/>
  <c r="K703" i="3"/>
  <c r="M703" i="3" s="1"/>
  <c r="K714" i="3"/>
  <c r="L714" i="3" s="1"/>
  <c r="L780" i="3"/>
  <c r="M780" i="3"/>
  <c r="K705" i="3"/>
  <c r="L705" i="3" s="1"/>
  <c r="K701" i="3"/>
  <c r="L701" i="3" s="1"/>
  <c r="K723" i="3"/>
  <c r="L723" i="3" s="1"/>
  <c r="L779" i="3"/>
  <c r="M779" i="3"/>
  <c r="K724" i="3"/>
  <c r="L724" i="3" s="1"/>
  <c r="L778" i="3"/>
  <c r="M778" i="3"/>
  <c r="K727" i="3"/>
  <c r="L727" i="3" s="1"/>
  <c r="K712" i="3"/>
  <c r="L712" i="3" s="1"/>
  <c r="K717" i="3"/>
  <c r="M717" i="3" s="1"/>
  <c r="K710" i="3"/>
  <c r="L710" i="3" s="1"/>
  <c r="K718" i="3"/>
  <c r="M718" i="3" s="1"/>
  <c r="K711" i="3"/>
  <c r="M711" i="3" s="1"/>
  <c r="K706" i="3"/>
  <c r="L706" i="3" s="1"/>
  <c r="K719" i="3"/>
  <c r="M719" i="3" s="1"/>
  <c r="K722" i="3"/>
  <c r="L722" i="3" s="1"/>
  <c r="K713" i="3"/>
  <c r="L713" i="3" s="1"/>
  <c r="K704" i="3"/>
  <c r="M704" i="3" s="1"/>
  <c r="K725" i="3"/>
  <c r="L725" i="3" s="1"/>
  <c r="K716" i="3"/>
  <c r="L716" i="3" s="1"/>
  <c r="K707" i="3"/>
  <c r="M707" i="3" s="1"/>
  <c r="L777" i="3"/>
  <c r="M777" i="3"/>
  <c r="L776" i="3"/>
  <c r="M776" i="3"/>
  <c r="L775" i="3"/>
  <c r="M775" i="3"/>
  <c r="L774" i="3"/>
  <c r="M774" i="3"/>
  <c r="L773" i="3"/>
  <c r="M773" i="3"/>
  <c r="L772" i="3"/>
  <c r="M772" i="3"/>
  <c r="L771" i="3"/>
  <c r="M771" i="3"/>
  <c r="L770" i="3"/>
  <c r="M770" i="3"/>
  <c r="L769" i="3"/>
  <c r="M769" i="3"/>
  <c r="L768" i="3"/>
  <c r="M768" i="3"/>
  <c r="L767" i="3"/>
  <c r="M767" i="3"/>
  <c r="L766" i="3"/>
  <c r="M766" i="3"/>
  <c r="L765" i="3"/>
  <c r="M765" i="3"/>
  <c r="L764" i="3"/>
  <c r="M764" i="3"/>
  <c r="L763" i="3"/>
  <c r="M763" i="3"/>
  <c r="L762" i="3"/>
  <c r="M762" i="3"/>
  <c r="L761" i="3"/>
  <c r="M761" i="3"/>
  <c r="L760" i="3"/>
  <c r="M760" i="3"/>
  <c r="L759" i="3"/>
  <c r="M759" i="3"/>
  <c r="L758" i="3"/>
  <c r="M758" i="3"/>
  <c r="L757" i="3"/>
  <c r="M757" i="3"/>
  <c r="L756" i="3"/>
  <c r="M756" i="3"/>
  <c r="L755" i="3"/>
  <c r="M755" i="3"/>
  <c r="L754" i="3"/>
  <c r="M754" i="3"/>
  <c r="L753" i="3"/>
  <c r="M753" i="3"/>
  <c r="L752" i="3"/>
  <c r="M752" i="3"/>
  <c r="L751" i="3"/>
  <c r="M751" i="3"/>
  <c r="L750" i="3"/>
  <c r="M750" i="3"/>
  <c r="L749" i="3"/>
  <c r="M749" i="3"/>
  <c r="L748" i="3"/>
  <c r="M748" i="3"/>
  <c r="L747" i="3"/>
  <c r="M747" i="3"/>
  <c r="L746" i="3"/>
  <c r="M746" i="3"/>
  <c r="L745" i="3"/>
  <c r="M745" i="3"/>
  <c r="L744" i="3"/>
  <c r="M744" i="3"/>
  <c r="L743" i="3"/>
  <c r="M743" i="3"/>
  <c r="L742" i="3"/>
  <c r="M742" i="3"/>
  <c r="L741" i="3"/>
  <c r="M741" i="3"/>
  <c r="L740" i="3"/>
  <c r="M740" i="3"/>
  <c r="L739" i="3"/>
  <c r="M739" i="3"/>
  <c r="L738" i="3"/>
  <c r="M738" i="3"/>
  <c r="L737" i="3"/>
  <c r="M737" i="3"/>
  <c r="L736" i="3"/>
  <c r="M736" i="3"/>
  <c r="L735" i="3"/>
  <c r="M735" i="3"/>
  <c r="L734" i="3"/>
  <c r="M734" i="3"/>
  <c r="L733" i="3"/>
  <c r="M733" i="3"/>
  <c r="L732" i="3"/>
  <c r="M732" i="3"/>
  <c r="L731" i="3"/>
  <c r="M731" i="3"/>
  <c r="L730" i="3"/>
  <c r="M730" i="3"/>
  <c r="L729" i="3"/>
  <c r="M729" i="3"/>
  <c r="L728" i="3"/>
  <c r="M728" i="3"/>
  <c r="G700" i="3"/>
  <c r="I700" i="3" s="1"/>
  <c r="K700" i="3" s="1"/>
  <c r="G699" i="3"/>
  <c r="I699" i="3" s="1"/>
  <c r="K699" i="3" s="1"/>
  <c r="G698" i="3"/>
  <c r="I698" i="3" s="1"/>
  <c r="K698" i="3" s="1"/>
  <c r="L698" i="3" s="1"/>
  <c r="G697" i="3"/>
  <c r="I697" i="3" s="1"/>
  <c r="K697" i="3" s="1"/>
  <c r="G696" i="3"/>
  <c r="I696" i="3" s="1"/>
  <c r="K696" i="3" s="1"/>
  <c r="G695" i="3"/>
  <c r="I695" i="3" s="1"/>
  <c r="K695" i="3" s="1"/>
  <c r="G694" i="3"/>
  <c r="I694" i="3" s="1"/>
  <c r="K694" i="3" s="1"/>
  <c r="G693" i="3"/>
  <c r="I693" i="3" s="1"/>
  <c r="K693" i="3" s="1"/>
  <c r="G692" i="3"/>
  <c r="I692" i="3" s="1"/>
  <c r="K692" i="3" s="1"/>
  <c r="G691" i="3"/>
  <c r="I691" i="3" s="1"/>
  <c r="K691" i="3" s="1"/>
  <c r="L691" i="3" s="1"/>
  <c r="G690" i="3"/>
  <c r="I690" i="3" s="1"/>
  <c r="K690" i="3" s="1"/>
  <c r="G689" i="3"/>
  <c r="I689" i="3" s="1"/>
  <c r="K689" i="3" s="1"/>
  <c r="G688" i="3"/>
  <c r="I688" i="3" s="1"/>
  <c r="K688" i="3" s="1"/>
  <c r="G687" i="3"/>
  <c r="I687" i="3" s="1"/>
  <c r="K687" i="3" s="1"/>
  <c r="G686" i="3"/>
  <c r="I686" i="3" s="1"/>
  <c r="K686" i="3" s="1"/>
  <c r="L686" i="3" s="1"/>
  <c r="G685" i="3"/>
  <c r="I685" i="3" s="1"/>
  <c r="K685" i="3" s="1"/>
  <c r="G684" i="3"/>
  <c r="I684" i="3" s="1"/>
  <c r="K684" i="3" s="1"/>
  <c r="G683" i="3"/>
  <c r="I683" i="3" s="1"/>
  <c r="K683" i="3" s="1"/>
  <c r="G682" i="3"/>
  <c r="I682" i="3" s="1"/>
  <c r="K682" i="3" s="1"/>
  <c r="G681" i="3"/>
  <c r="I681" i="3" s="1"/>
  <c r="K681" i="3" s="1"/>
  <c r="L681" i="3" s="1"/>
  <c r="G680" i="3"/>
  <c r="I680" i="3" s="1"/>
  <c r="K680" i="3" s="1"/>
  <c r="G679" i="3"/>
  <c r="I679" i="3" s="1"/>
  <c r="K679" i="3" s="1"/>
  <c r="G678" i="3"/>
  <c r="I678" i="3" s="1"/>
  <c r="K678" i="3" s="1"/>
  <c r="G677" i="3"/>
  <c r="I677" i="3" s="1"/>
  <c r="K677" i="3" s="1"/>
  <c r="G676" i="3"/>
  <c r="I676" i="3" s="1"/>
  <c r="K676" i="3" s="1"/>
  <c r="G675" i="3"/>
  <c r="I675" i="3" s="1"/>
  <c r="K675" i="3" s="1"/>
  <c r="G674" i="3"/>
  <c r="I674" i="3" s="1"/>
  <c r="K674" i="3" s="1"/>
  <c r="G673" i="3"/>
  <c r="I673" i="3" s="1"/>
  <c r="K673" i="3" s="1"/>
  <c r="G672" i="3"/>
  <c r="I672" i="3" s="1"/>
  <c r="K672" i="3" s="1"/>
  <c r="G671" i="3"/>
  <c r="I671" i="3" s="1"/>
  <c r="K671" i="3" s="1"/>
  <c r="G670" i="3"/>
  <c r="I670" i="3" s="1"/>
  <c r="K670" i="3" s="1"/>
  <c r="G669" i="3"/>
  <c r="I669" i="3" s="1"/>
  <c r="K669" i="3" s="1"/>
  <c r="G668" i="3"/>
  <c r="I668" i="3" s="1"/>
  <c r="K668" i="3" s="1"/>
  <c r="G667" i="3"/>
  <c r="I667" i="3" s="1"/>
  <c r="K667" i="3" s="1"/>
  <c r="G666" i="3"/>
  <c r="I666" i="3" s="1"/>
  <c r="K666" i="3" s="1"/>
  <c r="G665" i="3"/>
  <c r="I665" i="3" s="1"/>
  <c r="K665" i="3" s="1"/>
  <c r="G664" i="3"/>
  <c r="I664" i="3" s="1"/>
  <c r="K664" i="3" s="1"/>
  <c r="G663" i="3"/>
  <c r="I663" i="3" s="1"/>
  <c r="K663" i="3" s="1"/>
  <c r="G662" i="3"/>
  <c r="I662" i="3" s="1"/>
  <c r="K662" i="3" s="1"/>
  <c r="L662" i="3" s="1"/>
  <c r="G661" i="3"/>
  <c r="I661" i="3" s="1"/>
  <c r="K661" i="3" s="1"/>
  <c r="G660" i="3"/>
  <c r="I660" i="3" s="1"/>
  <c r="K660" i="3" s="1"/>
  <c r="G659" i="3"/>
  <c r="I659" i="3" s="1"/>
  <c r="K659" i="3" s="1"/>
  <c r="L715" i="3" l="1"/>
  <c r="M721" i="3"/>
  <c r="M720" i="3"/>
  <c r="M708" i="3"/>
  <c r="M709" i="3"/>
  <c r="M702" i="3"/>
  <c r="L703" i="3"/>
  <c r="M714" i="3"/>
  <c r="L711" i="3"/>
  <c r="M724" i="3"/>
  <c r="M726" i="3"/>
  <c r="M705" i="3"/>
  <c r="M723" i="3"/>
  <c r="M701" i="3"/>
  <c r="M710" i="3"/>
  <c r="M712" i="3"/>
  <c r="L719" i="3"/>
  <c r="M706" i="3"/>
  <c r="L707" i="3"/>
  <c r="M716" i="3"/>
  <c r="M725" i="3"/>
  <c r="L717" i="3"/>
  <c r="L718" i="3"/>
  <c r="M727" i="3"/>
  <c r="M722" i="3"/>
  <c r="L704" i="3"/>
  <c r="M713" i="3"/>
  <c r="L700" i="3"/>
  <c r="M700" i="3"/>
  <c r="L699" i="3"/>
  <c r="M699" i="3"/>
  <c r="M698" i="3"/>
  <c r="L697" i="3"/>
  <c r="M697" i="3"/>
  <c r="L696" i="3"/>
  <c r="M696" i="3"/>
  <c r="L695" i="3"/>
  <c r="M695" i="3"/>
  <c r="L694" i="3"/>
  <c r="M694" i="3"/>
  <c r="L693" i="3"/>
  <c r="M693" i="3"/>
  <c r="L692" i="3"/>
  <c r="M692" i="3"/>
  <c r="M691" i="3"/>
  <c r="L690" i="3"/>
  <c r="M690" i="3"/>
  <c r="L689" i="3"/>
  <c r="M689" i="3"/>
  <c r="L688" i="3"/>
  <c r="M688" i="3"/>
  <c r="L687" i="3"/>
  <c r="M687" i="3"/>
  <c r="M686" i="3"/>
  <c r="L685" i="3"/>
  <c r="M685" i="3"/>
  <c r="L684" i="3"/>
  <c r="M684" i="3"/>
  <c r="L683" i="3"/>
  <c r="M683" i="3"/>
  <c r="L682" i="3"/>
  <c r="M682" i="3"/>
  <c r="M681" i="3"/>
  <c r="L680" i="3"/>
  <c r="M680" i="3"/>
  <c r="L679" i="3"/>
  <c r="M679" i="3"/>
  <c r="L678" i="3"/>
  <c r="M678" i="3"/>
  <c r="L677" i="3"/>
  <c r="M677" i="3"/>
  <c r="L676" i="3"/>
  <c r="M676" i="3"/>
  <c r="L675" i="3"/>
  <c r="M675" i="3"/>
  <c r="L674" i="3"/>
  <c r="M674" i="3"/>
  <c r="L673" i="3"/>
  <c r="M673" i="3"/>
  <c r="L672" i="3"/>
  <c r="M672" i="3"/>
  <c r="L671" i="3"/>
  <c r="M671" i="3"/>
  <c r="L670" i="3"/>
  <c r="M670" i="3"/>
  <c r="L669" i="3"/>
  <c r="M669" i="3"/>
  <c r="L668" i="3"/>
  <c r="M668" i="3"/>
  <c r="L667" i="3"/>
  <c r="M667" i="3"/>
  <c r="L666" i="3"/>
  <c r="M666" i="3"/>
  <c r="L665" i="3"/>
  <c r="M665" i="3"/>
  <c r="L664" i="3"/>
  <c r="M664" i="3"/>
  <c r="L663" i="3"/>
  <c r="M663" i="3"/>
  <c r="M662" i="3"/>
  <c r="L661" i="3"/>
  <c r="M661" i="3"/>
  <c r="L660" i="3"/>
  <c r="M660" i="3"/>
  <c r="L659" i="3"/>
  <c r="M659" i="3"/>
  <c r="G31" i="3" l="1"/>
  <c r="I31" i="3" s="1"/>
  <c r="K31" i="3" s="1"/>
  <c r="G32" i="3"/>
  <c r="I32" i="3" s="1"/>
  <c r="K32" i="3" s="1"/>
  <c r="G33" i="3"/>
  <c r="I33" i="3" s="1"/>
  <c r="K33" i="3" s="1"/>
  <c r="G34" i="3"/>
  <c r="G35" i="3"/>
  <c r="I35" i="3" s="1"/>
  <c r="K35" i="3" s="1"/>
  <c r="G36" i="3"/>
  <c r="I36" i="3" s="1"/>
  <c r="K36" i="3" s="1"/>
  <c r="G37" i="3"/>
  <c r="I37" i="3" s="1"/>
  <c r="K37" i="3" s="1"/>
  <c r="G38" i="3"/>
  <c r="I38" i="3" s="1"/>
  <c r="K38" i="3" s="1"/>
  <c r="G39" i="3"/>
  <c r="I39" i="3" s="1"/>
  <c r="K39" i="3" s="1"/>
  <c r="G40" i="3"/>
  <c r="I40" i="3" s="1"/>
  <c r="K40" i="3" s="1"/>
  <c r="G41" i="3"/>
  <c r="I41" i="3" s="1"/>
  <c r="K41" i="3" s="1"/>
  <c r="G42" i="3"/>
  <c r="I42" i="3" s="1"/>
  <c r="K42" i="3" s="1"/>
  <c r="G43" i="3"/>
  <c r="I43" i="3" s="1"/>
  <c r="K43" i="3" s="1"/>
  <c r="G44" i="3"/>
  <c r="I44" i="3" s="1"/>
  <c r="K44" i="3" s="1"/>
  <c r="G45" i="3"/>
  <c r="G46" i="3"/>
  <c r="I46" i="3" s="1"/>
  <c r="K46" i="3" s="1"/>
  <c r="G47" i="3"/>
  <c r="I47" i="3" s="1"/>
  <c r="K47" i="3" s="1"/>
  <c r="G48" i="3"/>
  <c r="I48" i="3" s="1"/>
  <c r="K48" i="3" s="1"/>
  <c r="G49" i="3"/>
  <c r="I49" i="3" s="1"/>
  <c r="K49" i="3" s="1"/>
  <c r="G50" i="3"/>
  <c r="I50" i="3" s="1"/>
  <c r="K50" i="3" s="1"/>
  <c r="L50" i="3" s="1"/>
  <c r="G51" i="3"/>
  <c r="I51" i="3" s="1"/>
  <c r="K51" i="3" s="1"/>
  <c r="G52" i="3"/>
  <c r="I52" i="3" s="1"/>
  <c r="K52" i="3" s="1"/>
  <c r="G53" i="3"/>
  <c r="I53" i="3" s="1"/>
  <c r="K53" i="3" s="1"/>
  <c r="G54" i="3"/>
  <c r="I54" i="3" s="1"/>
  <c r="K54" i="3" s="1"/>
  <c r="G55" i="3"/>
  <c r="G56" i="3"/>
  <c r="I56" i="3" s="1"/>
  <c r="K56" i="3" s="1"/>
  <c r="G57" i="3"/>
  <c r="I57" i="3" s="1"/>
  <c r="K57" i="3" s="1"/>
  <c r="G58" i="3"/>
  <c r="I58" i="3" s="1"/>
  <c r="K58" i="3" s="1"/>
  <c r="G59" i="3"/>
  <c r="I59" i="3" s="1"/>
  <c r="K59" i="3" s="1"/>
  <c r="G60" i="3"/>
  <c r="I60" i="3" s="1"/>
  <c r="K60" i="3" s="1"/>
  <c r="G61" i="3"/>
  <c r="I61" i="3" s="1"/>
  <c r="K61" i="3" s="1"/>
  <c r="G62" i="3"/>
  <c r="I62" i="3" s="1"/>
  <c r="K62" i="3" s="1"/>
  <c r="L62" i="3" s="1"/>
  <c r="G63" i="3"/>
  <c r="I63" i="3" s="1"/>
  <c r="K63" i="3" s="1"/>
  <c r="G64" i="3"/>
  <c r="I64" i="3" s="1"/>
  <c r="K64" i="3" s="1"/>
  <c r="G65" i="3"/>
  <c r="I65" i="3" s="1"/>
  <c r="K65" i="3" s="1"/>
  <c r="G66" i="3"/>
  <c r="I66" i="3" s="1"/>
  <c r="K66" i="3" s="1"/>
  <c r="G67" i="3"/>
  <c r="I67" i="3" s="1"/>
  <c r="K67" i="3" s="1"/>
  <c r="G68" i="3"/>
  <c r="I68" i="3" s="1"/>
  <c r="K68" i="3" s="1"/>
  <c r="G69" i="3"/>
  <c r="I69" i="3" s="1"/>
  <c r="K69" i="3" s="1"/>
  <c r="G70" i="3"/>
  <c r="I70" i="3" s="1"/>
  <c r="K70" i="3" s="1"/>
  <c r="G71" i="3"/>
  <c r="I71" i="3" s="1"/>
  <c r="K71" i="3" s="1"/>
  <c r="G72" i="3"/>
  <c r="I72" i="3" s="1"/>
  <c r="K72" i="3" s="1"/>
  <c r="G73" i="3"/>
  <c r="I73" i="3" s="1"/>
  <c r="K73" i="3" s="1"/>
  <c r="L73" i="3" s="1"/>
  <c r="G74" i="3"/>
  <c r="I74" i="3" s="1"/>
  <c r="K74" i="3" s="1"/>
  <c r="L74" i="3" s="1"/>
  <c r="G75" i="3"/>
  <c r="I75" i="3" s="1"/>
  <c r="K75" i="3" s="1"/>
  <c r="G593" i="3"/>
  <c r="I593" i="3" s="1"/>
  <c r="K593" i="3" s="1"/>
  <c r="G76" i="3"/>
  <c r="I76" i="3" s="1"/>
  <c r="K76" i="3" s="1"/>
  <c r="I34" i="3"/>
  <c r="K34" i="3" s="1"/>
  <c r="I45" i="3"/>
  <c r="K45" i="3" s="1"/>
  <c r="I55" i="3"/>
  <c r="K55" i="3" s="1"/>
  <c r="G30" i="3"/>
  <c r="I30" i="3" s="1"/>
  <c r="K30" i="3" s="1"/>
  <c r="G29" i="3"/>
  <c r="I29" i="3" s="1"/>
  <c r="K29" i="3" s="1"/>
  <c r="G28" i="3"/>
  <c r="I28" i="3" s="1"/>
  <c r="K28" i="3" s="1"/>
  <c r="G27" i="3"/>
  <c r="I27" i="3" s="1"/>
  <c r="K27" i="3" s="1"/>
  <c r="G26" i="3"/>
  <c r="I26" i="3" s="1"/>
  <c r="K26" i="3" s="1"/>
  <c r="G25" i="3"/>
  <c r="I25" i="3" s="1"/>
  <c r="K25" i="3" s="1"/>
  <c r="G24" i="3"/>
  <c r="I24" i="3" s="1"/>
  <c r="K24" i="3" s="1"/>
  <c r="G23" i="3"/>
  <c r="I23" i="3" s="1"/>
  <c r="K23" i="3" s="1"/>
  <c r="G22" i="3"/>
  <c r="I22" i="3" s="1"/>
  <c r="K22" i="3" s="1"/>
  <c r="G21" i="3"/>
  <c r="I21" i="3" s="1"/>
  <c r="K21" i="3" s="1"/>
  <c r="G20" i="3"/>
  <c r="I20" i="3" s="1"/>
  <c r="K20" i="3" s="1"/>
  <c r="G19" i="3"/>
  <c r="I19" i="3" s="1"/>
  <c r="K19" i="3" s="1"/>
  <c r="G18" i="3"/>
  <c r="I18" i="3" s="1"/>
  <c r="K18" i="3" s="1"/>
  <c r="G17" i="3"/>
  <c r="I17" i="3" s="1"/>
  <c r="K17" i="3" s="1"/>
  <c r="G16" i="3"/>
  <c r="I16" i="3" s="1"/>
  <c r="K16" i="3" s="1"/>
  <c r="G15" i="3"/>
  <c r="I15" i="3" s="1"/>
  <c r="K15" i="3" s="1"/>
  <c r="G14" i="3"/>
  <c r="I14" i="3" s="1"/>
  <c r="K14" i="3" s="1"/>
  <c r="G13" i="3"/>
  <c r="I13" i="3" s="1"/>
  <c r="K13" i="3" s="1"/>
  <c r="G12" i="3"/>
  <c r="I12" i="3" s="1"/>
  <c r="K12" i="3" s="1"/>
  <c r="G483" i="3"/>
  <c r="I483" i="3" s="1"/>
  <c r="K483" i="3" s="1"/>
  <c r="G625" i="3"/>
  <c r="I625" i="3" s="1"/>
  <c r="G624" i="3"/>
  <c r="I624" i="3" s="1"/>
  <c r="G623" i="3"/>
  <c r="I623" i="3" s="1"/>
  <c r="G622" i="3"/>
  <c r="I622" i="3" s="1"/>
  <c r="G621" i="3"/>
  <c r="I621" i="3" s="1"/>
  <c r="G620" i="3"/>
  <c r="I620" i="3" s="1"/>
  <c r="G619" i="3"/>
  <c r="I619" i="3" s="1"/>
  <c r="K619" i="3" s="1"/>
  <c r="G618" i="3"/>
  <c r="I618" i="3" s="1"/>
  <c r="G290" i="3"/>
  <c r="I290" i="3" s="1"/>
  <c r="K290" i="3" s="1"/>
  <c r="G644" i="3"/>
  <c r="I644" i="3" s="1"/>
  <c r="G643" i="3"/>
  <c r="I643" i="3" s="1"/>
  <c r="G482" i="3"/>
  <c r="I482" i="3" s="1"/>
  <c r="K482" i="3" s="1"/>
  <c r="G481" i="3"/>
  <c r="I481" i="3" s="1"/>
  <c r="K481" i="3" s="1"/>
  <c r="G480" i="3"/>
  <c r="I480" i="3" s="1"/>
  <c r="K480" i="3" s="1"/>
  <c r="G479" i="3"/>
  <c r="I479" i="3" s="1"/>
  <c r="K479" i="3" s="1"/>
  <c r="G478" i="3"/>
  <c r="I478" i="3" s="1"/>
  <c r="K478" i="3" s="1"/>
  <c r="L63" i="3" l="1"/>
  <c r="L61" i="3"/>
  <c r="L75" i="3"/>
  <c r="L51" i="3"/>
  <c r="L49" i="3"/>
  <c r="L39" i="3"/>
  <c r="L38" i="3"/>
  <c r="L37" i="3"/>
  <c r="L53" i="3"/>
  <c r="L45" i="3"/>
  <c r="L66" i="3"/>
  <c r="L64" i="3"/>
  <c r="L44" i="3"/>
  <c r="L65" i="3"/>
  <c r="L43" i="3"/>
  <c r="L42" i="3"/>
  <c r="L57" i="3"/>
  <c r="L593" i="3"/>
  <c r="L56" i="3"/>
  <c r="L52" i="3"/>
  <c r="L55" i="3"/>
  <c r="L41" i="3"/>
  <c r="L69" i="3"/>
  <c r="L33" i="3"/>
  <c r="L76" i="3"/>
  <c r="L68" i="3"/>
  <c r="L54" i="3"/>
  <c r="L32" i="3"/>
  <c r="L31" i="3"/>
  <c r="L40" i="3"/>
  <c r="L67" i="3"/>
  <c r="L72" i="3"/>
  <c r="L60" i="3"/>
  <c r="L48" i="3"/>
  <c r="L36" i="3"/>
  <c r="L71" i="3"/>
  <c r="L59" i="3"/>
  <c r="L47" i="3"/>
  <c r="L35" i="3"/>
  <c r="L70" i="3"/>
  <c r="L58" i="3"/>
  <c r="L46" i="3"/>
  <c r="L34" i="3"/>
  <c r="L30" i="3"/>
  <c r="L29" i="3"/>
  <c r="L28" i="3"/>
  <c r="L27" i="3"/>
  <c r="L26" i="3"/>
  <c r="L25" i="3"/>
  <c r="L24" i="3"/>
  <c r="L23" i="3"/>
  <c r="L22" i="3"/>
  <c r="L21" i="3"/>
  <c r="L20" i="3"/>
  <c r="L19" i="3"/>
  <c r="L18" i="3"/>
  <c r="L17" i="3"/>
  <c r="L16" i="3"/>
  <c r="L15" i="3"/>
  <c r="L14" i="3"/>
  <c r="L13" i="3"/>
  <c r="L12" i="3"/>
  <c r="K625" i="3"/>
  <c r="K624" i="3"/>
  <c r="L624" i="3" s="1"/>
  <c r="K623" i="3"/>
  <c r="K622" i="3"/>
  <c r="K621" i="3"/>
  <c r="L621" i="3" s="1"/>
  <c r="K620" i="3"/>
  <c r="L620" i="3" s="1"/>
  <c r="K618" i="3"/>
  <c r="L483" i="3"/>
  <c r="L622" i="3"/>
  <c r="L619" i="3"/>
  <c r="L290" i="3"/>
  <c r="K644" i="3"/>
  <c r="L644" i="3" s="1"/>
  <c r="K643" i="3"/>
  <c r="L643" i="3" s="1"/>
  <c r="L482" i="3"/>
  <c r="L481" i="3"/>
  <c r="L480" i="3"/>
  <c r="L479" i="3"/>
  <c r="L478" i="3"/>
  <c r="L625" i="3" l="1"/>
  <c r="L623" i="3"/>
  <c r="L618" i="3"/>
  <c r="G330" i="3"/>
  <c r="I330" i="3" s="1"/>
  <c r="K330" i="3" s="1"/>
  <c r="G331" i="3"/>
  <c r="I331" i="3" s="1"/>
  <c r="K331" i="3" s="1"/>
  <c r="G247" i="3"/>
  <c r="I247" i="3" s="1"/>
  <c r="K247" i="3" s="1"/>
  <c r="G248" i="3"/>
  <c r="I248" i="3" s="1"/>
  <c r="K248" i="3" s="1"/>
  <c r="G249" i="3"/>
  <c r="I249" i="3" s="1"/>
  <c r="K249" i="3" s="1"/>
  <c r="G250" i="3"/>
  <c r="I250" i="3" s="1"/>
  <c r="K250" i="3" s="1"/>
  <c r="G251" i="3"/>
  <c r="I251" i="3" s="1"/>
  <c r="K251" i="3" s="1"/>
  <c r="G252" i="3"/>
  <c r="I252" i="3" s="1"/>
  <c r="K252" i="3" s="1"/>
  <c r="G253" i="3"/>
  <c r="I253" i="3" s="1"/>
  <c r="K253" i="3" s="1"/>
  <c r="G254" i="3"/>
  <c r="I254" i="3" s="1"/>
  <c r="K254" i="3" s="1"/>
  <c r="L254" i="3" s="1"/>
  <c r="G255" i="3"/>
  <c r="I255" i="3" s="1"/>
  <c r="K255" i="3" s="1"/>
  <c r="G256" i="3"/>
  <c r="I256" i="3" s="1"/>
  <c r="K256" i="3" s="1"/>
  <c r="G257" i="3"/>
  <c r="I257" i="3" s="1"/>
  <c r="K257" i="3" s="1"/>
  <c r="G258" i="3"/>
  <c r="I258" i="3" s="1"/>
  <c r="K258" i="3" s="1"/>
  <c r="G120" i="3"/>
  <c r="I120" i="3" s="1"/>
  <c r="K120" i="3" s="1"/>
  <c r="G121" i="3"/>
  <c r="I121" i="3" s="1"/>
  <c r="K121" i="3" s="1"/>
  <c r="G122" i="3"/>
  <c r="I122" i="3" s="1"/>
  <c r="K122" i="3" s="1"/>
  <c r="G123" i="3"/>
  <c r="I123" i="3" s="1"/>
  <c r="K123" i="3" s="1"/>
  <c r="G124" i="3"/>
  <c r="I124" i="3" s="1"/>
  <c r="K124" i="3" s="1"/>
  <c r="G125" i="3"/>
  <c r="I125" i="3" s="1"/>
  <c r="K125" i="3" s="1"/>
  <c r="G126" i="3"/>
  <c r="I126" i="3" s="1"/>
  <c r="K126" i="3" s="1"/>
  <c r="G127" i="3"/>
  <c r="I127" i="3" s="1"/>
  <c r="K127" i="3" s="1"/>
  <c r="G128" i="3"/>
  <c r="I128" i="3" s="1"/>
  <c r="K128" i="3" s="1"/>
  <c r="G129" i="3"/>
  <c r="I129" i="3" s="1"/>
  <c r="K129" i="3" s="1"/>
  <c r="G130" i="3"/>
  <c r="I130" i="3" s="1"/>
  <c r="K130" i="3" s="1"/>
  <c r="G131" i="3"/>
  <c r="I131" i="3" s="1"/>
  <c r="K131" i="3" s="1"/>
  <c r="L331" i="3" l="1"/>
  <c r="L130" i="3"/>
  <c r="L330" i="3"/>
  <c r="L127" i="3"/>
  <c r="L257" i="3"/>
  <c r="L256" i="3"/>
  <c r="L128" i="3"/>
  <c r="L129" i="3"/>
  <c r="L255" i="3"/>
  <c r="L122" i="3"/>
  <c r="L121" i="3"/>
  <c r="L120" i="3"/>
  <c r="L248" i="3"/>
  <c r="L258" i="3"/>
  <c r="L124" i="3"/>
  <c r="L251" i="3"/>
  <c r="L123" i="3"/>
  <c r="L247" i="3"/>
  <c r="L250" i="3"/>
  <c r="L249" i="3"/>
  <c r="L131" i="3"/>
  <c r="L126" i="3"/>
  <c r="L253" i="3"/>
  <c r="L125" i="3"/>
  <c r="L252" i="3"/>
  <c r="G477" i="3"/>
  <c r="I477" i="3" s="1"/>
  <c r="K477" i="3" s="1"/>
  <c r="G476" i="3"/>
  <c r="I476" i="3" s="1"/>
  <c r="K476" i="3" s="1"/>
  <c r="G475" i="3"/>
  <c r="I475" i="3" s="1"/>
  <c r="K475" i="3" s="1"/>
  <c r="G474" i="3"/>
  <c r="I474" i="3" s="1"/>
  <c r="K474" i="3" s="1"/>
  <c r="G473" i="3"/>
  <c r="I473" i="3" s="1"/>
  <c r="K473" i="3" s="1"/>
  <c r="G592" i="3"/>
  <c r="I592" i="3" s="1"/>
  <c r="K592" i="3" s="1"/>
  <c r="G472" i="3"/>
  <c r="I472" i="3" s="1"/>
  <c r="K472" i="3" s="1"/>
  <c r="G471" i="3"/>
  <c r="I471" i="3" s="1"/>
  <c r="K471" i="3" s="1"/>
  <c r="G470" i="3"/>
  <c r="I470" i="3" s="1"/>
  <c r="K470" i="3" s="1"/>
  <c r="G469" i="3"/>
  <c r="I469" i="3" s="1"/>
  <c r="K469" i="3" s="1"/>
  <c r="G119" i="3"/>
  <c r="I119" i="3" s="1"/>
  <c r="K119" i="3" s="1"/>
  <c r="G118" i="3"/>
  <c r="I118" i="3" s="1"/>
  <c r="K118" i="3" s="1"/>
  <c r="G591" i="3"/>
  <c r="I591" i="3" s="1"/>
  <c r="K591" i="3" s="1"/>
  <c r="G117" i="3"/>
  <c r="I117" i="3" s="1"/>
  <c r="K117" i="3" s="1"/>
  <c r="G116" i="3"/>
  <c r="I116" i="3" s="1"/>
  <c r="K116" i="3" s="1"/>
  <c r="G115" i="3"/>
  <c r="I115" i="3" s="1"/>
  <c r="K115" i="3" s="1"/>
  <c r="G114" i="3"/>
  <c r="I114" i="3" s="1"/>
  <c r="K114" i="3" s="1"/>
  <c r="G113" i="3"/>
  <c r="I113" i="3" s="1"/>
  <c r="K113" i="3" s="1"/>
  <c r="L113" i="3" s="1"/>
  <c r="G112" i="3"/>
  <c r="I112" i="3" s="1"/>
  <c r="K112" i="3" s="1"/>
  <c r="G111" i="3"/>
  <c r="I111" i="3" s="1"/>
  <c r="K111" i="3" s="1"/>
  <c r="G110" i="3"/>
  <c r="I110" i="3" s="1"/>
  <c r="K110" i="3" s="1"/>
  <c r="G109" i="3"/>
  <c r="I109" i="3" s="1"/>
  <c r="K109" i="3" s="1"/>
  <c r="G108" i="3"/>
  <c r="I108" i="3" s="1"/>
  <c r="K108" i="3" s="1"/>
  <c r="G107" i="3"/>
  <c r="I107" i="3" s="1"/>
  <c r="K107" i="3" s="1"/>
  <c r="G106" i="3"/>
  <c r="I106" i="3" s="1"/>
  <c r="K106" i="3" s="1"/>
  <c r="G105" i="3"/>
  <c r="I105" i="3" s="1"/>
  <c r="K105" i="3" s="1"/>
  <c r="G104" i="3"/>
  <c r="I104" i="3" s="1"/>
  <c r="K104" i="3" s="1"/>
  <c r="G329" i="3"/>
  <c r="I329" i="3" s="1"/>
  <c r="K329" i="3" s="1"/>
  <c r="G328" i="3"/>
  <c r="I328" i="3" s="1"/>
  <c r="K328" i="3" s="1"/>
  <c r="G6" i="3"/>
  <c r="I6" i="3" s="1"/>
  <c r="K6" i="3" s="1"/>
  <c r="G5" i="3"/>
  <c r="I5" i="3" s="1"/>
  <c r="K5" i="3" s="1"/>
  <c r="G289" i="3"/>
  <c r="I289" i="3" s="1"/>
  <c r="K289" i="3" s="1"/>
  <c r="G288" i="3"/>
  <c r="I288" i="3" s="1"/>
  <c r="K288" i="3" s="1"/>
  <c r="L288" i="3" s="1"/>
  <c r="G287" i="3"/>
  <c r="I287" i="3" s="1"/>
  <c r="K287" i="3" s="1"/>
  <c r="L287" i="3" s="1"/>
  <c r="G286" i="3"/>
  <c r="I286" i="3" s="1"/>
  <c r="K286" i="3" s="1"/>
  <c r="L286" i="3" s="1"/>
  <c r="G285" i="3"/>
  <c r="I285" i="3" s="1"/>
  <c r="K285" i="3" s="1"/>
  <c r="L285" i="3" s="1"/>
  <c r="G284" i="3"/>
  <c r="I284" i="3" s="1"/>
  <c r="K284" i="3" s="1"/>
  <c r="G283" i="3"/>
  <c r="I283" i="3" s="1"/>
  <c r="K283" i="3" s="1"/>
  <c r="G282" i="3"/>
  <c r="I282" i="3" s="1"/>
  <c r="K282" i="3" s="1"/>
  <c r="G468" i="3"/>
  <c r="I468" i="3" s="1"/>
  <c r="K468" i="3" s="1"/>
  <c r="G467" i="3"/>
  <c r="I467" i="3" s="1"/>
  <c r="K467" i="3" s="1"/>
  <c r="G466" i="3"/>
  <c r="I466" i="3" s="1"/>
  <c r="K466" i="3" s="1"/>
  <c r="G465" i="3"/>
  <c r="I465" i="3" s="1"/>
  <c r="K465" i="3" s="1"/>
  <c r="G327" i="3"/>
  <c r="I327" i="3" s="1"/>
  <c r="K327" i="3" s="1"/>
  <c r="G326" i="3"/>
  <c r="I326" i="3" s="1"/>
  <c r="K326" i="3" s="1"/>
  <c r="G617" i="3"/>
  <c r="I617" i="3" s="1"/>
  <c r="K617" i="3" s="1"/>
  <c r="G616" i="3"/>
  <c r="I616" i="3" s="1"/>
  <c r="K616" i="3" s="1"/>
  <c r="G615" i="3"/>
  <c r="I615" i="3" s="1"/>
  <c r="K615" i="3" s="1"/>
  <c r="G614" i="3"/>
  <c r="I614" i="3" s="1"/>
  <c r="K614" i="3" s="1"/>
  <c r="G613" i="3"/>
  <c r="I613" i="3" s="1"/>
  <c r="K613" i="3" s="1"/>
  <c r="G612" i="3"/>
  <c r="I612" i="3" s="1"/>
  <c r="K612" i="3" s="1"/>
  <c r="G464" i="3"/>
  <c r="I464" i="3" s="1"/>
  <c r="G463" i="3"/>
  <c r="I463" i="3" s="1"/>
  <c r="G462" i="3"/>
  <c r="I462" i="3" s="1"/>
  <c r="G461" i="3"/>
  <c r="I461" i="3" s="1"/>
  <c r="K461" i="3" s="1"/>
  <c r="G460" i="3"/>
  <c r="I460" i="3" s="1"/>
  <c r="K460" i="3" s="1"/>
  <c r="G459" i="3"/>
  <c r="I459" i="3" s="1"/>
  <c r="K459" i="3" s="1"/>
  <c r="G458" i="3"/>
  <c r="I458" i="3" s="1"/>
  <c r="K458" i="3" s="1"/>
  <c r="G325" i="3"/>
  <c r="I325" i="3" s="1"/>
  <c r="K325" i="3" s="1"/>
  <c r="G324" i="3"/>
  <c r="I324" i="3" s="1"/>
  <c r="K324" i="3" s="1"/>
  <c r="L324" i="3" s="1"/>
  <c r="G323" i="3"/>
  <c r="I323" i="3" s="1"/>
  <c r="K323" i="3" s="1"/>
  <c r="G322" i="3"/>
  <c r="I322" i="3" s="1"/>
  <c r="K322" i="3" s="1"/>
  <c r="G457" i="3"/>
  <c r="G456" i="3"/>
  <c r="I456" i="3" s="1"/>
  <c r="G455" i="3"/>
  <c r="G454" i="3"/>
  <c r="G246" i="3"/>
  <c r="I246" i="3" s="1"/>
  <c r="K246" i="3" s="1"/>
  <c r="G245" i="3"/>
  <c r="I245" i="3" s="1"/>
  <c r="K245" i="3" s="1"/>
  <c r="G453" i="3"/>
  <c r="I453" i="3" s="1"/>
  <c r="K453" i="3" s="1"/>
  <c r="G452" i="3"/>
  <c r="I452" i="3" s="1"/>
  <c r="K452" i="3" s="1"/>
  <c r="G451" i="3"/>
  <c r="I451" i="3" s="1"/>
  <c r="K451" i="3" s="1"/>
  <c r="G90" i="3"/>
  <c r="I90" i="3" s="1"/>
  <c r="K90" i="3" s="1"/>
  <c r="G244" i="3"/>
  <c r="I244" i="3" s="1"/>
  <c r="G243" i="3"/>
  <c r="I243" i="3" s="1"/>
  <c r="G89" i="3"/>
  <c r="I89" i="3" s="1"/>
  <c r="K89" i="3" s="1"/>
  <c r="G590" i="3"/>
  <c r="I590" i="3" s="1"/>
  <c r="K590" i="3" s="1"/>
  <c r="G589" i="3"/>
  <c r="I589" i="3" s="1"/>
  <c r="K589" i="3" s="1"/>
  <c r="G11" i="3"/>
  <c r="I11" i="3" s="1"/>
  <c r="K11" i="3" s="1"/>
  <c r="L11" i="3" s="1"/>
  <c r="G242" i="3"/>
  <c r="I242" i="3" s="1"/>
  <c r="K242" i="3" s="1"/>
  <c r="G241" i="3"/>
  <c r="I241" i="3" s="1"/>
  <c r="K241" i="3" s="1"/>
  <c r="G348" i="3"/>
  <c r="I348" i="3" s="1"/>
  <c r="K348" i="3" s="1"/>
  <c r="G347" i="3"/>
  <c r="I347" i="3" s="1"/>
  <c r="K347" i="3" s="1"/>
  <c r="G346" i="3"/>
  <c r="I346" i="3" s="1"/>
  <c r="K346" i="3" s="1"/>
  <c r="L346" i="3" s="1"/>
  <c r="G345" i="3"/>
  <c r="I345" i="3" s="1"/>
  <c r="K345" i="3" s="1"/>
  <c r="G344" i="3"/>
  <c r="I344" i="3" s="1"/>
  <c r="K344" i="3" s="1"/>
  <c r="G343" i="3"/>
  <c r="I343" i="3" s="1"/>
  <c r="K343" i="3" s="1"/>
  <c r="G355" i="3"/>
  <c r="H292" i="3"/>
  <c r="H293" i="3"/>
  <c r="H294" i="3"/>
  <c r="H295" i="3"/>
  <c r="H296" i="3"/>
  <c r="H297" i="3"/>
  <c r="H298" i="3"/>
  <c r="H299" i="3"/>
  <c r="H300" i="3"/>
  <c r="H350" i="3"/>
  <c r="H221" i="3"/>
  <c r="H222" i="3"/>
  <c r="H223" i="3"/>
  <c r="H224" i="3"/>
  <c r="H225" i="3"/>
  <c r="H226" i="3"/>
  <c r="H449" i="3"/>
  <c r="H450" i="3"/>
  <c r="H537" i="3"/>
  <c r="H538" i="3"/>
  <c r="H227" i="3"/>
  <c r="H228" i="3"/>
  <c r="H10" i="3"/>
  <c r="H539" i="3"/>
  <c r="H540" i="3"/>
  <c r="H541" i="3"/>
  <c r="H542" i="3"/>
  <c r="H543" i="3"/>
  <c r="H544" i="3"/>
  <c r="H545" i="3"/>
  <c r="H546" i="3"/>
  <c r="H547" i="3"/>
  <c r="H548" i="3"/>
  <c r="H549" i="3"/>
  <c r="H550" i="3"/>
  <c r="H551" i="3"/>
  <c r="H552" i="3"/>
  <c r="H553" i="3"/>
  <c r="H554" i="3"/>
  <c r="H555" i="3"/>
  <c r="H229" i="3"/>
  <c r="H230" i="3"/>
  <c r="H231" i="3"/>
  <c r="H232" i="3"/>
  <c r="H233" i="3"/>
  <c r="H234" i="3"/>
  <c r="H235" i="3"/>
  <c r="H236" i="3"/>
  <c r="H237" i="3"/>
  <c r="H238" i="3"/>
  <c r="H239" i="3"/>
  <c r="H240" i="3"/>
  <c r="H318" i="3"/>
  <c r="H319" i="3"/>
  <c r="H320" i="3"/>
  <c r="H321" i="3"/>
  <c r="H291" i="3"/>
  <c r="G316" i="3"/>
  <c r="I316" i="3" s="1"/>
  <c r="G319" i="3"/>
  <c r="G318" i="3"/>
  <c r="G321" i="3"/>
  <c r="G320" i="3"/>
  <c r="G317" i="3"/>
  <c r="I317" i="3" s="1"/>
  <c r="G240" i="3"/>
  <c r="I240" i="3" s="1"/>
  <c r="G239" i="3"/>
  <c r="G238" i="3"/>
  <c r="G237" i="3"/>
  <c r="G236" i="3"/>
  <c r="G235" i="3"/>
  <c r="G234" i="3"/>
  <c r="G233" i="3"/>
  <c r="G232" i="3"/>
  <c r="G231" i="3"/>
  <c r="G230" i="3"/>
  <c r="G229" i="3"/>
  <c r="G555" i="3"/>
  <c r="I555" i="3" s="1"/>
  <c r="K555" i="3" s="1"/>
  <c r="G554" i="3"/>
  <c r="G553" i="3"/>
  <c r="G552" i="3"/>
  <c r="G551" i="3"/>
  <c r="G550" i="3"/>
  <c r="G549" i="3"/>
  <c r="I549" i="3" s="1"/>
  <c r="K549" i="3" s="1"/>
  <c r="G548" i="3"/>
  <c r="G547" i="3"/>
  <c r="G546" i="3"/>
  <c r="G545" i="3"/>
  <c r="G544" i="3"/>
  <c r="G543" i="3"/>
  <c r="G542" i="3"/>
  <c r="G541" i="3"/>
  <c r="G540" i="3"/>
  <c r="G539" i="3"/>
  <c r="I234" i="3" l="1"/>
  <c r="K464" i="3"/>
  <c r="L477" i="3"/>
  <c r="L476" i="3"/>
  <c r="L475" i="3"/>
  <c r="L474" i="3"/>
  <c r="L473" i="3"/>
  <c r="L592" i="3"/>
  <c r="L472" i="3"/>
  <c r="L471" i="3"/>
  <c r="L470" i="3"/>
  <c r="L469" i="3"/>
  <c r="L119" i="3"/>
  <c r="L118" i="3"/>
  <c r="L591" i="3"/>
  <c r="L117" i="3"/>
  <c r="L116" i="3"/>
  <c r="L115" i="3"/>
  <c r="L114" i="3"/>
  <c r="L112" i="3"/>
  <c r="L111" i="3"/>
  <c r="L110" i="3"/>
  <c r="L109" i="3"/>
  <c r="L108" i="3"/>
  <c r="L107" i="3"/>
  <c r="L106" i="3"/>
  <c r="L105" i="3"/>
  <c r="L104" i="3"/>
  <c r="L329" i="3"/>
  <c r="L328" i="3"/>
  <c r="L6" i="3"/>
  <c r="L5" i="3"/>
  <c r="L289" i="3"/>
  <c r="L284" i="3"/>
  <c r="L283" i="3"/>
  <c r="L282" i="3"/>
  <c r="L468" i="3"/>
  <c r="L467" i="3"/>
  <c r="L466" i="3"/>
  <c r="L465" i="3"/>
  <c r="I233" i="3"/>
  <c r="K233" i="3" s="1"/>
  <c r="L233" i="3" s="1"/>
  <c r="I548" i="3"/>
  <c r="K548" i="3" s="1"/>
  <c r="L548" i="3" s="1"/>
  <c r="K463" i="3"/>
  <c r="K462" i="3"/>
  <c r="L462" i="3" s="1"/>
  <c r="K456" i="3"/>
  <c r="L456" i="3" s="1"/>
  <c r="I457" i="3"/>
  <c r="K457" i="3" s="1"/>
  <c r="L457" i="3" s="1"/>
  <c r="I455" i="3"/>
  <c r="K455" i="3" s="1"/>
  <c r="L455" i="3" s="1"/>
  <c r="I454" i="3"/>
  <c r="K454" i="3" s="1"/>
  <c r="L327" i="3"/>
  <c r="L326" i="3"/>
  <c r="L617" i="3"/>
  <c r="L616" i="3"/>
  <c r="L615" i="3"/>
  <c r="L614" i="3"/>
  <c r="L613" i="3"/>
  <c r="L612" i="3"/>
  <c r="L461" i="3"/>
  <c r="L460" i="3"/>
  <c r="L459" i="3"/>
  <c r="L458" i="3"/>
  <c r="L325" i="3"/>
  <c r="L323" i="3"/>
  <c r="L322" i="3"/>
  <c r="L246" i="3"/>
  <c r="L245" i="3"/>
  <c r="I550" i="3"/>
  <c r="K550" i="3" s="1"/>
  <c r="I543" i="3"/>
  <c r="K543" i="3" s="1"/>
  <c r="L543" i="3" s="1"/>
  <c r="I318" i="3"/>
  <c r="K318" i="3" s="1"/>
  <c r="I545" i="3"/>
  <c r="K545" i="3" s="1"/>
  <c r="L545" i="3" s="1"/>
  <c r="I230" i="3"/>
  <c r="K230" i="3" s="1"/>
  <c r="I546" i="3"/>
  <c r="K546" i="3" s="1"/>
  <c r="L546" i="3" s="1"/>
  <c r="I231" i="3"/>
  <c r="K231" i="3" s="1"/>
  <c r="L231" i="3" s="1"/>
  <c r="I321" i="3"/>
  <c r="K321" i="3" s="1"/>
  <c r="L321" i="3" s="1"/>
  <c r="I319" i="3"/>
  <c r="K319" i="3" s="1"/>
  <c r="L319" i="3" s="1"/>
  <c r="I547" i="3"/>
  <c r="K547" i="3" s="1"/>
  <c r="I232" i="3"/>
  <c r="K232" i="3" s="1"/>
  <c r="I542" i="3"/>
  <c r="K542" i="3" s="1"/>
  <c r="L542" i="3" s="1"/>
  <c r="I554" i="3"/>
  <c r="K554" i="3" s="1"/>
  <c r="L554" i="3" s="1"/>
  <c r="K244" i="3"/>
  <c r="L244" i="3" s="1"/>
  <c r="I235" i="3"/>
  <c r="K235" i="3" s="1"/>
  <c r="I320" i="3"/>
  <c r="K320" i="3" s="1"/>
  <c r="L453" i="3"/>
  <c r="L452" i="3"/>
  <c r="L451" i="3"/>
  <c r="L90" i="3"/>
  <c r="K243" i="3"/>
  <c r="L243" i="3" s="1"/>
  <c r="I238" i="3"/>
  <c r="K238" i="3" s="1"/>
  <c r="I541" i="3"/>
  <c r="K541" i="3" s="1"/>
  <c r="I237" i="3"/>
  <c r="K237" i="3" s="1"/>
  <c r="L237" i="3" s="1"/>
  <c r="I239" i="3"/>
  <c r="K239" i="3" s="1"/>
  <c r="I236" i="3"/>
  <c r="K236" i="3" s="1"/>
  <c r="L236" i="3" s="1"/>
  <c r="I553" i="3"/>
  <c r="K553" i="3" s="1"/>
  <c r="L553" i="3" s="1"/>
  <c r="I544" i="3"/>
  <c r="K544" i="3" s="1"/>
  <c r="L544" i="3" s="1"/>
  <c r="I229" i="3"/>
  <c r="K229" i="3" s="1"/>
  <c r="I540" i="3"/>
  <c r="K540" i="3" s="1"/>
  <c r="L540" i="3" s="1"/>
  <c r="I539" i="3"/>
  <c r="K539" i="3" s="1"/>
  <c r="L539" i="3" s="1"/>
  <c r="I552" i="3"/>
  <c r="K552" i="3" s="1"/>
  <c r="L552" i="3" s="1"/>
  <c r="L89" i="3"/>
  <c r="L590" i="3"/>
  <c r="L589" i="3"/>
  <c r="L242" i="3"/>
  <c r="L241" i="3"/>
  <c r="L348" i="3"/>
  <c r="L347" i="3"/>
  <c r="L345" i="3"/>
  <c r="L344" i="3"/>
  <c r="L343" i="3"/>
  <c r="K317" i="3"/>
  <c r="L317" i="3" s="1"/>
  <c r="K316" i="3"/>
  <c r="K234" i="3"/>
  <c r="L234" i="3" s="1"/>
  <c r="K240" i="3"/>
  <c r="I551" i="3"/>
  <c r="K551" i="3" s="1"/>
  <c r="L555" i="3"/>
  <c r="L549" i="3"/>
  <c r="G450" i="3"/>
  <c r="I450" i="3" s="1"/>
  <c r="K450" i="3" s="1"/>
  <c r="G449" i="3"/>
  <c r="I449" i="3" s="1"/>
  <c r="K449" i="3" s="1"/>
  <c r="G10" i="3"/>
  <c r="I10" i="3" s="1"/>
  <c r="G228" i="3"/>
  <c r="I228" i="3" s="1"/>
  <c r="G227" i="3"/>
  <c r="I227" i="3" s="1"/>
  <c r="G538" i="3"/>
  <c r="I538" i="3" s="1"/>
  <c r="K538" i="3" s="1"/>
  <c r="G537" i="3"/>
  <c r="I537" i="3" s="1"/>
  <c r="K537" i="3" s="1"/>
  <c r="G226" i="3"/>
  <c r="I226" i="3" s="1"/>
  <c r="G225" i="3"/>
  <c r="I225" i="3" s="1"/>
  <c r="G224" i="3"/>
  <c r="I224" i="3" s="1"/>
  <c r="G223" i="3"/>
  <c r="I223" i="3" s="1"/>
  <c r="G222" i="3"/>
  <c r="I222" i="3" s="1"/>
  <c r="G221" i="3"/>
  <c r="I221" i="3" s="1"/>
  <c r="G350" i="3"/>
  <c r="I350" i="3" s="1"/>
  <c r="K350" i="3" s="1"/>
  <c r="G300" i="3"/>
  <c r="I300" i="3" s="1"/>
  <c r="K300" i="3" s="1"/>
  <c r="G299" i="3"/>
  <c r="I299" i="3" s="1"/>
  <c r="G298" i="3"/>
  <c r="I298" i="3" s="1"/>
  <c r="G297" i="3"/>
  <c r="I297" i="3" s="1"/>
  <c r="G296" i="3"/>
  <c r="I296" i="3" s="1"/>
  <c r="G295" i="3"/>
  <c r="I295" i="3" s="1"/>
  <c r="G294" i="3"/>
  <c r="I294" i="3" s="1"/>
  <c r="G293" i="3"/>
  <c r="I293" i="3" s="1"/>
  <c r="K293" i="3" s="1"/>
  <c r="G292" i="3"/>
  <c r="I292" i="3" s="1"/>
  <c r="G291" i="3"/>
  <c r="I291" i="3" s="1"/>
  <c r="K291" i="3" s="1"/>
  <c r="G85" i="3"/>
  <c r="L463" i="3" l="1"/>
  <c r="L464" i="3"/>
  <c r="L550" i="3"/>
  <c r="L541" i="3"/>
  <c r="K292" i="3"/>
  <c r="K296" i="3"/>
  <c r="K299" i="3"/>
  <c r="L454" i="3"/>
  <c r="L547" i="3"/>
  <c r="L318" i="3"/>
  <c r="L320" i="3"/>
  <c r="L238" i="3"/>
  <c r="L240" i="3"/>
  <c r="L316" i="3"/>
  <c r="L229" i="3"/>
  <c r="K227" i="3"/>
  <c r="L227" i="3" s="1"/>
  <c r="L232" i="3"/>
  <c r="K223" i="3"/>
  <c r="L223" i="3" s="1"/>
  <c r="L239" i="3"/>
  <c r="L235" i="3"/>
  <c r="L230" i="3"/>
  <c r="L551" i="3"/>
  <c r="K228" i="3"/>
  <c r="L228" i="3" s="1"/>
  <c r="K224" i="3"/>
  <c r="L224" i="3" s="1"/>
  <c r="K226" i="3"/>
  <c r="K225" i="3"/>
  <c r="L225" i="3" s="1"/>
  <c r="K222" i="3"/>
  <c r="K221" i="3"/>
  <c r="L221" i="3" s="1"/>
  <c r="K10" i="3"/>
  <c r="K298" i="3"/>
  <c r="L298" i="3" s="1"/>
  <c r="K297" i="3"/>
  <c r="K295" i="3"/>
  <c r="L295" i="3" s="1"/>
  <c r="K294" i="3"/>
  <c r="L294" i="3" s="1"/>
  <c r="L538" i="3"/>
  <c r="L537" i="3"/>
  <c r="L450" i="3"/>
  <c r="L449" i="3"/>
  <c r="L350" i="3"/>
  <c r="L300" i="3"/>
  <c r="L293" i="3"/>
  <c r="L292" i="3"/>
  <c r="L291" i="3"/>
  <c r="G352" i="3"/>
  <c r="I352" i="3" s="1"/>
  <c r="G351" i="3"/>
  <c r="I351" i="3" s="1"/>
  <c r="H315" i="3"/>
  <c r="H314" i="3"/>
  <c r="G315" i="3"/>
  <c r="G314" i="3"/>
  <c r="G354" i="3"/>
  <c r="I354" i="3" s="1"/>
  <c r="G353" i="3"/>
  <c r="I353" i="3" s="1"/>
  <c r="G313" i="3"/>
  <c r="I313" i="3" s="1"/>
  <c r="K313" i="3" s="1"/>
  <c r="G312" i="3"/>
  <c r="I312" i="3" s="1"/>
  <c r="K312" i="3" s="1"/>
  <c r="H448" i="3"/>
  <c r="G448" i="3"/>
  <c r="H536" i="3"/>
  <c r="G536" i="3"/>
  <c r="H535" i="3"/>
  <c r="G535" i="3"/>
  <c r="G520" i="3"/>
  <c r="G519" i="3"/>
  <c r="G522" i="3"/>
  <c r="G525" i="3"/>
  <c r="G526" i="3"/>
  <c r="G528" i="3"/>
  <c r="G529" i="3"/>
  <c r="G517" i="3"/>
  <c r="H642" i="3"/>
  <c r="H641" i="3"/>
  <c r="G641" i="3"/>
  <c r="G642" i="3"/>
  <c r="H506" i="3"/>
  <c r="G4" i="3"/>
  <c r="I4" i="3" s="1"/>
  <c r="K4" i="3" s="1"/>
  <c r="G194" i="3"/>
  <c r="F268" i="7"/>
  <c r="F256" i="7"/>
  <c r="E244" i="7"/>
  <c r="L244" i="7" s="1"/>
  <c r="F232" i="7"/>
  <c r="F220" i="7"/>
  <c r="F208" i="7"/>
  <c r="E196" i="7"/>
  <c r="F184" i="7"/>
  <c r="E172" i="7"/>
  <c r="L172" i="7" s="1"/>
  <c r="F148" i="7"/>
  <c r="F136" i="7"/>
  <c r="E124" i="7"/>
  <c r="F112" i="7"/>
  <c r="L112" i="7" s="1"/>
  <c r="F100" i="7"/>
  <c r="F76" i="7"/>
  <c r="F64" i="7"/>
  <c r="F52" i="7"/>
  <c r="E40" i="7"/>
  <c r="L40" i="7" s="1"/>
  <c r="E28" i="7"/>
  <c r="L28" i="7" s="1"/>
  <c r="F16" i="7"/>
  <c r="F4" i="7"/>
  <c r="F270" i="7"/>
  <c r="F269" i="7"/>
  <c r="F258" i="7"/>
  <c r="E257" i="7"/>
  <c r="F245" i="7"/>
  <c r="E234" i="7"/>
  <c r="F223" i="7"/>
  <c r="F211" i="7"/>
  <c r="F209" i="7"/>
  <c r="F198" i="7"/>
  <c r="E197" i="7"/>
  <c r="L197" i="7" s="1"/>
  <c r="E187" i="7"/>
  <c r="L187" i="7" s="1"/>
  <c r="F185" i="7"/>
  <c r="E175" i="7"/>
  <c r="F174" i="7"/>
  <c r="E173" i="7"/>
  <c r="F163" i="7"/>
  <c r="F162" i="7"/>
  <c r="F161" i="7"/>
  <c r="F151" i="7"/>
  <c r="F150" i="7"/>
  <c r="F149" i="7"/>
  <c r="E139" i="7"/>
  <c r="L139" i="7" s="1"/>
  <c r="E138" i="7"/>
  <c r="L138" i="7" s="1"/>
  <c r="E137" i="7"/>
  <c r="L137" i="7" s="1"/>
  <c r="E127" i="7"/>
  <c r="F126" i="7"/>
  <c r="E125" i="7"/>
  <c r="E103" i="7"/>
  <c r="F102" i="7"/>
  <c r="F101" i="7"/>
  <c r="F91" i="7"/>
  <c r="F88" i="7"/>
  <c r="F79" i="7"/>
  <c r="E77" i="7"/>
  <c r="L77" i="7" s="1"/>
  <c r="E67" i="7"/>
  <c r="L67" i="7" s="1"/>
  <c r="E66" i="7"/>
  <c r="E65" i="7"/>
  <c r="F55" i="7"/>
  <c r="F53" i="7"/>
  <c r="F42" i="7"/>
  <c r="E41" i="7"/>
  <c r="E31" i="7"/>
  <c r="F30" i="7"/>
  <c r="E29" i="7"/>
  <c r="F19" i="7"/>
  <c r="E18" i="7"/>
  <c r="F17" i="7"/>
  <c r="F7" i="7"/>
  <c r="F160" i="7"/>
  <c r="E90" i="7"/>
  <c r="F78" i="7"/>
  <c r="F5" i="7"/>
  <c r="F182" i="7"/>
  <c r="F134" i="7"/>
  <c r="F122" i="7"/>
  <c r="F46" i="7"/>
  <c r="E34" i="7"/>
  <c r="G34" i="7" s="1"/>
  <c r="I34" i="7" s="1"/>
  <c r="F22" i="7"/>
  <c r="F10" i="7"/>
  <c r="F235" i="7"/>
  <c r="F233" i="7"/>
  <c r="E221" i="7"/>
  <c r="F127" i="7"/>
  <c r="E115" i="7"/>
  <c r="F113" i="7"/>
  <c r="E275" i="7"/>
  <c r="E266" i="7"/>
  <c r="F263" i="7"/>
  <c r="E254" i="7"/>
  <c r="F251" i="7"/>
  <c r="E242" i="7"/>
  <c r="E230" i="7"/>
  <c r="E227" i="7"/>
  <c r="E218" i="7"/>
  <c r="F215" i="7"/>
  <c r="E206" i="7"/>
  <c r="L206" i="7" s="1"/>
  <c r="E203" i="7"/>
  <c r="F194" i="7"/>
  <c r="E179" i="7"/>
  <c r="F170" i="7"/>
  <c r="E158" i="7"/>
  <c r="G158" i="7" s="1"/>
  <c r="I158" i="7" s="1"/>
  <c r="E146" i="7"/>
  <c r="F89" i="7"/>
  <c r="E246" i="7"/>
  <c r="F278" i="7"/>
  <c r="F276" i="7"/>
  <c r="E273" i="7"/>
  <c r="F264" i="7"/>
  <c r="E261" i="7"/>
  <c r="F252" i="7"/>
  <c r="F249" i="7"/>
  <c r="F240" i="7"/>
  <c r="F237" i="7"/>
  <c r="F230" i="7"/>
  <c r="E225" i="7"/>
  <c r="F216" i="7"/>
  <c r="F213" i="7"/>
  <c r="F204" i="7"/>
  <c r="E201" i="7"/>
  <c r="F180" i="7"/>
  <c r="E177" i="7"/>
  <c r="E168" i="7"/>
  <c r="L168" i="7" s="1"/>
  <c r="F153" i="7"/>
  <c r="F146" i="7"/>
  <c r="F144" i="7"/>
  <c r="G144" i="7" s="1"/>
  <c r="I144" i="7" s="1"/>
  <c r="F141" i="7"/>
  <c r="E132" i="7"/>
  <c r="F117" i="7"/>
  <c r="E108" i="7"/>
  <c r="F96" i="7"/>
  <c r="F84" i="7"/>
  <c r="E72" i="7"/>
  <c r="E60" i="7"/>
  <c r="E48" i="7"/>
  <c r="E36" i="7"/>
  <c r="E24" i="7"/>
  <c r="E12" i="7"/>
  <c r="F114" i="7"/>
  <c r="H279" i="7"/>
  <c r="F279" i="7"/>
  <c r="E279" i="7"/>
  <c r="H278" i="7"/>
  <c r="H277" i="7"/>
  <c r="F277" i="7"/>
  <c r="E277" i="7"/>
  <c r="L277" i="7" s="1"/>
  <c r="H276" i="7"/>
  <c r="E276" i="7"/>
  <c r="H275" i="7"/>
  <c r="F275" i="7"/>
  <c r="H274" i="7"/>
  <c r="F274" i="7"/>
  <c r="E274" i="7"/>
  <c r="H273" i="7"/>
  <c r="H272" i="7"/>
  <c r="E272" i="7"/>
  <c r="G272" i="7" s="1"/>
  <c r="H271" i="7"/>
  <c r="H270" i="7"/>
  <c r="H269" i="7"/>
  <c r="H268" i="7"/>
  <c r="H267" i="7"/>
  <c r="F267" i="7"/>
  <c r="E267" i="7"/>
  <c r="H266" i="7"/>
  <c r="H265" i="7"/>
  <c r="F265" i="7"/>
  <c r="E265" i="7"/>
  <c r="H264" i="7"/>
  <c r="E264" i="7"/>
  <c r="H263" i="7"/>
  <c r="E263" i="7"/>
  <c r="H262" i="7"/>
  <c r="F262" i="7"/>
  <c r="E262" i="7"/>
  <c r="H261" i="7"/>
  <c r="F261" i="7"/>
  <c r="H260" i="7"/>
  <c r="F260" i="7"/>
  <c r="E260" i="7"/>
  <c r="H259" i="7"/>
  <c r="H258" i="7"/>
  <c r="H257" i="7"/>
  <c r="H256" i="7"/>
  <c r="H255" i="7"/>
  <c r="F255" i="7"/>
  <c r="E255" i="7"/>
  <c r="H254" i="7"/>
  <c r="F254" i="7"/>
  <c r="H253" i="7"/>
  <c r="F253" i="7"/>
  <c r="E253" i="7"/>
  <c r="H252" i="7"/>
  <c r="E252" i="7"/>
  <c r="H251" i="7"/>
  <c r="H250" i="7"/>
  <c r="F250" i="7"/>
  <c r="E250" i="7"/>
  <c r="H249" i="7"/>
  <c r="E249" i="7"/>
  <c r="H248" i="7"/>
  <c r="F248" i="7"/>
  <c r="E248" i="7"/>
  <c r="H247" i="7"/>
  <c r="F243" i="7"/>
  <c r="E243" i="7"/>
  <c r="F241" i="7"/>
  <c r="E241" i="7"/>
  <c r="E240" i="7"/>
  <c r="F239" i="7"/>
  <c r="E239" i="7"/>
  <c r="F238" i="7"/>
  <c r="E238" i="7"/>
  <c r="E237" i="7"/>
  <c r="F236" i="7"/>
  <c r="E236" i="7"/>
  <c r="F231" i="7"/>
  <c r="E231" i="7"/>
  <c r="F229" i="7"/>
  <c r="E229" i="7"/>
  <c r="E228" i="7"/>
  <c r="L228" i="7" s="1"/>
  <c r="F227" i="7"/>
  <c r="F226" i="7"/>
  <c r="E226" i="7"/>
  <c r="F225" i="7"/>
  <c r="F224" i="7"/>
  <c r="E224" i="7"/>
  <c r="F219" i="7"/>
  <c r="E219" i="7"/>
  <c r="F217" i="7"/>
  <c r="E217" i="7"/>
  <c r="E216" i="7"/>
  <c r="E215" i="7"/>
  <c r="F214" i="7"/>
  <c r="E214" i="7"/>
  <c r="F212" i="7"/>
  <c r="E212" i="7"/>
  <c r="E207" i="7"/>
  <c r="G207" i="7" s="1"/>
  <c r="I207" i="7" s="1"/>
  <c r="F205" i="7"/>
  <c r="E205" i="7"/>
  <c r="E204" i="7"/>
  <c r="F203" i="7"/>
  <c r="F202" i="7"/>
  <c r="E202" i="7"/>
  <c r="F201" i="7"/>
  <c r="F200" i="7"/>
  <c r="E200" i="7"/>
  <c r="F195" i="7"/>
  <c r="E195" i="7"/>
  <c r="F193" i="7"/>
  <c r="E193" i="7"/>
  <c r="E192" i="7"/>
  <c r="L192" i="7" s="1"/>
  <c r="E191" i="7"/>
  <c r="L191" i="7" s="1"/>
  <c r="E190" i="7"/>
  <c r="L190" i="7" s="1"/>
  <c r="E189" i="7"/>
  <c r="L189" i="7" s="1"/>
  <c r="E188" i="7"/>
  <c r="L188" i="7" s="1"/>
  <c r="F183" i="7"/>
  <c r="E183" i="7"/>
  <c r="F181" i="7"/>
  <c r="E181" i="7"/>
  <c r="E180" i="7"/>
  <c r="F179" i="7"/>
  <c r="F178" i="7"/>
  <c r="E178" i="7"/>
  <c r="F177" i="7"/>
  <c r="F176" i="7"/>
  <c r="E176" i="7"/>
  <c r="L176" i="7" s="1"/>
  <c r="F171" i="7"/>
  <c r="E171" i="7"/>
  <c r="E169" i="7"/>
  <c r="G169" i="7" s="1"/>
  <c r="I169" i="7" s="1"/>
  <c r="E167" i="7"/>
  <c r="L167" i="7" s="1"/>
  <c r="E166" i="7"/>
  <c r="L166" i="7" s="1"/>
  <c r="E165" i="7"/>
  <c r="L165" i="7" s="1"/>
  <c r="F164" i="7"/>
  <c r="E164" i="7"/>
  <c r="H163" i="7"/>
  <c r="F159" i="7"/>
  <c r="E159" i="7"/>
  <c r="F157" i="7"/>
  <c r="E157" i="7"/>
  <c r="E156" i="7"/>
  <c r="L156" i="7" s="1"/>
  <c r="F155" i="7"/>
  <c r="E155" i="7"/>
  <c r="F154" i="7"/>
  <c r="E154" i="7"/>
  <c r="E153" i="7"/>
  <c r="L153" i="7" s="1"/>
  <c r="E152" i="7"/>
  <c r="G152" i="7" s="1"/>
  <c r="I152" i="7" s="1"/>
  <c r="K152" i="7" s="1"/>
  <c r="F147" i="7"/>
  <c r="E147" i="7"/>
  <c r="F145" i="7"/>
  <c r="E145" i="7"/>
  <c r="L145" i="7" s="1"/>
  <c r="F143" i="7"/>
  <c r="E143" i="7"/>
  <c r="E142" i="7"/>
  <c r="G142" i="7" s="1"/>
  <c r="I142" i="7" s="1"/>
  <c r="F140" i="7"/>
  <c r="E140" i="7"/>
  <c r="F135" i="7"/>
  <c r="E135" i="7"/>
  <c r="F133" i="7"/>
  <c r="E133" i="7"/>
  <c r="F132" i="7"/>
  <c r="F131" i="7"/>
  <c r="E131" i="7"/>
  <c r="L131" i="7" s="1"/>
  <c r="F130" i="7"/>
  <c r="E130" i="7"/>
  <c r="F129" i="7"/>
  <c r="E129" i="7"/>
  <c r="F128" i="7"/>
  <c r="E128" i="7"/>
  <c r="F123" i="7"/>
  <c r="E123" i="7"/>
  <c r="E122" i="7"/>
  <c r="F121" i="7"/>
  <c r="E121" i="7"/>
  <c r="E120" i="7"/>
  <c r="G120" i="7" s="1"/>
  <c r="I120" i="7" s="1"/>
  <c r="F119" i="7"/>
  <c r="E119" i="7"/>
  <c r="F118" i="7"/>
  <c r="E118" i="7"/>
  <c r="E117" i="7"/>
  <c r="F116" i="7"/>
  <c r="E116" i="7"/>
  <c r="L116" i="7" s="1"/>
  <c r="F111" i="7"/>
  <c r="E111" i="7"/>
  <c r="F110" i="7"/>
  <c r="E110" i="7"/>
  <c r="F109" i="7"/>
  <c r="E109" i="7"/>
  <c r="F108" i="7"/>
  <c r="F107" i="7"/>
  <c r="E107" i="7"/>
  <c r="F106" i="7"/>
  <c r="E106" i="7"/>
  <c r="H105" i="7"/>
  <c r="F105" i="7"/>
  <c r="E105" i="7"/>
  <c r="H104" i="7"/>
  <c r="E104" i="7"/>
  <c r="H103" i="7"/>
  <c r="H102" i="7"/>
  <c r="H101" i="7"/>
  <c r="H100" i="7"/>
  <c r="H99" i="7"/>
  <c r="F99" i="7"/>
  <c r="E99" i="7"/>
  <c r="H98" i="7"/>
  <c r="F98" i="7"/>
  <c r="E98" i="7"/>
  <c r="H97" i="7"/>
  <c r="F97" i="7"/>
  <c r="E97" i="7"/>
  <c r="H96" i="7"/>
  <c r="H95" i="7"/>
  <c r="E95" i="7"/>
  <c r="L95" i="7" s="1"/>
  <c r="F94" i="7"/>
  <c r="E94" i="7"/>
  <c r="F93" i="7"/>
  <c r="E93" i="7"/>
  <c r="F92" i="7"/>
  <c r="E92" i="7"/>
  <c r="F87" i="7"/>
  <c r="E87" i="7"/>
  <c r="F86" i="7"/>
  <c r="E86" i="7"/>
  <c r="F85" i="7"/>
  <c r="E85" i="7"/>
  <c r="E84" i="7"/>
  <c r="L84" i="7" s="1"/>
  <c r="F83" i="7"/>
  <c r="E83" i="7"/>
  <c r="F82" i="7"/>
  <c r="E82" i="7"/>
  <c r="F81" i="7"/>
  <c r="E81" i="7"/>
  <c r="F80" i="7"/>
  <c r="E80" i="7"/>
  <c r="F75" i="7"/>
  <c r="E75" i="7"/>
  <c r="F74" i="7"/>
  <c r="E74" i="7"/>
  <c r="F73" i="7"/>
  <c r="E73" i="7"/>
  <c r="F72" i="7"/>
  <c r="F71" i="7"/>
  <c r="E71" i="7"/>
  <c r="F70" i="7"/>
  <c r="E70" i="7"/>
  <c r="E69" i="7"/>
  <c r="L69" i="7" s="1"/>
  <c r="F68" i="7"/>
  <c r="E68" i="7"/>
  <c r="F63" i="7"/>
  <c r="E63" i="7"/>
  <c r="E62" i="7"/>
  <c r="L62" i="7" s="1"/>
  <c r="F61" i="7"/>
  <c r="E61" i="7"/>
  <c r="F60" i="7"/>
  <c r="F59" i="7"/>
  <c r="E59" i="7"/>
  <c r="F58" i="7"/>
  <c r="E58" i="7"/>
  <c r="L58" i="7" s="1"/>
  <c r="F57" i="7"/>
  <c r="E57" i="7"/>
  <c r="F56" i="7"/>
  <c r="E56" i="7"/>
  <c r="E55" i="7"/>
  <c r="E51" i="7"/>
  <c r="G51" i="7" s="1"/>
  <c r="I51" i="7" s="1"/>
  <c r="F50" i="7"/>
  <c r="E50" i="7"/>
  <c r="F49" i="7"/>
  <c r="E49" i="7"/>
  <c r="H48" i="7"/>
  <c r="F48" i="7"/>
  <c r="F47" i="7"/>
  <c r="E47" i="7"/>
  <c r="F45" i="7"/>
  <c r="E45" i="7"/>
  <c r="E44" i="7"/>
  <c r="G44" i="7" s="1"/>
  <c r="I44" i="7" s="1"/>
  <c r="E43" i="7"/>
  <c r="G43" i="7" s="1"/>
  <c r="I43" i="7" s="1"/>
  <c r="E39" i="7"/>
  <c r="L39" i="7" s="1"/>
  <c r="F38" i="7"/>
  <c r="E38" i="7"/>
  <c r="F37" i="7"/>
  <c r="E37" i="7"/>
  <c r="F36" i="7"/>
  <c r="F35" i="7"/>
  <c r="E35" i="7"/>
  <c r="H33" i="7"/>
  <c r="F33" i="7"/>
  <c r="E33" i="7"/>
  <c r="F32" i="7"/>
  <c r="E32" i="7"/>
  <c r="F31" i="7"/>
  <c r="H29" i="7"/>
  <c r="F27" i="7"/>
  <c r="E27" i="7"/>
  <c r="F26" i="7"/>
  <c r="E26" i="7"/>
  <c r="F25" i="7"/>
  <c r="E25" i="7"/>
  <c r="F24" i="7"/>
  <c r="F23" i="7"/>
  <c r="E23" i="7"/>
  <c r="E21" i="7"/>
  <c r="G21" i="7" s="1"/>
  <c r="I21" i="7" s="1"/>
  <c r="F20" i="7"/>
  <c r="E20" i="7"/>
  <c r="F15" i="7"/>
  <c r="E15" i="7"/>
  <c r="F14" i="7"/>
  <c r="E14" i="7"/>
  <c r="F13" i="7"/>
  <c r="E13" i="7"/>
  <c r="F12" i="7"/>
  <c r="F11" i="7"/>
  <c r="E11" i="7"/>
  <c r="F9" i="7"/>
  <c r="E9" i="7"/>
  <c r="F8" i="7"/>
  <c r="E8" i="7"/>
  <c r="F3" i="7"/>
  <c r="E3" i="7"/>
  <c r="L29" i="7" l="1"/>
  <c r="L37" i="7"/>
  <c r="L104" i="7"/>
  <c r="L110" i="7"/>
  <c r="L264" i="7"/>
  <c r="L103" i="7"/>
  <c r="L273" i="7"/>
  <c r="L20" i="7"/>
  <c r="L59" i="7"/>
  <c r="L71" i="7"/>
  <c r="L92" i="7"/>
  <c r="L122" i="7"/>
  <c r="L109" i="7"/>
  <c r="L60" i="7"/>
  <c r="L48" i="7"/>
  <c r="L180" i="7"/>
  <c r="L86" i="7"/>
  <c r="L35" i="7"/>
  <c r="L47" i="7"/>
  <c r="L57" i="7"/>
  <c r="L68" i="7"/>
  <c r="L75" i="7"/>
  <c r="L119" i="7"/>
  <c r="L130" i="7"/>
  <c r="L143" i="7"/>
  <c r="L252" i="7"/>
  <c r="I272" i="7"/>
  <c r="L98" i="7"/>
  <c r="L253" i="7"/>
  <c r="L265" i="7"/>
  <c r="L299" i="3"/>
  <c r="L296" i="3"/>
  <c r="I314" i="3"/>
  <c r="K314" i="3" s="1"/>
  <c r="I315" i="3"/>
  <c r="K315" i="3" s="1"/>
  <c r="K352" i="3"/>
  <c r="K353" i="3"/>
  <c r="L353" i="3" s="1"/>
  <c r="I535" i="3"/>
  <c r="K535" i="3" s="1"/>
  <c r="I536" i="3"/>
  <c r="K536" i="3" s="1"/>
  <c r="L10" i="3"/>
  <c r="L226" i="3"/>
  <c r="L297" i="3"/>
  <c r="L222" i="3"/>
  <c r="K354" i="3"/>
  <c r="L354" i="3" s="1"/>
  <c r="K351" i="3"/>
  <c r="L313" i="3"/>
  <c r="L312" i="3"/>
  <c r="I448" i="3"/>
  <c r="K448" i="3" s="1"/>
  <c r="L448" i="3" s="1"/>
  <c r="I642" i="3"/>
  <c r="K642" i="3" s="1"/>
  <c r="L642" i="3" s="1"/>
  <c r="I641" i="3"/>
  <c r="K641" i="3" s="1"/>
  <c r="L641" i="3" s="1"/>
  <c r="L4" i="3"/>
  <c r="L230" i="7"/>
  <c r="L13" i="7"/>
  <c r="L23" i="7"/>
  <c r="L73" i="7"/>
  <c r="L83" i="7"/>
  <c r="L99" i="7"/>
  <c r="L106" i="7"/>
  <c r="L128" i="7"/>
  <c r="L154" i="7"/>
  <c r="L195" i="7"/>
  <c r="L212" i="7"/>
  <c r="L238" i="7"/>
  <c r="L85" i="7"/>
  <c r="L183" i="7"/>
  <c r="L250" i="7"/>
  <c r="L179" i="7"/>
  <c r="L204" i="7"/>
  <c r="L117" i="7"/>
  <c r="L25" i="7"/>
  <c r="L216" i="7"/>
  <c r="L217" i="7"/>
  <c r="L203" i="7"/>
  <c r="L164" i="7"/>
  <c r="L193" i="7"/>
  <c r="L248" i="7"/>
  <c r="L279" i="7"/>
  <c r="L240" i="7"/>
  <c r="L36" i="7"/>
  <c r="L14" i="7"/>
  <c r="L26" i="7"/>
  <c r="L157" i="7"/>
  <c r="L202" i="7"/>
  <c r="L229" i="7"/>
  <c r="L241" i="7"/>
  <c r="L263" i="7"/>
  <c r="L275" i="7"/>
  <c r="L72" i="7"/>
  <c r="L8" i="7"/>
  <c r="L49" i="7"/>
  <c r="L201" i="7"/>
  <c r="L105" i="7"/>
  <c r="L111" i="7"/>
  <c r="L133" i="7"/>
  <c r="L178" i="7"/>
  <c r="L205" i="7"/>
  <c r="L236" i="7"/>
  <c r="L260" i="7"/>
  <c r="L108" i="7"/>
  <c r="L32" i="7"/>
  <c r="L61" i="7"/>
  <c r="L93" i="7"/>
  <c r="L135" i="7"/>
  <c r="L181" i="7"/>
  <c r="L249" i="7"/>
  <c r="L146" i="7"/>
  <c r="L45" i="7"/>
  <c r="L56" i="7"/>
  <c r="L63" i="7"/>
  <c r="L74" i="7"/>
  <c r="L107" i="7"/>
  <c r="L118" i="7"/>
  <c r="L129" i="7"/>
  <c r="L200" i="7"/>
  <c r="L214" i="7"/>
  <c r="L255" i="7"/>
  <c r="L262" i="7"/>
  <c r="L254" i="7"/>
  <c r="L12" i="7"/>
  <c r="L155" i="7"/>
  <c r="L239" i="7"/>
  <c r="L24" i="7"/>
  <c r="L171" i="7"/>
  <c r="L215" i="7"/>
  <c r="L276" i="7"/>
  <c r="L3" i="7"/>
  <c r="L80" i="7"/>
  <c r="L97" i="7"/>
  <c r="L177" i="7"/>
  <c r="L261" i="7"/>
  <c r="L15" i="7"/>
  <c r="L27" i="7"/>
  <c r="L70" i="7"/>
  <c r="L87" i="7"/>
  <c r="L121" i="7"/>
  <c r="L159" i="7"/>
  <c r="L231" i="7"/>
  <c r="L243" i="7"/>
  <c r="L81" i="7"/>
  <c r="L147" i="7"/>
  <c r="L219" i="7"/>
  <c r="L9" i="7"/>
  <c r="L38" i="7"/>
  <c r="L50" i="7"/>
  <c r="L82" i="7"/>
  <c r="L123" i="7"/>
  <c r="L224" i="7"/>
  <c r="L227" i="7"/>
  <c r="L237" i="7"/>
  <c r="L274" i="7"/>
  <c r="L158" i="7"/>
  <c r="L132" i="7"/>
  <c r="L225" i="7"/>
  <c r="L11" i="7"/>
  <c r="L33" i="7"/>
  <c r="L94" i="7"/>
  <c r="L140" i="7"/>
  <c r="L226" i="7"/>
  <c r="L267" i="7"/>
  <c r="L31" i="7"/>
  <c r="L127" i="7"/>
  <c r="G65" i="7"/>
  <c r="I65" i="7" s="1"/>
  <c r="L65" i="7"/>
  <c r="L55" i="7"/>
  <c r="G234" i="7"/>
  <c r="I234" i="7" s="1"/>
  <c r="K234" i="7" s="1"/>
  <c r="L234" i="7"/>
  <c r="L120" i="7"/>
  <c r="L142" i="7"/>
  <c r="L34" i="7"/>
  <c r="E7" i="7"/>
  <c r="L7" i="7" s="1"/>
  <c r="E151" i="7"/>
  <c r="L151" i="7" s="1"/>
  <c r="L21" i="7"/>
  <c r="L272" i="7"/>
  <c r="L152" i="7"/>
  <c r="L44" i="7"/>
  <c r="L43" i="7"/>
  <c r="E19" i="7"/>
  <c r="L19" i="7" s="1"/>
  <c r="L169" i="7"/>
  <c r="E79" i="7"/>
  <c r="L79" i="7" s="1"/>
  <c r="L144" i="7"/>
  <c r="L207" i="7"/>
  <c r="L51" i="7"/>
  <c r="E22" i="7"/>
  <c r="L22" i="7" s="1"/>
  <c r="E10" i="7"/>
  <c r="L10" i="7" s="1"/>
  <c r="E46" i="7"/>
  <c r="L46" i="7" s="1"/>
  <c r="G172" i="7"/>
  <c r="I172" i="7" s="1"/>
  <c r="K172" i="7" s="1"/>
  <c r="G28" i="7"/>
  <c r="I28" i="7" s="1"/>
  <c r="J28" i="7" s="1"/>
  <c r="G14" i="7"/>
  <c r="I14" i="7" s="1"/>
  <c r="K14" i="7" s="1"/>
  <c r="E91" i="7"/>
  <c r="L91" i="7" s="1"/>
  <c r="F115" i="7"/>
  <c r="L115" i="7" s="1"/>
  <c r="E194" i="7"/>
  <c r="L194" i="7" s="1"/>
  <c r="E182" i="7"/>
  <c r="L182" i="7" s="1"/>
  <c r="F242" i="7"/>
  <c r="L242" i="7" s="1"/>
  <c r="E170" i="7"/>
  <c r="L170" i="7" s="1"/>
  <c r="F218" i="7"/>
  <c r="L218" i="7" s="1"/>
  <c r="F266" i="7"/>
  <c r="L266" i="7" s="1"/>
  <c r="E134" i="7"/>
  <c r="L134" i="7" s="1"/>
  <c r="E161" i="7"/>
  <c r="L161" i="7" s="1"/>
  <c r="E251" i="7"/>
  <c r="L251" i="7" s="1"/>
  <c r="E89" i="7"/>
  <c r="L89" i="7" s="1"/>
  <c r="F257" i="7"/>
  <c r="G257" i="7" s="1"/>
  <c r="I257" i="7" s="1"/>
  <c r="K257" i="7" s="1"/>
  <c r="G239" i="7"/>
  <c r="I239" i="7" s="1"/>
  <c r="J239" i="7" s="1"/>
  <c r="G248" i="7"/>
  <c r="I248" i="7" s="1"/>
  <c r="J248" i="7" s="1"/>
  <c r="F196" i="7"/>
  <c r="G196" i="7" s="1"/>
  <c r="I196" i="7" s="1"/>
  <c r="G63" i="7"/>
  <c r="I63" i="7" s="1"/>
  <c r="J63" i="7" s="1"/>
  <c r="G227" i="7"/>
  <c r="I227" i="7" s="1"/>
  <c r="J227" i="7" s="1"/>
  <c r="G214" i="7"/>
  <c r="I214" i="7" s="1"/>
  <c r="K214" i="7" s="1"/>
  <c r="G254" i="7"/>
  <c r="I254" i="7" s="1"/>
  <c r="K254" i="7" s="1"/>
  <c r="G32" i="7"/>
  <c r="I32" i="7" s="1"/>
  <c r="K32" i="7" s="1"/>
  <c r="G225" i="7"/>
  <c r="I225" i="7" s="1"/>
  <c r="J225" i="7" s="1"/>
  <c r="G12" i="7"/>
  <c r="I12" i="7" s="1"/>
  <c r="K12" i="7" s="1"/>
  <c r="F124" i="7"/>
  <c r="L124" i="7" s="1"/>
  <c r="G252" i="7"/>
  <c r="I252" i="7" s="1"/>
  <c r="J252" i="7" s="1"/>
  <c r="E96" i="7"/>
  <c r="L96" i="7" s="1"/>
  <c r="E100" i="7"/>
  <c r="L100" i="7" s="1"/>
  <c r="E141" i="7"/>
  <c r="L141" i="7" s="1"/>
  <c r="E213" i="7"/>
  <c r="L213" i="7" s="1"/>
  <c r="E278" i="7"/>
  <c r="L278" i="7" s="1"/>
  <c r="E220" i="7"/>
  <c r="L220" i="7" s="1"/>
  <c r="G58" i="7"/>
  <c r="I58" i="7" s="1"/>
  <c r="K58" i="7" s="1"/>
  <c r="G80" i="7"/>
  <c r="I80" i="7" s="1"/>
  <c r="J80" i="7" s="1"/>
  <c r="G217" i="7"/>
  <c r="I217" i="7" s="1"/>
  <c r="J217" i="7" s="1"/>
  <c r="G255" i="7"/>
  <c r="I255" i="7" s="1"/>
  <c r="J255" i="7" s="1"/>
  <c r="G56" i="7"/>
  <c r="I56" i="7" s="1"/>
  <c r="J56" i="7" s="1"/>
  <c r="G9" i="7"/>
  <c r="I9" i="7" s="1"/>
  <c r="K9" i="7" s="1"/>
  <c r="G33" i="7"/>
  <c r="I33" i="7" s="1"/>
  <c r="K33" i="7" s="1"/>
  <c r="G241" i="7"/>
  <c r="I241" i="7" s="1"/>
  <c r="J241" i="7" s="1"/>
  <c r="F41" i="7"/>
  <c r="L41" i="7" s="1"/>
  <c r="G49" i="7"/>
  <c r="I49" i="7" s="1"/>
  <c r="J49" i="7" s="1"/>
  <c r="E101" i="7"/>
  <c r="L101" i="7" s="1"/>
  <c r="F125" i="7"/>
  <c r="L125" i="7" s="1"/>
  <c r="E148" i="7"/>
  <c r="L148" i="7" s="1"/>
  <c r="F173" i="7"/>
  <c r="L173" i="7" s="1"/>
  <c r="F221" i="7"/>
  <c r="L221" i="7" s="1"/>
  <c r="E113" i="7"/>
  <c r="L113" i="7" s="1"/>
  <c r="E208" i="7"/>
  <c r="L208" i="7" s="1"/>
  <c r="E245" i="7"/>
  <c r="L245" i="7" s="1"/>
  <c r="E268" i="7"/>
  <c r="L268" i="7" s="1"/>
  <c r="E149" i="7"/>
  <c r="L149" i="7" s="1"/>
  <c r="E16" i="7"/>
  <c r="L16" i="7" s="1"/>
  <c r="E64" i="7"/>
  <c r="L64" i="7" s="1"/>
  <c r="G107" i="7"/>
  <c r="I107" i="7" s="1"/>
  <c r="J107" i="7" s="1"/>
  <c r="E209" i="7"/>
  <c r="L209" i="7" s="1"/>
  <c r="G23" i="7"/>
  <c r="I23" i="7" s="1"/>
  <c r="J23" i="7" s="1"/>
  <c r="E30" i="7"/>
  <c r="L30" i="7" s="1"/>
  <c r="E232" i="7"/>
  <c r="L232" i="7" s="1"/>
  <c r="E269" i="7"/>
  <c r="L269" i="7" s="1"/>
  <c r="E4" i="7"/>
  <c r="L4" i="7" s="1"/>
  <c r="E17" i="7"/>
  <c r="L17" i="7" s="1"/>
  <c r="E52" i="7"/>
  <c r="L52" i="7" s="1"/>
  <c r="E184" i="7"/>
  <c r="L184" i="7" s="1"/>
  <c r="E256" i="7"/>
  <c r="L256" i="7" s="1"/>
  <c r="E76" i="7"/>
  <c r="L76" i="7" s="1"/>
  <c r="E136" i="7"/>
  <c r="L136" i="7" s="1"/>
  <c r="E160" i="7"/>
  <c r="L160" i="7" s="1"/>
  <c r="E233" i="7"/>
  <c r="L233" i="7" s="1"/>
  <c r="E5" i="7"/>
  <c r="L5" i="7" s="1"/>
  <c r="F18" i="7"/>
  <c r="G18" i="7" s="1"/>
  <c r="I18" i="7" s="1"/>
  <c r="E53" i="7"/>
  <c r="L53" i="7" s="1"/>
  <c r="E88" i="7"/>
  <c r="L88" i="7" s="1"/>
  <c r="E185" i="7"/>
  <c r="L185" i="7" s="1"/>
  <c r="G60" i="7"/>
  <c r="I60" i="7" s="1"/>
  <c r="J60" i="7" s="1"/>
  <c r="G249" i="7"/>
  <c r="I249" i="7" s="1"/>
  <c r="J249" i="7" s="1"/>
  <c r="G82" i="7"/>
  <c r="I82" i="7" s="1"/>
  <c r="J82" i="7" s="1"/>
  <c r="G83" i="7"/>
  <c r="I83" i="7" s="1"/>
  <c r="J83" i="7" s="1"/>
  <c r="G179" i="7"/>
  <c r="I179" i="7" s="1"/>
  <c r="J179" i="7" s="1"/>
  <c r="G133" i="7"/>
  <c r="I133" i="7" s="1"/>
  <c r="K133" i="7" s="1"/>
  <c r="G197" i="7"/>
  <c r="I197" i="7" s="1"/>
  <c r="K197" i="7" s="1"/>
  <c r="G229" i="7"/>
  <c r="I229" i="7" s="1"/>
  <c r="J229" i="7" s="1"/>
  <c r="G243" i="7"/>
  <c r="I243" i="7" s="1"/>
  <c r="K243" i="7" s="1"/>
  <c r="G57" i="7"/>
  <c r="I57" i="7" s="1"/>
  <c r="K57" i="7" s="1"/>
  <c r="G13" i="7"/>
  <c r="I13" i="7" s="1"/>
  <c r="J13" i="7" s="1"/>
  <c r="G26" i="7"/>
  <c r="I26" i="7" s="1"/>
  <c r="K26" i="7" s="1"/>
  <c r="G167" i="7"/>
  <c r="I167" i="7" s="1"/>
  <c r="J167" i="7" s="1"/>
  <c r="G219" i="7"/>
  <c r="I219" i="7" s="1"/>
  <c r="K219" i="7" s="1"/>
  <c r="G263" i="7"/>
  <c r="I263" i="7" s="1"/>
  <c r="K263" i="7" s="1"/>
  <c r="G38" i="7"/>
  <c r="I38" i="7" s="1"/>
  <c r="K38" i="7" s="1"/>
  <c r="G67" i="7"/>
  <c r="I67" i="7" s="1"/>
  <c r="J67" i="7" s="1"/>
  <c r="G118" i="7"/>
  <c r="I118" i="7" s="1"/>
  <c r="K118" i="7" s="1"/>
  <c r="G190" i="7"/>
  <c r="I190" i="7" s="1"/>
  <c r="J190" i="7" s="1"/>
  <c r="G87" i="7"/>
  <c r="I87" i="7" s="1"/>
  <c r="K87" i="7" s="1"/>
  <c r="G260" i="7"/>
  <c r="I260" i="7" s="1"/>
  <c r="K260" i="7" s="1"/>
  <c r="G36" i="7"/>
  <c r="I36" i="7" s="1"/>
  <c r="K36" i="7" s="1"/>
  <c r="G261" i="7"/>
  <c r="I261" i="7" s="1"/>
  <c r="J261" i="7" s="1"/>
  <c r="G35" i="7"/>
  <c r="I35" i="7" s="1"/>
  <c r="K35" i="7" s="1"/>
  <c r="G94" i="7"/>
  <c r="I94" i="7" s="1"/>
  <c r="J94" i="7" s="1"/>
  <c r="G154" i="7"/>
  <c r="I154" i="7" s="1"/>
  <c r="J154" i="7" s="1"/>
  <c r="G193" i="7"/>
  <c r="I193" i="7" s="1"/>
  <c r="K193" i="7" s="1"/>
  <c r="G265" i="7"/>
  <c r="I265" i="7" s="1"/>
  <c r="K265" i="7" s="1"/>
  <c r="G129" i="7"/>
  <c r="I129" i="7" s="1"/>
  <c r="K129" i="7" s="1"/>
  <c r="G253" i="7"/>
  <c r="I253" i="7" s="1"/>
  <c r="K253" i="7" s="1"/>
  <c r="G262" i="7"/>
  <c r="I262" i="7" s="1"/>
  <c r="K262" i="7" s="1"/>
  <c r="G7" i="7"/>
  <c r="I7" i="7" s="1"/>
  <c r="J7" i="7" s="1"/>
  <c r="G105" i="7"/>
  <c r="I105" i="7" s="1"/>
  <c r="G110" i="7"/>
  <c r="I110" i="7" s="1"/>
  <c r="J110" i="7" s="1"/>
  <c r="G157" i="7"/>
  <c r="I157" i="7" s="1"/>
  <c r="K157" i="7" s="1"/>
  <c r="G180" i="7"/>
  <c r="I180" i="7" s="1"/>
  <c r="K180" i="7" s="1"/>
  <c r="G188" i="7"/>
  <c r="I188" i="7" s="1"/>
  <c r="J188" i="7" s="1"/>
  <c r="G138" i="7"/>
  <c r="I138" i="7" s="1"/>
  <c r="J138" i="7" s="1"/>
  <c r="F66" i="7"/>
  <c r="L66" i="7" s="1"/>
  <c r="F90" i="7"/>
  <c r="L90" i="7" s="1"/>
  <c r="F175" i="7"/>
  <c r="G175" i="7" s="1"/>
  <c r="I175" i="7" s="1"/>
  <c r="K175" i="7" s="1"/>
  <c r="E211" i="7"/>
  <c r="L211" i="7" s="1"/>
  <c r="E235" i="7"/>
  <c r="L235" i="7" s="1"/>
  <c r="G61" i="7"/>
  <c r="I61" i="7" s="1"/>
  <c r="J61" i="7" s="1"/>
  <c r="G72" i="7"/>
  <c r="I72" i="7" s="1"/>
  <c r="J72" i="7" s="1"/>
  <c r="E114" i="7"/>
  <c r="L114" i="7" s="1"/>
  <c r="G206" i="7"/>
  <c r="I206" i="7" s="1"/>
  <c r="J206" i="7" s="1"/>
  <c r="E102" i="7"/>
  <c r="L102" i="7" s="1"/>
  <c r="G165" i="7"/>
  <c r="I165" i="7" s="1"/>
  <c r="J165" i="7" s="1"/>
  <c r="G192" i="7"/>
  <c r="I192" i="7" s="1"/>
  <c r="J192" i="7" s="1"/>
  <c r="E198" i="7"/>
  <c r="L198" i="7" s="1"/>
  <c r="E222" i="7"/>
  <c r="F246" i="7"/>
  <c r="G246" i="7" s="1"/>
  <c r="I246" i="7" s="1"/>
  <c r="E54" i="7"/>
  <c r="G77" i="7"/>
  <c r="I77" i="7" s="1"/>
  <c r="J77" i="7" s="1"/>
  <c r="G81" i="7"/>
  <c r="I81" i="7" s="1"/>
  <c r="K81" i="7" s="1"/>
  <c r="E150" i="7"/>
  <c r="L150" i="7" s="1"/>
  <c r="G176" i="7"/>
  <c r="I176" i="7" s="1"/>
  <c r="K176" i="7" s="1"/>
  <c r="E186" i="7"/>
  <c r="L186" i="7" s="1"/>
  <c r="F222" i="7"/>
  <c r="G226" i="7"/>
  <c r="I226" i="7" s="1"/>
  <c r="J226" i="7" s="1"/>
  <c r="G236" i="7"/>
  <c r="I236" i="7" s="1"/>
  <c r="K236" i="7" s="1"/>
  <c r="G240" i="7"/>
  <c r="I240" i="7" s="1"/>
  <c r="K240" i="7" s="1"/>
  <c r="E258" i="7"/>
  <c r="L258" i="7" s="1"/>
  <c r="G40" i="7"/>
  <c r="I40" i="7" s="1"/>
  <c r="K40" i="7" s="1"/>
  <c r="F54" i="7"/>
  <c r="E199" i="7"/>
  <c r="E247" i="7"/>
  <c r="G264" i="7"/>
  <c r="I264" i="7" s="1"/>
  <c r="J264" i="7" s="1"/>
  <c r="G267" i="7"/>
  <c r="I267" i="7" s="1"/>
  <c r="J267" i="7" s="1"/>
  <c r="E270" i="7"/>
  <c r="L270" i="7" s="1"/>
  <c r="G45" i="7"/>
  <c r="I45" i="7" s="1"/>
  <c r="J45" i="7" s="1"/>
  <c r="G73" i="7"/>
  <c r="I73" i="7" s="1"/>
  <c r="K73" i="7" s="1"/>
  <c r="E78" i="7"/>
  <c r="L78" i="7" s="1"/>
  <c r="G111" i="7"/>
  <c r="I111" i="7" s="1"/>
  <c r="K111" i="7" s="1"/>
  <c r="G155" i="7"/>
  <c r="I155" i="7" s="1"/>
  <c r="K155" i="7" s="1"/>
  <c r="F199" i="7"/>
  <c r="G204" i="7"/>
  <c r="I204" i="7" s="1"/>
  <c r="K204" i="7" s="1"/>
  <c r="F247" i="7"/>
  <c r="E126" i="7"/>
  <c r="L126" i="7" s="1"/>
  <c r="E162" i="7"/>
  <c r="L162" i="7" s="1"/>
  <c r="E223" i="7"/>
  <c r="L223" i="7" s="1"/>
  <c r="G250" i="7"/>
  <c r="I250" i="7" s="1"/>
  <c r="K250" i="7" s="1"/>
  <c r="G39" i="7"/>
  <c r="I39" i="7" s="1"/>
  <c r="K39" i="7" s="1"/>
  <c r="E6" i="7"/>
  <c r="L6" i="7" s="1"/>
  <c r="G79" i="7"/>
  <c r="I79" i="7" s="1"/>
  <c r="K79" i="7" s="1"/>
  <c r="G86" i="7"/>
  <c r="I86" i="7" s="1"/>
  <c r="G97" i="7"/>
  <c r="I97" i="7" s="1"/>
  <c r="K97" i="7" s="1"/>
  <c r="E210" i="7"/>
  <c r="E259" i="7"/>
  <c r="E271" i="7"/>
  <c r="E42" i="7"/>
  <c r="L42" i="7" s="1"/>
  <c r="G50" i="7"/>
  <c r="I50" i="7" s="1"/>
  <c r="J50" i="7" s="1"/>
  <c r="G70" i="7"/>
  <c r="I70" i="7" s="1"/>
  <c r="K70" i="7" s="1"/>
  <c r="G74" i="7"/>
  <c r="I74" i="7" s="1"/>
  <c r="K74" i="7" s="1"/>
  <c r="G147" i="7"/>
  <c r="I147" i="7" s="1"/>
  <c r="E163" i="7"/>
  <c r="L163" i="7" s="1"/>
  <c r="E174" i="7"/>
  <c r="L174" i="7" s="1"/>
  <c r="F210" i="7"/>
  <c r="F259" i="7"/>
  <c r="F271" i="7"/>
  <c r="G275" i="7"/>
  <c r="I275" i="7" s="1"/>
  <c r="K275" i="7" s="1"/>
  <c r="G132" i="7"/>
  <c r="I132" i="7" s="1"/>
  <c r="K132" i="7" s="1"/>
  <c r="G200" i="7"/>
  <c r="I200" i="7" s="1"/>
  <c r="K200" i="7" s="1"/>
  <c r="G205" i="7"/>
  <c r="I205" i="7" s="1"/>
  <c r="J205" i="7" s="1"/>
  <c r="G215" i="7"/>
  <c r="I215" i="7" s="1"/>
  <c r="K215" i="7" s="1"/>
  <c r="G117" i="7"/>
  <c r="I117" i="7" s="1"/>
  <c r="J117" i="7" s="1"/>
  <c r="G128" i="7"/>
  <c r="I128" i="7" s="1"/>
  <c r="J128" i="7" s="1"/>
  <c r="G201" i="7"/>
  <c r="I201" i="7" s="1"/>
  <c r="K201" i="7" s="1"/>
  <c r="K43" i="7"/>
  <c r="J43" i="7"/>
  <c r="K120" i="7"/>
  <c r="J120" i="7"/>
  <c r="K34" i="7"/>
  <c r="J34" i="7"/>
  <c r="J44" i="7"/>
  <c r="K44" i="7"/>
  <c r="J21" i="7"/>
  <c r="K21" i="7"/>
  <c r="K65" i="7"/>
  <c r="J65" i="7"/>
  <c r="K51" i="7"/>
  <c r="J51" i="7"/>
  <c r="K207" i="7"/>
  <c r="J207" i="7"/>
  <c r="G238" i="7"/>
  <c r="I238" i="7" s="1"/>
  <c r="K272" i="7"/>
  <c r="J272" i="7"/>
  <c r="G11" i="7"/>
  <c r="I11" i="7" s="1"/>
  <c r="G37" i="7"/>
  <c r="I37" i="7" s="1"/>
  <c r="G69" i="7"/>
  <c r="I69" i="7" s="1"/>
  <c r="G92" i="7"/>
  <c r="I92" i="7" s="1"/>
  <c r="G103" i="7"/>
  <c r="I103" i="7" s="1"/>
  <c r="G127" i="7"/>
  <c r="I127" i="7" s="1"/>
  <c r="G153" i="7"/>
  <c r="I153" i="7" s="1"/>
  <c r="K169" i="7"/>
  <c r="J169" i="7"/>
  <c r="G203" i="7"/>
  <c r="I203" i="7" s="1"/>
  <c r="G212" i="7"/>
  <c r="I212" i="7" s="1"/>
  <c r="G181" i="7"/>
  <c r="I181" i="7" s="1"/>
  <c r="G277" i="7"/>
  <c r="I277" i="7" s="1"/>
  <c r="G55" i="7"/>
  <c r="I55" i="7" s="1"/>
  <c r="G62" i="7"/>
  <c r="I62" i="7" s="1"/>
  <c r="G71" i="7"/>
  <c r="I71" i="7" s="1"/>
  <c r="G84" i="7"/>
  <c r="I84" i="7" s="1"/>
  <c r="G121" i="7"/>
  <c r="I121" i="7" s="1"/>
  <c r="G146" i="7"/>
  <c r="I146" i="7" s="1"/>
  <c r="G25" i="7"/>
  <c r="I25" i="7" s="1"/>
  <c r="G8" i="7"/>
  <c r="I8" i="7" s="1"/>
  <c r="G20" i="7"/>
  <c r="I20" i="7" s="1"/>
  <c r="G27" i="7"/>
  <c r="I27" i="7" s="1"/>
  <c r="G29" i="7"/>
  <c r="I29" i="7" s="1"/>
  <c r="G106" i="7"/>
  <c r="I106" i="7" s="1"/>
  <c r="G112" i="7"/>
  <c r="I112" i="7" s="1"/>
  <c r="G178" i="7"/>
  <c r="I178" i="7" s="1"/>
  <c r="G274" i="7"/>
  <c r="I274" i="7" s="1"/>
  <c r="G48" i="7"/>
  <c r="I48" i="7" s="1"/>
  <c r="G15" i="7"/>
  <c r="I15" i="7" s="1"/>
  <c r="G93" i="7"/>
  <c r="I93" i="7" s="1"/>
  <c r="G104" i="7"/>
  <c r="I104" i="7" s="1"/>
  <c r="G122" i="7"/>
  <c r="I122" i="7" s="1"/>
  <c r="K142" i="7"/>
  <c r="J142" i="7"/>
  <c r="K158" i="7"/>
  <c r="J158" i="7"/>
  <c r="G231" i="7"/>
  <c r="I231" i="7" s="1"/>
  <c r="G3" i="7"/>
  <c r="I3" i="7" s="1"/>
  <c r="G85" i="7"/>
  <c r="I85" i="7" s="1"/>
  <c r="G116" i="7"/>
  <c r="I116" i="7" s="1"/>
  <c r="G143" i="7"/>
  <c r="I143" i="7" s="1"/>
  <c r="G159" i="7"/>
  <c r="I159" i="7" s="1"/>
  <c r="G171" i="7"/>
  <c r="I171" i="7" s="1"/>
  <c r="G109" i="7"/>
  <c r="I109" i="7" s="1"/>
  <c r="G24" i="7"/>
  <c r="I24" i="7" s="1"/>
  <c r="G31" i="7"/>
  <c r="I31" i="7" s="1"/>
  <c r="G47" i="7"/>
  <c r="I47" i="7" s="1"/>
  <c r="G59" i="7"/>
  <c r="I59" i="7" s="1"/>
  <c r="G68" i="7"/>
  <c r="I68" i="7" s="1"/>
  <c r="G75" i="7"/>
  <c r="I75" i="7" s="1"/>
  <c r="G99" i="7"/>
  <c r="I99" i="7" s="1"/>
  <c r="G119" i="7"/>
  <c r="I119" i="7" s="1"/>
  <c r="G131" i="7"/>
  <c r="I131" i="7" s="1"/>
  <c r="G135" i="7"/>
  <c r="I135" i="7" s="1"/>
  <c r="G183" i="7"/>
  <c r="I183" i="7" s="1"/>
  <c r="G123" i="7"/>
  <c r="I123" i="7" s="1"/>
  <c r="G108" i="7"/>
  <c r="I108" i="7" s="1"/>
  <c r="K144" i="7"/>
  <c r="J144" i="7"/>
  <c r="G224" i="7"/>
  <c r="I224" i="7" s="1"/>
  <c r="G140" i="7"/>
  <c r="I140" i="7" s="1"/>
  <c r="J152" i="7"/>
  <c r="G156" i="7"/>
  <c r="I156" i="7" s="1"/>
  <c r="G164" i="7"/>
  <c r="I164" i="7" s="1"/>
  <c r="G95" i="7"/>
  <c r="I95" i="7" s="1"/>
  <c r="G98" i="7"/>
  <c r="I98" i="7" s="1"/>
  <c r="G130" i="7"/>
  <c r="I130" i="7" s="1"/>
  <c r="G137" i="7"/>
  <c r="I137" i="7" s="1"/>
  <c r="G139" i="7"/>
  <c r="I139" i="7" s="1"/>
  <c r="G187" i="7"/>
  <c r="I187" i="7" s="1"/>
  <c r="G189" i="7"/>
  <c r="I189" i="7" s="1"/>
  <c r="G191" i="7"/>
  <c r="I191" i="7" s="1"/>
  <c r="G228" i="7"/>
  <c r="I228" i="7" s="1"/>
  <c r="G166" i="7"/>
  <c r="I166" i="7" s="1"/>
  <c r="G168" i="7"/>
  <c r="I168" i="7" s="1"/>
  <c r="G195" i="7"/>
  <c r="I195" i="7" s="1"/>
  <c r="G202" i="7"/>
  <c r="I202" i="7" s="1"/>
  <c r="G216" i="7"/>
  <c r="I216" i="7" s="1"/>
  <c r="G273" i="7"/>
  <c r="I273" i="7" s="1"/>
  <c r="G276" i="7"/>
  <c r="I276" i="7" s="1"/>
  <c r="G279" i="7"/>
  <c r="I279" i="7" s="1"/>
  <c r="G145" i="7"/>
  <c r="I145" i="7" s="1"/>
  <c r="G177" i="7"/>
  <c r="I177" i="7" s="1"/>
  <c r="G230" i="7"/>
  <c r="I230" i="7" s="1"/>
  <c r="G237" i="7"/>
  <c r="I237" i="7" s="1"/>
  <c r="G244" i="7"/>
  <c r="I244" i="7" s="1"/>
  <c r="L352" i="3" l="1"/>
  <c r="L315" i="3"/>
  <c r="L314" i="3"/>
  <c r="L536" i="3"/>
  <c r="L351" i="3"/>
  <c r="L535" i="3"/>
  <c r="L259" i="7"/>
  <c r="L247" i="7"/>
  <c r="L210" i="7"/>
  <c r="L196" i="7"/>
  <c r="G151" i="7"/>
  <c r="I151" i="7" s="1"/>
  <c r="J234" i="7"/>
  <c r="L222" i="7"/>
  <c r="L54" i="7"/>
  <c r="L246" i="7"/>
  <c r="L257" i="7"/>
  <c r="G19" i="7"/>
  <c r="I19" i="7" s="1"/>
  <c r="J19" i="7" s="1"/>
  <c r="L18" i="7"/>
  <c r="L175" i="7"/>
  <c r="L271" i="7"/>
  <c r="L199" i="7"/>
  <c r="G10" i="7"/>
  <c r="I10" i="7" s="1"/>
  <c r="K10" i="7" s="1"/>
  <c r="G22" i="7"/>
  <c r="I22" i="7" s="1"/>
  <c r="J22" i="7" s="1"/>
  <c r="G46" i="7"/>
  <c r="I46" i="7" s="1"/>
  <c r="J46" i="7" s="1"/>
  <c r="K248" i="7"/>
  <c r="G194" i="7"/>
  <c r="I194" i="7" s="1"/>
  <c r="K194" i="7" s="1"/>
  <c r="K138" i="7"/>
  <c r="K83" i="7"/>
  <c r="G251" i="7"/>
  <c r="I251" i="7" s="1"/>
  <c r="K251" i="7" s="1"/>
  <c r="J58" i="7"/>
  <c r="J14" i="7"/>
  <c r="G115" i="7"/>
  <c r="I115" i="7" s="1"/>
  <c r="K115" i="7" s="1"/>
  <c r="K227" i="7"/>
  <c r="G242" i="7"/>
  <c r="I242" i="7" s="1"/>
  <c r="K242" i="7" s="1"/>
  <c r="K28" i="7"/>
  <c r="J254" i="7"/>
  <c r="K63" i="7"/>
  <c r="G266" i="7"/>
  <c r="I266" i="7" s="1"/>
  <c r="J266" i="7" s="1"/>
  <c r="J172" i="7"/>
  <c r="G125" i="7"/>
  <c r="I125" i="7" s="1"/>
  <c r="K125" i="7" s="1"/>
  <c r="G221" i="7"/>
  <c r="I221" i="7" s="1"/>
  <c r="J221" i="7" s="1"/>
  <c r="K7" i="7"/>
  <c r="G89" i="7"/>
  <c r="I89" i="7" s="1"/>
  <c r="K89" i="7" s="1"/>
  <c r="G126" i="7"/>
  <c r="I126" i="7" s="1"/>
  <c r="J126" i="7" s="1"/>
  <c r="G185" i="7"/>
  <c r="I185" i="7" s="1"/>
  <c r="K185" i="7" s="1"/>
  <c r="G96" i="7"/>
  <c r="I96" i="7" s="1"/>
  <c r="K96" i="7" s="1"/>
  <c r="K60" i="7"/>
  <c r="G208" i="7"/>
  <c r="I208" i="7" s="1"/>
  <c r="K208" i="7" s="1"/>
  <c r="G174" i="7"/>
  <c r="I174" i="7" s="1"/>
  <c r="K174" i="7" s="1"/>
  <c r="G258" i="7"/>
  <c r="I258" i="7" s="1"/>
  <c r="J258" i="7" s="1"/>
  <c r="G5" i="7"/>
  <c r="I5" i="7" s="1"/>
  <c r="K5" i="7" s="1"/>
  <c r="G163" i="7"/>
  <c r="I163" i="7" s="1"/>
  <c r="J163" i="7" s="1"/>
  <c r="G160" i="7"/>
  <c r="I160" i="7" s="1"/>
  <c r="J160" i="7" s="1"/>
  <c r="G268" i="7"/>
  <c r="I268" i="7" s="1"/>
  <c r="K268" i="7" s="1"/>
  <c r="G220" i="7"/>
  <c r="I220" i="7" s="1"/>
  <c r="K220" i="7" s="1"/>
  <c r="G64" i="7"/>
  <c r="I64" i="7" s="1"/>
  <c r="K64" i="7" s="1"/>
  <c r="G91" i="7"/>
  <c r="I91" i="7" s="1"/>
  <c r="K91" i="7" s="1"/>
  <c r="G218" i="7"/>
  <c r="I218" i="7" s="1"/>
  <c r="K218" i="7" s="1"/>
  <c r="J26" i="7"/>
  <c r="G270" i="7"/>
  <c r="I270" i="7" s="1"/>
  <c r="J270" i="7" s="1"/>
  <c r="G16" i="7"/>
  <c r="I16" i="7" s="1"/>
  <c r="K16" i="7" s="1"/>
  <c r="G213" i="7"/>
  <c r="I213" i="7" s="1"/>
  <c r="J213" i="7" s="1"/>
  <c r="G170" i="7"/>
  <c r="I170" i="7" s="1"/>
  <c r="K170" i="7" s="1"/>
  <c r="G162" i="7"/>
  <c r="I162" i="7" s="1"/>
  <c r="K162" i="7" s="1"/>
  <c r="G124" i="7"/>
  <c r="I124" i="7" s="1"/>
  <c r="K124" i="7" s="1"/>
  <c r="G141" i="7"/>
  <c r="I141" i="7" s="1"/>
  <c r="K141" i="7" s="1"/>
  <c r="K13" i="7"/>
  <c r="G134" i="7"/>
  <c r="I134" i="7" s="1"/>
  <c r="K134" i="7" s="1"/>
  <c r="G182" i="7"/>
  <c r="I182" i="7" s="1"/>
  <c r="K182" i="7" s="1"/>
  <c r="G30" i="7"/>
  <c r="I30" i="7" s="1"/>
  <c r="J30" i="7" s="1"/>
  <c r="K252" i="7"/>
  <c r="G161" i="7"/>
  <c r="I161" i="7" s="1"/>
  <c r="K161" i="7" s="1"/>
  <c r="K239" i="7"/>
  <c r="K241" i="7"/>
  <c r="J32" i="7"/>
  <c r="K217" i="7"/>
  <c r="G100" i="7"/>
  <c r="I100" i="7" s="1"/>
  <c r="K100" i="7" s="1"/>
  <c r="J35" i="7"/>
  <c r="J214" i="7"/>
  <c r="G4" i="7"/>
  <c r="I4" i="7" s="1"/>
  <c r="K4" i="7" s="1"/>
  <c r="K80" i="7"/>
  <c r="J243" i="7"/>
  <c r="G245" i="7"/>
  <c r="I245" i="7" s="1"/>
  <c r="J245" i="7" s="1"/>
  <c r="K82" i="7"/>
  <c r="K225" i="7"/>
  <c r="G53" i="7"/>
  <c r="I53" i="7" s="1"/>
  <c r="J53" i="7" s="1"/>
  <c r="G235" i="7"/>
  <c r="I235" i="7" s="1"/>
  <c r="K235" i="7" s="1"/>
  <c r="G41" i="7"/>
  <c r="I41" i="7" s="1"/>
  <c r="K41" i="7" s="1"/>
  <c r="K49" i="7"/>
  <c r="K229" i="7"/>
  <c r="G149" i="7"/>
  <c r="I149" i="7" s="1"/>
  <c r="K149" i="7" s="1"/>
  <c r="J12" i="7"/>
  <c r="K45" i="7"/>
  <c r="J193" i="7"/>
  <c r="G148" i="7"/>
  <c r="I148" i="7" s="1"/>
  <c r="J148" i="7" s="1"/>
  <c r="K110" i="7"/>
  <c r="K192" i="7"/>
  <c r="K77" i="7"/>
  <c r="K255" i="7"/>
  <c r="G232" i="7"/>
  <c r="I232" i="7" s="1"/>
  <c r="J263" i="7"/>
  <c r="J57" i="7"/>
  <c r="J9" i="7"/>
  <c r="G233" i="7"/>
  <c r="I233" i="7" s="1"/>
  <c r="J233" i="7" s="1"/>
  <c r="J38" i="7"/>
  <c r="J33" i="7"/>
  <c r="J129" i="7"/>
  <c r="K67" i="7"/>
  <c r="K154" i="7"/>
  <c r="K18" i="7"/>
  <c r="J18" i="7"/>
  <c r="J175" i="7"/>
  <c r="G278" i="7"/>
  <c r="I278" i="7" s="1"/>
  <c r="J236" i="7"/>
  <c r="K72" i="7"/>
  <c r="K23" i="7"/>
  <c r="G256" i="7"/>
  <c r="I256" i="7" s="1"/>
  <c r="J256" i="7" s="1"/>
  <c r="G52" i="7"/>
  <c r="I52" i="7" s="1"/>
  <c r="J52" i="7" s="1"/>
  <c r="K56" i="7"/>
  <c r="G184" i="7"/>
  <c r="I184" i="7" s="1"/>
  <c r="K184" i="7" s="1"/>
  <c r="K249" i="7"/>
  <c r="J111" i="7"/>
  <c r="J176" i="7"/>
  <c r="K179" i="7"/>
  <c r="J39" i="7"/>
  <c r="J73" i="7"/>
  <c r="K226" i="7"/>
  <c r="J197" i="7"/>
  <c r="G101" i="7"/>
  <c r="I101" i="7" s="1"/>
  <c r="J101" i="7" s="1"/>
  <c r="K107" i="7"/>
  <c r="J253" i="7"/>
  <c r="J74" i="7"/>
  <c r="J250" i="7"/>
  <c r="J87" i="7"/>
  <c r="G269" i="7"/>
  <c r="I269" i="7" s="1"/>
  <c r="K269" i="7" s="1"/>
  <c r="J257" i="7"/>
  <c r="J81" i="7"/>
  <c r="K190" i="7"/>
  <c r="G88" i="7"/>
  <c r="I88" i="7" s="1"/>
  <c r="J88" i="7" s="1"/>
  <c r="J133" i="7"/>
  <c r="G211" i="7"/>
  <c r="I211" i="7" s="1"/>
  <c r="K211" i="7" s="1"/>
  <c r="K261" i="7"/>
  <c r="G17" i="7"/>
  <c r="I17" i="7" s="1"/>
  <c r="K17" i="7" s="1"/>
  <c r="G173" i="7"/>
  <c r="I173" i="7" s="1"/>
  <c r="G209" i="7"/>
  <c r="I209" i="7" s="1"/>
  <c r="K209" i="7" s="1"/>
  <c r="K267" i="7"/>
  <c r="J275" i="7"/>
  <c r="G136" i="7"/>
  <c r="I136" i="7" s="1"/>
  <c r="J136" i="7" s="1"/>
  <c r="K264" i="7"/>
  <c r="J157" i="7"/>
  <c r="G76" i="7"/>
  <c r="I76" i="7" s="1"/>
  <c r="K76" i="7" s="1"/>
  <c r="G113" i="7"/>
  <c r="I113" i="7" s="1"/>
  <c r="G198" i="7"/>
  <c r="I198" i="7" s="1"/>
  <c r="J198" i="7" s="1"/>
  <c r="J260" i="7"/>
  <c r="J40" i="7"/>
  <c r="G223" i="7"/>
  <c r="I223" i="7" s="1"/>
  <c r="K223" i="7" s="1"/>
  <c r="K128" i="7"/>
  <c r="J219" i="7"/>
  <c r="J36" i="7"/>
  <c r="J204" i="7"/>
  <c r="K61" i="7"/>
  <c r="J118" i="7"/>
  <c r="J79" i="7"/>
  <c r="G210" i="7"/>
  <c r="I210" i="7" s="1"/>
  <c r="J210" i="7" s="1"/>
  <c r="J265" i="7"/>
  <c r="G66" i="7"/>
  <c r="I66" i="7" s="1"/>
  <c r="K66" i="7" s="1"/>
  <c r="K167" i="7"/>
  <c r="J215" i="7"/>
  <c r="K205" i="7"/>
  <c r="J262" i="7"/>
  <c r="K165" i="7"/>
  <c r="G78" i="7"/>
  <c r="I78" i="7" s="1"/>
  <c r="K78" i="7" s="1"/>
  <c r="K50" i="7"/>
  <c r="K188" i="7"/>
  <c r="J200" i="7"/>
  <c r="K94" i="7"/>
  <c r="J155" i="7"/>
  <c r="J240" i="7"/>
  <c r="J180" i="7"/>
  <c r="K206" i="7"/>
  <c r="J246" i="7"/>
  <c r="K246" i="7"/>
  <c r="J132" i="7"/>
  <c r="J70" i="7"/>
  <c r="J86" i="7"/>
  <c r="K86" i="7"/>
  <c r="G90" i="7"/>
  <c r="I90" i="7" s="1"/>
  <c r="G42" i="7"/>
  <c r="I42" i="7" s="1"/>
  <c r="G6" i="7"/>
  <c r="I6" i="7" s="1"/>
  <c r="G222" i="7"/>
  <c r="I222" i="7" s="1"/>
  <c r="K117" i="7"/>
  <c r="G54" i="7"/>
  <c r="I54" i="7" s="1"/>
  <c r="G186" i="7"/>
  <c r="I186" i="7" s="1"/>
  <c r="G271" i="7"/>
  <c r="I271" i="7" s="1"/>
  <c r="G150" i="7"/>
  <c r="I150" i="7" s="1"/>
  <c r="K150" i="7" s="1"/>
  <c r="G259" i="7"/>
  <c r="I259" i="7" s="1"/>
  <c r="G247" i="7"/>
  <c r="I247" i="7" s="1"/>
  <c r="J201" i="7"/>
  <c r="J147" i="7"/>
  <c r="K147" i="7"/>
  <c r="G102" i="7"/>
  <c r="I102" i="7" s="1"/>
  <c r="G114" i="7"/>
  <c r="I114" i="7" s="1"/>
  <c r="J97" i="7"/>
  <c r="G199" i="7"/>
  <c r="I199" i="7" s="1"/>
  <c r="K274" i="7"/>
  <c r="J274" i="7"/>
  <c r="K103" i="7"/>
  <c r="J103" i="7"/>
  <c r="K189" i="7"/>
  <c r="J189" i="7"/>
  <c r="K108" i="7"/>
  <c r="J108" i="7"/>
  <c r="K99" i="7"/>
  <c r="J99" i="7"/>
  <c r="K231" i="7"/>
  <c r="J231" i="7"/>
  <c r="K104" i="7"/>
  <c r="J104" i="7"/>
  <c r="K146" i="7"/>
  <c r="J146" i="7"/>
  <c r="K62" i="7"/>
  <c r="J62" i="7"/>
  <c r="K126" i="7"/>
  <c r="J123" i="7"/>
  <c r="K123" i="7"/>
  <c r="K106" i="7"/>
  <c r="J106" i="7"/>
  <c r="K171" i="7"/>
  <c r="J171" i="7"/>
  <c r="K279" i="7"/>
  <c r="J279" i="7"/>
  <c r="K75" i="7"/>
  <c r="J75" i="7"/>
  <c r="J143" i="7"/>
  <c r="K143" i="7"/>
  <c r="K29" i="7"/>
  <c r="J29" i="7"/>
  <c r="K277" i="7"/>
  <c r="J277" i="7"/>
  <c r="K92" i="7"/>
  <c r="J92" i="7"/>
  <c r="J166" i="7"/>
  <c r="K166" i="7"/>
  <c r="K145" i="7"/>
  <c r="J145" i="7"/>
  <c r="K196" i="7"/>
  <c r="J196" i="7"/>
  <c r="K140" i="7"/>
  <c r="J140" i="7"/>
  <c r="J183" i="7"/>
  <c r="K183" i="7"/>
  <c r="K68" i="7"/>
  <c r="J68" i="7"/>
  <c r="K3" i="7"/>
  <c r="J3" i="7"/>
  <c r="K93" i="7"/>
  <c r="J93" i="7"/>
  <c r="K27" i="7"/>
  <c r="J27" i="7"/>
  <c r="K25" i="7"/>
  <c r="J25" i="7"/>
  <c r="K156" i="7"/>
  <c r="J156" i="7"/>
  <c r="K139" i="7"/>
  <c r="J139" i="7"/>
  <c r="K273" i="7"/>
  <c r="J273" i="7"/>
  <c r="K137" i="7"/>
  <c r="J137" i="7"/>
  <c r="K105" i="7"/>
  <c r="J105" i="7"/>
  <c r="J151" i="7"/>
  <c r="K151" i="7"/>
  <c r="K59" i="7"/>
  <c r="J59" i="7"/>
  <c r="K116" i="7"/>
  <c r="J116" i="7"/>
  <c r="K20" i="7"/>
  <c r="J20" i="7"/>
  <c r="K121" i="7"/>
  <c r="J121" i="7"/>
  <c r="K238" i="7"/>
  <c r="J238" i="7"/>
  <c r="K119" i="7"/>
  <c r="J119" i="7"/>
  <c r="K71" i="7"/>
  <c r="J71" i="7"/>
  <c r="K228" i="7"/>
  <c r="J228" i="7"/>
  <c r="K276" i="7"/>
  <c r="J276" i="7"/>
  <c r="K244" i="7"/>
  <c r="J244" i="7"/>
  <c r="K130" i="7"/>
  <c r="J130" i="7"/>
  <c r="K47" i="7"/>
  <c r="J47" i="7"/>
  <c r="K178" i="7"/>
  <c r="J178" i="7"/>
  <c r="K8" i="7"/>
  <c r="J8" i="7"/>
  <c r="K212" i="7"/>
  <c r="J212" i="7"/>
  <c r="K153" i="7"/>
  <c r="J153" i="7"/>
  <c r="K69" i="7"/>
  <c r="J69" i="7"/>
  <c r="K191" i="7"/>
  <c r="J191" i="7"/>
  <c r="K11" i="7"/>
  <c r="J11" i="7"/>
  <c r="J159" i="7"/>
  <c r="K159" i="7"/>
  <c r="K55" i="7"/>
  <c r="J55" i="7"/>
  <c r="K216" i="7"/>
  <c r="J216" i="7"/>
  <c r="K135" i="7"/>
  <c r="J135" i="7"/>
  <c r="K31" i="7"/>
  <c r="J31" i="7"/>
  <c r="K15" i="7"/>
  <c r="J15" i="7"/>
  <c r="K230" i="7"/>
  <c r="J230" i="7"/>
  <c r="K131" i="7"/>
  <c r="J131" i="7"/>
  <c r="K24" i="7"/>
  <c r="J24" i="7"/>
  <c r="J85" i="7"/>
  <c r="K85" i="7"/>
  <c r="K48" i="7"/>
  <c r="J48" i="7"/>
  <c r="K181" i="7"/>
  <c r="J181" i="7"/>
  <c r="K203" i="7"/>
  <c r="J203" i="7"/>
  <c r="K112" i="7"/>
  <c r="J112" i="7"/>
  <c r="K237" i="7"/>
  <c r="J237" i="7"/>
  <c r="K98" i="7"/>
  <c r="J98" i="7"/>
  <c r="K195" i="7"/>
  <c r="J195" i="7"/>
  <c r="K95" i="7"/>
  <c r="J95" i="7"/>
  <c r="J164" i="7"/>
  <c r="K164" i="7"/>
  <c r="K84" i="7"/>
  <c r="J84" i="7"/>
  <c r="K37" i="7"/>
  <c r="J37" i="7"/>
  <c r="K177" i="7"/>
  <c r="J177" i="7"/>
  <c r="K187" i="7"/>
  <c r="J187" i="7"/>
  <c r="K202" i="7"/>
  <c r="J202" i="7"/>
  <c r="J168" i="7"/>
  <c r="K168" i="7"/>
  <c r="K224" i="7"/>
  <c r="J224" i="7"/>
  <c r="K109" i="7"/>
  <c r="J109" i="7"/>
  <c r="K122" i="7"/>
  <c r="J122" i="7"/>
  <c r="J127" i="7"/>
  <c r="K127" i="7"/>
  <c r="J10" i="7" l="1"/>
  <c r="K46" i="7"/>
  <c r="K19" i="7"/>
  <c r="K22" i="7"/>
  <c r="J115" i="7"/>
  <c r="J134" i="7"/>
  <c r="J242" i="7"/>
  <c r="J141" i="7"/>
  <c r="J194" i="7"/>
  <c r="J251" i="7"/>
  <c r="J89" i="7"/>
  <c r="J268" i="7"/>
  <c r="K270" i="7"/>
  <c r="K258" i="7"/>
  <c r="J182" i="7"/>
  <c r="J16" i="7"/>
  <c r="J125" i="7"/>
  <c r="J174" i="7"/>
  <c r="K266" i="7"/>
  <c r="K221" i="7"/>
  <c r="K213" i="7"/>
  <c r="J185" i="7"/>
  <c r="J100" i="7"/>
  <c r="J91" i="7"/>
  <c r="J170" i="7"/>
  <c r="J5" i="7"/>
  <c r="K163" i="7"/>
  <c r="J162" i="7"/>
  <c r="K30" i="7"/>
  <c r="J64" i="7"/>
  <c r="J78" i="7"/>
  <c r="J220" i="7"/>
  <c r="K160" i="7"/>
  <c r="J124" i="7"/>
  <c r="J208" i="7"/>
  <c r="J161" i="7"/>
  <c r="J96" i="7"/>
  <c r="J218" i="7"/>
  <c r="K245" i="7"/>
  <c r="J149" i="7"/>
  <c r="J4" i="7"/>
  <c r="K53" i="7"/>
  <c r="J41" i="7"/>
  <c r="J76" i="7"/>
  <c r="K52" i="7"/>
  <c r="J235" i="7"/>
  <c r="J211" i="7"/>
  <c r="K148" i="7"/>
  <c r="K233" i="7"/>
  <c r="J150" i="7"/>
  <c r="J232" i="7"/>
  <c r="K232" i="7"/>
  <c r="K101" i="7"/>
  <c r="J184" i="7"/>
  <c r="K256" i="7"/>
  <c r="K278" i="7"/>
  <c r="J278" i="7"/>
  <c r="K88" i="7"/>
  <c r="J269" i="7"/>
  <c r="K198" i="7"/>
  <c r="J66" i="7"/>
  <c r="J17" i="7"/>
  <c r="K136" i="7"/>
  <c r="K173" i="7"/>
  <c r="J173" i="7"/>
  <c r="K210" i="7"/>
  <c r="K113" i="7"/>
  <c r="J113" i="7"/>
  <c r="J209" i="7"/>
  <c r="J223" i="7"/>
  <c r="K102" i="7"/>
  <c r="J102" i="7"/>
  <c r="K54" i="7"/>
  <c r="J54" i="7"/>
  <c r="J186" i="7"/>
  <c r="K186" i="7"/>
  <c r="K222" i="7"/>
  <c r="J222" i="7"/>
  <c r="K114" i="7"/>
  <c r="J114" i="7"/>
  <c r="J199" i="7"/>
  <c r="K199" i="7"/>
  <c r="K247" i="7"/>
  <c r="J247" i="7"/>
  <c r="K6" i="7"/>
  <c r="J6" i="7"/>
  <c r="K259" i="7"/>
  <c r="J259" i="7"/>
  <c r="J42" i="7"/>
  <c r="K42" i="7"/>
  <c r="J90" i="7"/>
  <c r="K90" i="7"/>
  <c r="J271" i="7"/>
  <c r="K271" i="7"/>
  <c r="G9" i="3"/>
  <c r="H640" i="3"/>
  <c r="G640" i="3"/>
  <c r="H639" i="3"/>
  <c r="G639" i="3"/>
  <c r="G638" i="3"/>
  <c r="G637" i="3"/>
  <c r="H636" i="3"/>
  <c r="G636" i="3"/>
  <c r="G635" i="3"/>
  <c r="G634" i="3"/>
  <c r="I634" i="3" s="1"/>
  <c r="G633" i="3"/>
  <c r="I633" i="3" s="1"/>
  <c r="G632" i="3"/>
  <c r="G631" i="3"/>
  <c r="G220" i="3"/>
  <c r="G219" i="3"/>
  <c r="G218" i="3"/>
  <c r="G217" i="3"/>
  <c r="G216" i="3"/>
  <c r="G215" i="3"/>
  <c r="G214" i="3"/>
  <c r="G213" i="3"/>
  <c r="G212" i="3"/>
  <c r="G211" i="3"/>
  <c r="G210" i="3"/>
  <c r="G209" i="3"/>
  <c r="G208" i="3"/>
  <c r="G207" i="3"/>
  <c r="G206" i="3"/>
  <c r="G205" i="3"/>
  <c r="H201" i="3"/>
  <c r="H202" i="3"/>
  <c r="H203" i="3"/>
  <c r="H204" i="3"/>
  <c r="H205" i="3"/>
  <c r="H206" i="3"/>
  <c r="H207" i="3"/>
  <c r="H208" i="3"/>
  <c r="H209" i="3"/>
  <c r="H210" i="3"/>
  <c r="H211" i="3"/>
  <c r="H212" i="3"/>
  <c r="H213" i="3"/>
  <c r="H214" i="3"/>
  <c r="H215" i="3"/>
  <c r="H216" i="3"/>
  <c r="H217" i="3"/>
  <c r="H218" i="3"/>
  <c r="H219" i="3"/>
  <c r="H220" i="3"/>
  <c r="H631" i="3"/>
  <c r="H632" i="3"/>
  <c r="H635" i="3"/>
  <c r="H637" i="3"/>
  <c r="H638" i="3"/>
  <c r="G204" i="3"/>
  <c r="G203" i="3"/>
  <c r="G202" i="3"/>
  <c r="G201" i="3"/>
  <c r="H200" i="3"/>
  <c r="G200" i="3"/>
  <c r="I215" i="3" l="1"/>
  <c r="K215" i="3" s="1"/>
  <c r="I210" i="3"/>
  <c r="K210" i="3" s="1"/>
  <c r="I632" i="3"/>
  <c r="K632" i="3" s="1"/>
  <c r="L632" i="3" s="1"/>
  <c r="I204" i="3"/>
  <c r="K204" i="3" s="1"/>
  <c r="L204" i="3" s="1"/>
  <c r="I211" i="3"/>
  <c r="K211" i="3" s="1"/>
  <c r="K634" i="3"/>
  <c r="I639" i="3"/>
  <c r="K639" i="3" s="1"/>
  <c r="I631" i="3"/>
  <c r="K631" i="3" s="1"/>
  <c r="L631" i="3" s="1"/>
  <c r="I217" i="3"/>
  <c r="K217" i="3" s="1"/>
  <c r="L217" i="3" s="1"/>
  <c r="I637" i="3"/>
  <c r="K637" i="3" s="1"/>
  <c r="I218" i="3"/>
  <c r="K218" i="3" s="1"/>
  <c r="K633" i="3"/>
  <c r="L633" i="3" s="1"/>
  <c r="I200" i="3"/>
  <c r="K200" i="3" s="1"/>
  <c r="L200" i="3" s="1"/>
  <c r="I636" i="3"/>
  <c r="K636" i="3" s="1"/>
  <c r="I216" i="3"/>
  <c r="K216" i="3" s="1"/>
  <c r="I209" i="3"/>
  <c r="K209" i="3" s="1"/>
  <c r="L209" i="3" s="1"/>
  <c r="I201" i="3"/>
  <c r="K201" i="3" s="1"/>
  <c r="I213" i="3"/>
  <c r="K213" i="3" s="1"/>
  <c r="I635" i="3"/>
  <c r="K635" i="3" s="1"/>
  <c r="I212" i="3"/>
  <c r="K212" i="3" s="1"/>
  <c r="L212" i="3" s="1"/>
  <c r="I205" i="3"/>
  <c r="K205" i="3" s="1"/>
  <c r="I214" i="3"/>
  <c r="K214" i="3" s="1"/>
  <c r="L214" i="3" s="1"/>
  <c r="I638" i="3"/>
  <c r="K638" i="3" s="1"/>
  <c r="L638" i="3" s="1"/>
  <c r="I206" i="3"/>
  <c r="K206" i="3" s="1"/>
  <c r="I207" i="3"/>
  <c r="K207" i="3" s="1"/>
  <c r="L207" i="3" s="1"/>
  <c r="I219" i="3"/>
  <c r="K219" i="3" s="1"/>
  <c r="I208" i="3"/>
  <c r="K208" i="3" s="1"/>
  <c r="L208" i="3" s="1"/>
  <c r="I220" i="3"/>
  <c r="K220" i="3" s="1"/>
  <c r="L220" i="3" s="1"/>
  <c r="I640" i="3"/>
  <c r="K640" i="3" s="1"/>
  <c r="L640" i="3" s="1"/>
  <c r="I202" i="3"/>
  <c r="K202" i="3" s="1"/>
  <c r="L202" i="3" s="1"/>
  <c r="I203" i="3"/>
  <c r="K203" i="3" s="1"/>
  <c r="L203" i="3" s="1"/>
  <c r="L215" i="3" l="1"/>
  <c r="L210" i="3"/>
  <c r="L211" i="3"/>
  <c r="L634" i="3"/>
  <c r="L218" i="3"/>
  <c r="L637" i="3"/>
  <c r="L639" i="3"/>
  <c r="L636" i="3"/>
  <c r="L216" i="3"/>
  <c r="L213" i="3"/>
  <c r="L201" i="3"/>
  <c r="L635" i="3"/>
  <c r="L205" i="3"/>
  <c r="L206" i="3"/>
  <c r="L219" i="3"/>
  <c r="G310" i="3"/>
  <c r="G602" i="3"/>
  <c r="G603" i="3"/>
  <c r="H581" i="3"/>
  <c r="G262" i="3" l="1"/>
  <c r="G78" i="3"/>
  <c r="G263" i="3"/>
  <c r="G264" i="3"/>
  <c r="G184" i="3"/>
  <c r="G185" i="3"/>
  <c r="G358" i="3"/>
  <c r="G627" i="3"/>
  <c r="G186" i="3"/>
  <c r="G359" i="3"/>
  <c r="G360" i="3"/>
  <c r="G79" i="3"/>
  <c r="G361" i="3"/>
  <c r="G628" i="3"/>
  <c r="G187" i="3"/>
  <c r="G362" i="3"/>
  <c r="G363" i="3"/>
  <c r="G629" i="3"/>
  <c r="G573" i="3"/>
  <c r="G364" i="3"/>
  <c r="G365" i="3"/>
  <c r="G366" i="3"/>
  <c r="G574" i="3"/>
  <c r="G367" i="3"/>
  <c r="G188" i="3"/>
  <c r="G278" i="3"/>
  <c r="G368" i="3"/>
  <c r="G369" i="3"/>
  <c r="G370" i="3"/>
  <c r="G371" i="3"/>
  <c r="G189" i="3"/>
  <c r="G279" i="3"/>
  <c r="G265" i="3"/>
  <c r="G595" i="3"/>
  <c r="G556" i="3"/>
  <c r="G372" i="3"/>
  <c r="G373" i="3"/>
  <c r="G575" i="3"/>
  <c r="G374" i="3"/>
  <c r="G375" i="3"/>
  <c r="G376" i="3"/>
  <c r="G80" i="3"/>
  <c r="G377" i="3"/>
  <c r="G378" i="3"/>
  <c r="G379" i="3"/>
  <c r="G380" i="3"/>
  <c r="G381" i="3"/>
  <c r="G382" i="3"/>
  <c r="G383" i="3"/>
  <c r="G384" i="3"/>
  <c r="G385" i="3"/>
  <c r="G386" i="3"/>
  <c r="G387" i="3"/>
  <c r="G388" i="3"/>
  <c r="G389" i="3"/>
  <c r="G390" i="3"/>
  <c r="G266" i="3"/>
  <c r="G391" i="3"/>
  <c r="G392" i="3"/>
  <c r="G393" i="3"/>
  <c r="G394" i="3"/>
  <c r="G190" i="3"/>
  <c r="G191" i="3"/>
  <c r="G395" i="3"/>
  <c r="G192" i="3"/>
  <c r="G280" i="3"/>
  <c r="G281" i="3"/>
  <c r="G81" i="3"/>
  <c r="G396" i="3"/>
  <c r="G397" i="3"/>
  <c r="G398" i="3"/>
  <c r="G267" i="3"/>
  <c r="G268" i="3"/>
  <c r="G399" i="3"/>
  <c r="G400" i="3"/>
  <c r="G401" i="3"/>
  <c r="G402" i="3"/>
  <c r="G403" i="3"/>
  <c r="G404" i="3"/>
  <c r="G576" i="3"/>
  <c r="G577" i="3"/>
  <c r="G578" i="3"/>
  <c r="G579" i="3"/>
  <c r="G580" i="3"/>
  <c r="G581" i="3"/>
  <c r="G582" i="3"/>
  <c r="G583" i="3"/>
  <c r="G584" i="3"/>
  <c r="G585" i="3"/>
  <c r="G586" i="3"/>
  <c r="G269" i="3"/>
  <c r="G270" i="3"/>
  <c r="G596" i="3"/>
  <c r="G405" i="3"/>
  <c r="G597" i="3"/>
  <c r="G630" i="3"/>
  <c r="G406" i="3"/>
  <c r="G407" i="3"/>
  <c r="G408" i="3"/>
  <c r="G409" i="3"/>
  <c r="G410" i="3"/>
  <c r="G411" i="3"/>
  <c r="G412" i="3"/>
  <c r="G413" i="3"/>
  <c r="G193" i="3"/>
  <c r="G414" i="3"/>
  <c r="G415" i="3"/>
  <c r="G195" i="3"/>
  <c r="G416" i="3"/>
  <c r="G417" i="3"/>
  <c r="G418" i="3"/>
  <c r="G83" i="3"/>
  <c r="G196" i="3"/>
  <c r="G419" i="3"/>
  <c r="G420" i="3"/>
  <c r="G598" i="3"/>
  <c r="G599" i="3"/>
  <c r="G600" i="3"/>
  <c r="G84" i="3"/>
  <c r="G601" i="3"/>
  <c r="G421" i="3"/>
  <c r="G422" i="3"/>
  <c r="G423" i="3"/>
  <c r="G424" i="3"/>
  <c r="G425" i="3"/>
  <c r="G271" i="3"/>
  <c r="G272" i="3"/>
  <c r="G604" i="3"/>
  <c r="G426" i="3"/>
  <c r="G427" i="3"/>
  <c r="G86" i="3"/>
  <c r="G505" i="3"/>
  <c r="G506" i="3"/>
  <c r="G507" i="3"/>
  <c r="G508" i="3"/>
  <c r="G509" i="3"/>
  <c r="G587" i="3"/>
  <c r="G428" i="3"/>
  <c r="G429" i="3"/>
  <c r="G430" i="3"/>
  <c r="G431" i="3"/>
  <c r="G432" i="3"/>
  <c r="G433" i="3"/>
  <c r="G434" i="3"/>
  <c r="G435" i="3"/>
  <c r="G273" i="3"/>
  <c r="G87" i="3"/>
  <c r="G197" i="3"/>
  <c r="G436" i="3"/>
  <c r="G198" i="3"/>
  <c r="G437" i="3"/>
  <c r="G515" i="3"/>
  <c r="G516" i="3"/>
  <c r="G199" i="3"/>
  <c r="G301" i="3"/>
  <c r="G302" i="3"/>
  <c r="G438" i="3"/>
  <c r="G439" i="3"/>
  <c r="G440" i="3"/>
  <c r="G441" i="3"/>
  <c r="G442" i="3"/>
  <c r="G274" i="3"/>
  <c r="G275" i="3"/>
  <c r="G443" i="3"/>
  <c r="G605" i="3"/>
  <c r="G88" i="3"/>
  <c r="G444" i="3"/>
  <c r="G445" i="3"/>
  <c r="G446" i="3"/>
  <c r="G447" i="3"/>
  <c r="G606" i="3"/>
  <c r="G607" i="3"/>
  <c r="G608" i="3"/>
  <c r="G609" i="3"/>
  <c r="G610" i="3"/>
  <c r="G611" i="3"/>
  <c r="G518" i="3"/>
  <c r="G521" i="3"/>
  <c r="G523" i="3"/>
  <c r="G524" i="3"/>
  <c r="G527" i="3"/>
  <c r="G530" i="3"/>
  <c r="G531" i="3"/>
  <c r="G532" i="3"/>
  <c r="G533" i="3"/>
  <c r="G534" i="3"/>
  <c r="G510" i="3"/>
  <c r="G511" i="3"/>
  <c r="G512" i="3"/>
  <c r="G513" i="3"/>
  <c r="G514" i="3"/>
  <c r="G588" i="3"/>
  <c r="G276" i="3"/>
  <c r="G277" i="3"/>
  <c r="G303" i="3"/>
  <c r="G304" i="3"/>
  <c r="G305" i="3"/>
  <c r="G306" i="3"/>
  <c r="G307" i="3"/>
  <c r="G8" i="3"/>
  <c r="G308" i="3"/>
  <c r="G309" i="3"/>
  <c r="G342" i="3"/>
  <c r="G3" i="3"/>
  <c r="G311" i="3"/>
  <c r="G259" i="3"/>
  <c r="G260" i="3"/>
  <c r="G261" i="3"/>
  <c r="G356" i="3"/>
  <c r="G183" i="3"/>
  <c r="H260" i="3"/>
  <c r="H355" i="3"/>
  <c r="H356" i="3"/>
  <c r="H183" i="3"/>
  <c r="H262" i="3"/>
  <c r="H78" i="3"/>
  <c r="H263" i="3"/>
  <c r="H264" i="3"/>
  <c r="H184" i="3"/>
  <c r="H185" i="3"/>
  <c r="H358" i="3"/>
  <c r="H627" i="3"/>
  <c r="H186" i="3"/>
  <c r="H359" i="3"/>
  <c r="H360" i="3"/>
  <c r="H361" i="3"/>
  <c r="H628" i="3"/>
  <c r="H187" i="3"/>
  <c r="H362" i="3"/>
  <c r="H363" i="3"/>
  <c r="H364" i="3"/>
  <c r="H365" i="3"/>
  <c r="H366" i="3"/>
  <c r="H574" i="3"/>
  <c r="H188" i="3"/>
  <c r="H278" i="3"/>
  <c r="H368" i="3"/>
  <c r="H369" i="3"/>
  <c r="H189" i="3"/>
  <c r="H279" i="3"/>
  <c r="H556" i="3"/>
  <c r="H372" i="3"/>
  <c r="H373" i="3"/>
  <c r="H575" i="3"/>
  <c r="H374" i="3"/>
  <c r="H375" i="3"/>
  <c r="H80" i="3"/>
  <c r="H377" i="3"/>
  <c r="H378" i="3"/>
  <c r="H379" i="3"/>
  <c r="H380" i="3"/>
  <c r="H381" i="3"/>
  <c r="H382" i="3"/>
  <c r="H383" i="3"/>
  <c r="H384" i="3"/>
  <c r="H385" i="3"/>
  <c r="H386" i="3"/>
  <c r="H388" i="3"/>
  <c r="H266" i="3"/>
  <c r="H391" i="3"/>
  <c r="H392" i="3"/>
  <c r="H393" i="3"/>
  <c r="H394" i="3"/>
  <c r="H190" i="3"/>
  <c r="H191" i="3"/>
  <c r="H192" i="3"/>
  <c r="H280" i="3"/>
  <c r="H281" i="3"/>
  <c r="H81" i="3"/>
  <c r="H396" i="3"/>
  <c r="H397" i="3"/>
  <c r="H398" i="3"/>
  <c r="H267" i="3"/>
  <c r="H268" i="3"/>
  <c r="H399" i="3"/>
  <c r="H400" i="3"/>
  <c r="H401" i="3"/>
  <c r="H402" i="3"/>
  <c r="H403" i="3"/>
  <c r="H404" i="3"/>
  <c r="H577" i="3"/>
  <c r="H578" i="3"/>
  <c r="H579" i="3"/>
  <c r="H580" i="3"/>
  <c r="H582" i="3"/>
  <c r="H583" i="3"/>
  <c r="H269" i="3"/>
  <c r="H270" i="3"/>
  <c r="H596" i="3"/>
  <c r="H405" i="3"/>
  <c r="H597" i="3"/>
  <c r="H630" i="3"/>
  <c r="H82" i="3"/>
  <c r="H406" i="3"/>
  <c r="H407" i="3"/>
  <c r="H408" i="3"/>
  <c r="H409" i="3"/>
  <c r="H410" i="3"/>
  <c r="H412" i="3"/>
  <c r="H413" i="3"/>
  <c r="H193" i="3"/>
  <c r="H194" i="3"/>
  <c r="H414" i="3"/>
  <c r="H415" i="3"/>
  <c r="H195" i="3"/>
  <c r="H416" i="3"/>
  <c r="H417" i="3"/>
  <c r="H418" i="3"/>
  <c r="H83" i="3"/>
  <c r="H196" i="3"/>
  <c r="H419" i="3"/>
  <c r="H420" i="3"/>
  <c r="H84" i="3"/>
  <c r="H601" i="3"/>
  <c r="H422" i="3"/>
  <c r="H85" i="3"/>
  <c r="H423" i="3"/>
  <c r="H602" i="3"/>
  <c r="I602" i="3" s="1"/>
  <c r="H603" i="3"/>
  <c r="H424" i="3"/>
  <c r="H425" i="3"/>
  <c r="H272" i="3"/>
  <c r="H604" i="3"/>
  <c r="H426" i="3"/>
  <c r="H86" i="3"/>
  <c r="H507" i="3"/>
  <c r="H508" i="3"/>
  <c r="H509" i="3"/>
  <c r="H587" i="3"/>
  <c r="H428" i="3"/>
  <c r="H434" i="3"/>
  <c r="H273" i="3"/>
  <c r="H87" i="3"/>
  <c r="H197" i="3"/>
  <c r="H436" i="3"/>
  <c r="H198" i="3"/>
  <c r="H437" i="3"/>
  <c r="H515" i="3"/>
  <c r="H516" i="3"/>
  <c r="H199" i="3"/>
  <c r="H301" i="3"/>
  <c r="H302" i="3"/>
  <c r="H275" i="3"/>
  <c r="H443" i="3"/>
  <c r="H605" i="3"/>
  <c r="H444" i="3"/>
  <c r="H445" i="3"/>
  <c r="H446" i="3"/>
  <c r="H447" i="3"/>
  <c r="H606" i="3"/>
  <c r="H607" i="3"/>
  <c r="H608" i="3"/>
  <c r="H609" i="3"/>
  <c r="H517" i="3"/>
  <c r="H518" i="3"/>
  <c r="H519" i="3"/>
  <c r="H520" i="3"/>
  <c r="H521" i="3"/>
  <c r="H522" i="3"/>
  <c r="H523" i="3"/>
  <c r="H524" i="3"/>
  <c r="H525" i="3"/>
  <c r="H526" i="3"/>
  <c r="H527" i="3"/>
  <c r="H528" i="3"/>
  <c r="H529" i="3"/>
  <c r="H530" i="3"/>
  <c r="H531" i="3"/>
  <c r="H532" i="3"/>
  <c r="H533" i="3"/>
  <c r="H534" i="3"/>
  <c r="H510" i="3"/>
  <c r="H511" i="3"/>
  <c r="H513" i="3"/>
  <c r="H514" i="3"/>
  <c r="H588" i="3"/>
  <c r="H276" i="3"/>
  <c r="H277" i="3"/>
  <c r="H304" i="3"/>
  <c r="H306" i="3"/>
  <c r="H307" i="3"/>
  <c r="H8" i="3"/>
  <c r="H309" i="3"/>
  <c r="H342" i="3"/>
  <c r="H310" i="3"/>
  <c r="I310" i="3" s="1"/>
  <c r="H311" i="3"/>
  <c r="H9" i="3"/>
  <c r="H259" i="3"/>
  <c r="I266" i="3" l="1"/>
  <c r="K266" i="3" s="1"/>
  <c r="L266" i="3" s="1"/>
  <c r="I598" i="3"/>
  <c r="K598" i="3" s="1"/>
  <c r="I395" i="3"/>
  <c r="K395" i="3" s="1"/>
  <c r="I387" i="3"/>
  <c r="K387" i="3" s="1"/>
  <c r="I573" i="3"/>
  <c r="K573" i="3" s="1"/>
  <c r="I85" i="3"/>
  <c r="K85" i="3" s="1"/>
  <c r="I581" i="3"/>
  <c r="K581" i="3" s="1"/>
  <c r="L581" i="3" s="1"/>
  <c r="I371" i="3"/>
  <c r="K371" i="3" s="1"/>
  <c r="I629" i="3"/>
  <c r="K629" i="3" s="1"/>
  <c r="I271" i="3"/>
  <c r="K271" i="3" s="1"/>
  <c r="I370" i="3"/>
  <c r="K370" i="3" s="1"/>
  <c r="I82" i="3"/>
  <c r="K82" i="3" s="1"/>
  <c r="I9" i="3"/>
  <c r="K9" i="3" s="1"/>
  <c r="I411" i="3"/>
  <c r="K411" i="3" s="1"/>
  <c r="L411" i="3" s="1"/>
  <c r="I505" i="3"/>
  <c r="K505" i="3" s="1"/>
  <c r="I576" i="3"/>
  <c r="K576" i="3" s="1"/>
  <c r="I435" i="3"/>
  <c r="K435" i="3" s="1"/>
  <c r="I433" i="3"/>
  <c r="I421" i="3"/>
  <c r="K421" i="3" s="1"/>
  <c r="I367" i="3"/>
  <c r="K367" i="3" s="1"/>
  <c r="I432" i="3"/>
  <c r="K432" i="3" s="1"/>
  <c r="I427" i="3"/>
  <c r="K427" i="3" s="1"/>
  <c r="I390" i="3"/>
  <c r="K390" i="3" s="1"/>
  <c r="I79" i="3"/>
  <c r="K79" i="3" s="1"/>
  <c r="I261" i="3"/>
  <c r="K261" i="3" s="1"/>
  <c r="I431" i="3"/>
  <c r="K431" i="3" s="1"/>
  <c r="I585" i="3"/>
  <c r="K585" i="3" s="1"/>
  <c r="I595" i="3"/>
  <c r="K595" i="3" s="1"/>
  <c r="I438" i="3"/>
  <c r="I579" i="3"/>
  <c r="I430" i="3"/>
  <c r="K430" i="3" s="1"/>
  <c r="I600" i="3"/>
  <c r="K600" i="3" s="1"/>
  <c r="I584" i="3"/>
  <c r="K584" i="3" s="1"/>
  <c r="L584" i="3" s="1"/>
  <c r="I389" i="3"/>
  <c r="K389" i="3" s="1"/>
  <c r="I265" i="3"/>
  <c r="K265" i="3" s="1"/>
  <c r="I376" i="3"/>
  <c r="K376" i="3" s="1"/>
  <c r="I429" i="3"/>
  <c r="K429" i="3" s="1"/>
  <c r="I599" i="3"/>
  <c r="K599" i="3" s="1"/>
  <c r="I3" i="3"/>
  <c r="K3" i="3" s="1"/>
  <c r="I514" i="3"/>
  <c r="K514" i="3" s="1"/>
  <c r="I527" i="3"/>
  <c r="K527" i="3" s="1"/>
  <c r="I610" i="3"/>
  <c r="K610" i="3" s="1"/>
  <c r="I443" i="3"/>
  <c r="K443" i="3" s="1"/>
  <c r="I526" i="3"/>
  <c r="K526" i="3" s="1"/>
  <c r="L526" i="3" s="1"/>
  <c r="I513" i="3"/>
  <c r="K513" i="3" s="1"/>
  <c r="L513" i="3" s="1"/>
  <c r="I275" i="3"/>
  <c r="K275" i="3" s="1"/>
  <c r="L275" i="3" s="1"/>
  <c r="I609" i="3"/>
  <c r="K609" i="3" s="1"/>
  <c r="L609" i="3" s="1"/>
  <c r="I198" i="3"/>
  <c r="K198" i="3" s="1"/>
  <c r="I575" i="3"/>
  <c r="K575" i="3" s="1"/>
  <c r="I355" i="3"/>
  <c r="K355" i="3" s="1"/>
  <c r="I583" i="3"/>
  <c r="K583" i="3" s="1"/>
  <c r="I437" i="3"/>
  <c r="K437" i="3" s="1"/>
  <c r="I260" i="3"/>
  <c r="K260" i="3" s="1"/>
  <c r="I509" i="3"/>
  <c r="K509" i="3" s="1"/>
  <c r="I419" i="3"/>
  <c r="K419" i="3" s="1"/>
  <c r="L419" i="3" s="1"/>
  <c r="I268" i="3"/>
  <c r="K268" i="3" s="1"/>
  <c r="L268" i="3" s="1"/>
  <c r="I386" i="3"/>
  <c r="K386" i="3" s="1"/>
  <c r="I80" i="3"/>
  <c r="K80" i="3" s="1"/>
  <c r="I358" i="3"/>
  <c r="K358" i="3" s="1"/>
  <c r="I604" i="3"/>
  <c r="K604" i="3" s="1"/>
  <c r="L604" i="3" s="1"/>
  <c r="I84" i="3"/>
  <c r="K84" i="3" s="1"/>
  <c r="I508" i="3"/>
  <c r="K508" i="3" s="1"/>
  <c r="L508" i="3" s="1"/>
  <c r="I424" i="3"/>
  <c r="K424" i="3" s="1"/>
  <c r="I196" i="3"/>
  <c r="K196" i="3" s="1"/>
  <c r="I412" i="3"/>
  <c r="K412" i="3" s="1"/>
  <c r="I405" i="3"/>
  <c r="K405" i="3" s="1"/>
  <c r="L405" i="3" s="1"/>
  <c r="I190" i="3"/>
  <c r="K190" i="3" s="1"/>
  <c r="I363" i="3"/>
  <c r="K363" i="3" s="1"/>
  <c r="I384" i="3"/>
  <c r="K384" i="3" s="1"/>
  <c r="I406" i="3"/>
  <c r="K406" i="3" s="1"/>
  <c r="L406" i="3" s="1"/>
  <c r="I630" i="3"/>
  <c r="K630" i="3" s="1"/>
  <c r="L630" i="3" s="1"/>
  <c r="I588" i="3"/>
  <c r="K588" i="3" s="1"/>
  <c r="I528" i="3"/>
  <c r="K528" i="3" s="1"/>
  <c r="I611" i="3"/>
  <c r="K611" i="3" s="1"/>
  <c r="I264" i="3"/>
  <c r="K264" i="3" s="1"/>
  <c r="I191" i="3"/>
  <c r="K191" i="3" s="1"/>
  <c r="I263" i="3"/>
  <c r="K263" i="3" s="1"/>
  <c r="I259" i="3"/>
  <c r="K259" i="3" s="1"/>
  <c r="I185" i="3"/>
  <c r="K185" i="3" s="1"/>
  <c r="I83" i="3"/>
  <c r="K83" i="3" s="1"/>
  <c r="L83" i="3" s="1"/>
  <c r="I628" i="3"/>
  <c r="K628" i="3" s="1"/>
  <c r="I78" i="3"/>
  <c r="K78" i="3" s="1"/>
  <c r="I87" i="3"/>
  <c r="K87" i="3" s="1"/>
  <c r="I267" i="3"/>
  <c r="K267" i="3" s="1"/>
  <c r="I361" i="3"/>
  <c r="K361" i="3" s="1"/>
  <c r="I281" i="3"/>
  <c r="K281" i="3" s="1"/>
  <c r="I365" i="3"/>
  <c r="K365" i="3" s="1"/>
  <c r="I519" i="3"/>
  <c r="K519" i="3" s="1"/>
  <c r="I597" i="3"/>
  <c r="K597" i="3" s="1"/>
  <c r="I276" i="3"/>
  <c r="K276" i="3" s="1"/>
  <c r="I529" i="3"/>
  <c r="K529" i="3" s="1"/>
  <c r="I517" i="3"/>
  <c r="K517" i="3" s="1"/>
  <c r="I605" i="3"/>
  <c r="K605" i="3" s="1"/>
  <c r="I301" i="3"/>
  <c r="K301" i="3" s="1"/>
  <c r="I507" i="3"/>
  <c r="K507" i="3" s="1"/>
  <c r="I596" i="3"/>
  <c r="K596" i="3" s="1"/>
  <c r="I398" i="3"/>
  <c r="K398" i="3" s="1"/>
  <c r="I394" i="3"/>
  <c r="K394" i="3" s="1"/>
  <c r="I375" i="3"/>
  <c r="K375" i="3" s="1"/>
  <c r="I369" i="3"/>
  <c r="K369" i="3" s="1"/>
  <c r="I362" i="3"/>
  <c r="K362" i="3" s="1"/>
  <c r="I199" i="3"/>
  <c r="K199" i="3" s="1"/>
  <c r="I434" i="3"/>
  <c r="K434" i="3" s="1"/>
  <c r="I506" i="3"/>
  <c r="K506" i="3" s="1"/>
  <c r="I423" i="3"/>
  <c r="K423" i="3" s="1"/>
  <c r="L423" i="3" s="1"/>
  <c r="I418" i="3"/>
  <c r="K418" i="3" s="1"/>
  <c r="I270" i="3"/>
  <c r="K270" i="3" s="1"/>
  <c r="I578" i="3"/>
  <c r="K578" i="3" s="1"/>
  <c r="I393" i="3"/>
  <c r="K393" i="3" s="1"/>
  <c r="I374" i="3"/>
  <c r="K374" i="3" s="1"/>
  <c r="I368" i="3"/>
  <c r="K368" i="3" s="1"/>
  <c r="L368" i="3" s="1"/>
  <c r="I187" i="3"/>
  <c r="K187" i="3" s="1"/>
  <c r="I184" i="3"/>
  <c r="K184" i="3" s="1"/>
  <c r="I531" i="3"/>
  <c r="K531" i="3" s="1"/>
  <c r="I88" i="3"/>
  <c r="K88" i="3" s="1"/>
  <c r="I342" i="3"/>
  <c r="K342" i="3" s="1"/>
  <c r="I516" i="3"/>
  <c r="K516" i="3" s="1"/>
  <c r="I422" i="3"/>
  <c r="K422" i="3" s="1"/>
  <c r="I417" i="3"/>
  <c r="K417" i="3" s="1"/>
  <c r="I269" i="3"/>
  <c r="K269" i="3" s="1"/>
  <c r="I577" i="3"/>
  <c r="K577" i="3" s="1"/>
  <c r="I392" i="3"/>
  <c r="K392" i="3" s="1"/>
  <c r="I278" i="3"/>
  <c r="K278" i="3" s="1"/>
  <c r="I530" i="3"/>
  <c r="K530" i="3" s="1"/>
  <c r="I309" i="3"/>
  <c r="K309" i="3" s="1"/>
  <c r="L309" i="3" s="1"/>
  <c r="I515" i="3"/>
  <c r="K515" i="3" s="1"/>
  <c r="I86" i="3"/>
  <c r="K86" i="3" s="1"/>
  <c r="I410" i="3"/>
  <c r="K410" i="3" s="1"/>
  <c r="I396" i="3"/>
  <c r="K396" i="3" s="1"/>
  <c r="I391" i="3"/>
  <c r="K391" i="3" s="1"/>
  <c r="I383" i="3"/>
  <c r="K383" i="3" s="1"/>
  <c r="I373" i="3"/>
  <c r="K373" i="3" s="1"/>
  <c r="I188" i="3"/>
  <c r="K188" i="3" s="1"/>
  <c r="I277" i="3"/>
  <c r="K277" i="3" s="1"/>
  <c r="I308" i="3"/>
  <c r="K308" i="3" s="1"/>
  <c r="I512" i="3"/>
  <c r="K512" i="3" s="1"/>
  <c r="I525" i="3"/>
  <c r="K525" i="3" s="1"/>
  <c r="I608" i="3"/>
  <c r="K608" i="3" s="1"/>
  <c r="I274" i="3"/>
  <c r="K274" i="3" s="1"/>
  <c r="I601" i="3"/>
  <c r="K601" i="3" s="1"/>
  <c r="I195" i="3"/>
  <c r="K195" i="3" s="1"/>
  <c r="I409" i="3"/>
  <c r="K409" i="3" s="1"/>
  <c r="I404" i="3"/>
  <c r="K404" i="3" s="1"/>
  <c r="I382" i="3"/>
  <c r="K382" i="3" s="1"/>
  <c r="I372" i="3"/>
  <c r="K372" i="3" s="1"/>
  <c r="I303" i="3"/>
  <c r="K303" i="3" s="1"/>
  <c r="I385" i="3"/>
  <c r="K385" i="3" s="1"/>
  <c r="I8" i="3"/>
  <c r="K8" i="3" s="1"/>
  <c r="L8" i="3" s="1"/>
  <c r="I511" i="3"/>
  <c r="K511" i="3" s="1"/>
  <c r="I524" i="3"/>
  <c r="K524" i="3" s="1"/>
  <c r="L524" i="3" s="1"/>
  <c r="I607" i="3"/>
  <c r="K607" i="3" s="1"/>
  <c r="L607" i="3" s="1"/>
  <c r="I442" i="3"/>
  <c r="K442" i="3" s="1"/>
  <c r="I415" i="3"/>
  <c r="K415" i="3" s="1"/>
  <c r="I408" i="3"/>
  <c r="K408" i="3" s="1"/>
  <c r="I586" i="3"/>
  <c r="K586" i="3" s="1"/>
  <c r="L586" i="3" s="1"/>
  <c r="I403" i="3"/>
  <c r="K403" i="3" s="1"/>
  <c r="I81" i="3"/>
  <c r="K81" i="3" s="1"/>
  <c r="I381" i="3"/>
  <c r="K381" i="3" s="1"/>
  <c r="I556" i="3"/>
  <c r="K556" i="3" s="1"/>
  <c r="I574" i="3"/>
  <c r="K574" i="3" s="1"/>
  <c r="I262" i="3"/>
  <c r="K262" i="3" s="1"/>
  <c r="I273" i="3"/>
  <c r="K273" i="3" s="1"/>
  <c r="L273" i="3" s="1"/>
  <c r="I183" i="3"/>
  <c r="K183" i="3" s="1"/>
  <c r="L183" i="3" s="1"/>
  <c r="I307" i="3"/>
  <c r="K307" i="3" s="1"/>
  <c r="I510" i="3"/>
  <c r="K510" i="3" s="1"/>
  <c r="I523" i="3"/>
  <c r="K523" i="3" s="1"/>
  <c r="I606" i="3"/>
  <c r="K606" i="3" s="1"/>
  <c r="I441" i="3"/>
  <c r="K441" i="3" s="1"/>
  <c r="I414" i="3"/>
  <c r="K414" i="3" s="1"/>
  <c r="I402" i="3"/>
  <c r="K402" i="3" s="1"/>
  <c r="I380" i="3"/>
  <c r="K380" i="3" s="1"/>
  <c r="L380" i="3" s="1"/>
  <c r="I366" i="3"/>
  <c r="K366" i="3" s="1"/>
  <c r="I360" i="3"/>
  <c r="K360" i="3" s="1"/>
  <c r="I444" i="3"/>
  <c r="K444" i="3" s="1"/>
  <c r="I518" i="3"/>
  <c r="K518" i="3" s="1"/>
  <c r="I356" i="3"/>
  <c r="K356" i="3" s="1"/>
  <c r="I306" i="3"/>
  <c r="K306" i="3" s="1"/>
  <c r="L306" i="3" s="1"/>
  <c r="I534" i="3"/>
  <c r="K534" i="3" s="1"/>
  <c r="L534" i="3" s="1"/>
  <c r="I522" i="3"/>
  <c r="K522" i="3" s="1"/>
  <c r="L522" i="3" s="1"/>
  <c r="I447" i="3"/>
  <c r="K447" i="3" s="1"/>
  <c r="I440" i="3"/>
  <c r="K440" i="3" s="1"/>
  <c r="I272" i="3"/>
  <c r="K272" i="3" s="1"/>
  <c r="I194" i="3"/>
  <c r="K194" i="3" s="1"/>
  <c r="L194" i="3" s="1"/>
  <c r="I407" i="3"/>
  <c r="K407" i="3" s="1"/>
  <c r="I401" i="3"/>
  <c r="K401" i="3" s="1"/>
  <c r="L401" i="3" s="1"/>
  <c r="I280" i="3"/>
  <c r="K280" i="3" s="1"/>
  <c r="I379" i="3"/>
  <c r="K379" i="3" s="1"/>
  <c r="I359" i="3"/>
  <c r="K359" i="3" s="1"/>
  <c r="L359" i="3" s="1"/>
  <c r="I302" i="3"/>
  <c r="K302" i="3" s="1"/>
  <c r="L302" i="3" s="1"/>
  <c r="I305" i="3"/>
  <c r="K305" i="3" s="1"/>
  <c r="I533" i="3"/>
  <c r="K533" i="3" s="1"/>
  <c r="I521" i="3"/>
  <c r="K521" i="3" s="1"/>
  <c r="L521" i="3" s="1"/>
  <c r="I446" i="3"/>
  <c r="K446" i="3" s="1"/>
  <c r="I436" i="3"/>
  <c r="K436" i="3" s="1"/>
  <c r="I428" i="3"/>
  <c r="K428" i="3" s="1"/>
  <c r="I193" i="3"/>
  <c r="K193" i="3" s="1"/>
  <c r="I400" i="3"/>
  <c r="K400" i="3" s="1"/>
  <c r="I192" i="3"/>
  <c r="K192" i="3" s="1"/>
  <c r="I388" i="3"/>
  <c r="K388" i="3" s="1"/>
  <c r="I378" i="3"/>
  <c r="K378" i="3" s="1"/>
  <c r="I279" i="3"/>
  <c r="K279" i="3" s="1"/>
  <c r="I364" i="3"/>
  <c r="K364" i="3" s="1"/>
  <c r="I186" i="3"/>
  <c r="K186" i="3" s="1"/>
  <c r="I304" i="3"/>
  <c r="K304" i="3" s="1"/>
  <c r="I532" i="3"/>
  <c r="K532" i="3" s="1"/>
  <c r="I520" i="3"/>
  <c r="K520" i="3" s="1"/>
  <c r="I445" i="3"/>
  <c r="K445" i="3" s="1"/>
  <c r="I439" i="3"/>
  <c r="K439" i="3" s="1"/>
  <c r="I197" i="3"/>
  <c r="K197" i="3" s="1"/>
  <c r="L197" i="3" s="1"/>
  <c r="I587" i="3"/>
  <c r="K587" i="3" s="1"/>
  <c r="L587" i="3" s="1"/>
  <c r="I425" i="3"/>
  <c r="K425" i="3" s="1"/>
  <c r="I420" i="3"/>
  <c r="K420" i="3" s="1"/>
  <c r="I582" i="3"/>
  <c r="K582" i="3" s="1"/>
  <c r="I399" i="3"/>
  <c r="K399" i="3" s="1"/>
  <c r="I377" i="3"/>
  <c r="K377" i="3" s="1"/>
  <c r="I189" i="3"/>
  <c r="K189" i="3" s="1"/>
  <c r="I627" i="3"/>
  <c r="K627" i="3" s="1"/>
  <c r="I426" i="3"/>
  <c r="K426" i="3" s="1"/>
  <c r="I397" i="3"/>
  <c r="K397" i="3" s="1"/>
  <c r="I311" i="3"/>
  <c r="K311" i="3" s="1"/>
  <c r="I413" i="3"/>
  <c r="K413" i="3" s="1"/>
  <c r="I416" i="3"/>
  <c r="K416" i="3" s="1"/>
  <c r="I603" i="3"/>
  <c r="K603" i="3" s="1"/>
  <c r="I580" i="3"/>
  <c r="K580" i="3" s="1"/>
  <c r="K579" i="3"/>
  <c r="K602" i="3"/>
  <c r="K433" i="3"/>
  <c r="K438" i="3"/>
  <c r="K310" i="3"/>
  <c r="H357" i="3" l="1"/>
  <c r="G357" i="3"/>
  <c r="L271" i="3"/>
  <c r="L447" i="3"/>
  <c r="L418" i="3"/>
  <c r="L511" i="3"/>
  <c r="L629" i="3"/>
  <c r="L435" i="3"/>
  <c r="L600" i="3"/>
  <c r="L270" i="3"/>
  <c r="L372" i="3"/>
  <c r="L367" i="3"/>
  <c r="L512" i="3"/>
  <c r="L525" i="3"/>
  <c r="L274" i="3"/>
  <c r="L434" i="3"/>
  <c r="L414" i="3"/>
  <c r="L409" i="3"/>
  <c r="L269" i="3"/>
  <c r="L398" i="3"/>
  <c r="L556" i="3"/>
  <c r="L574" i="3"/>
  <c r="L515" i="3"/>
  <c r="L424" i="3"/>
  <c r="L598" i="3"/>
  <c r="L408" i="3"/>
  <c r="L577" i="3"/>
  <c r="L394" i="3"/>
  <c r="L379" i="3"/>
  <c r="L595" i="3"/>
  <c r="L420" i="3"/>
  <c r="L365" i="3"/>
  <c r="L505" i="3"/>
  <c r="L602" i="3"/>
  <c r="L404" i="3"/>
  <c r="L386" i="3"/>
  <c r="L377" i="3"/>
  <c r="L279" i="3"/>
  <c r="L198" i="3"/>
  <c r="L86" i="3"/>
  <c r="L196" i="3"/>
  <c r="L407" i="3"/>
  <c r="L80" i="3"/>
  <c r="L189" i="3"/>
  <c r="L356" i="3"/>
  <c r="L603" i="3"/>
  <c r="L265" i="3"/>
  <c r="L576" i="3"/>
  <c r="L378" i="3"/>
  <c r="L437" i="3"/>
  <c r="L259" i="3"/>
  <c r="L304" i="3"/>
  <c r="L532" i="3"/>
  <c r="L520" i="3"/>
  <c r="L445" i="3"/>
  <c r="L431" i="3"/>
  <c r="L427" i="3"/>
  <c r="L413" i="3"/>
  <c r="L585" i="3"/>
  <c r="L402" i="3"/>
  <c r="L385" i="3"/>
  <c r="L376" i="3"/>
  <c r="L371" i="3"/>
  <c r="L186" i="3"/>
  <c r="L261" i="3"/>
  <c r="L9" i="3"/>
  <c r="L303" i="3"/>
  <c r="L531" i="3"/>
  <c r="L519" i="3"/>
  <c r="L444" i="3"/>
  <c r="L436" i="3"/>
  <c r="L430" i="3"/>
  <c r="L85" i="3"/>
  <c r="L412" i="3"/>
  <c r="L82" i="3"/>
  <c r="L81" i="3"/>
  <c r="L627" i="3"/>
  <c r="L355" i="3"/>
  <c r="L440" i="3"/>
  <c r="L311" i="3"/>
  <c r="L277" i="3"/>
  <c r="L530" i="3"/>
  <c r="L518" i="3"/>
  <c r="L88" i="3"/>
  <c r="L439" i="3"/>
  <c r="L426" i="3"/>
  <c r="L417" i="3"/>
  <c r="L281" i="3"/>
  <c r="L390" i="3"/>
  <c r="L384" i="3"/>
  <c r="L363" i="3"/>
  <c r="L358" i="3"/>
  <c r="L260" i="3"/>
  <c r="L506" i="3"/>
  <c r="L397" i="3"/>
  <c r="L3" i="3"/>
  <c r="L276" i="3"/>
  <c r="L529" i="3"/>
  <c r="L517" i="3"/>
  <c r="L605" i="3"/>
  <c r="L429" i="3"/>
  <c r="L416" i="3"/>
  <c r="L280" i="3"/>
  <c r="L362" i="3"/>
  <c r="L185" i="3"/>
  <c r="L310" i="3"/>
  <c r="L588" i="3"/>
  <c r="L528" i="3"/>
  <c r="L611" i="3"/>
  <c r="L428" i="3"/>
  <c r="L272" i="3"/>
  <c r="L601" i="3"/>
  <c r="L195" i="3"/>
  <c r="L192" i="3"/>
  <c r="L278" i="3"/>
  <c r="L187" i="3"/>
  <c r="L342" i="3"/>
  <c r="L514" i="3"/>
  <c r="L527" i="3"/>
  <c r="L610" i="3"/>
  <c r="L443" i="3"/>
  <c r="L84" i="3"/>
  <c r="L580" i="3"/>
  <c r="L267" i="3"/>
  <c r="L395" i="3"/>
  <c r="L188" i="3"/>
  <c r="L579" i="3"/>
  <c r="L264" i="3"/>
  <c r="L199" i="3"/>
  <c r="L415" i="3"/>
  <c r="L191" i="3"/>
  <c r="L308" i="3"/>
  <c r="L608" i="3"/>
  <c r="L516" i="3"/>
  <c r="L599" i="3"/>
  <c r="L578" i="3"/>
  <c r="L628" i="3"/>
  <c r="L533" i="3"/>
  <c r="L421" i="3"/>
  <c r="L305" i="3"/>
  <c r="L301" i="3"/>
  <c r="L596" i="3"/>
  <c r="L441" i="3"/>
  <c r="L410" i="3"/>
  <c r="L432" i="3"/>
  <c r="L446" i="3"/>
  <c r="L507" i="3"/>
  <c r="L403" i="3"/>
  <c r="L190" i="3"/>
  <c r="L389" i="3"/>
  <c r="L375" i="3"/>
  <c r="L366" i="3"/>
  <c r="L184" i="3"/>
  <c r="L393" i="3"/>
  <c r="L388" i="3"/>
  <c r="L383" i="3"/>
  <c r="L374" i="3"/>
  <c r="L370" i="3"/>
  <c r="L361" i="3"/>
  <c r="L263" i="3"/>
  <c r="L307" i="3"/>
  <c r="L510" i="3"/>
  <c r="L523" i="3"/>
  <c r="L606" i="3"/>
  <c r="L442" i="3"/>
  <c r="L438" i="3"/>
  <c r="L87" i="3"/>
  <c r="L433" i="3"/>
  <c r="L509" i="3"/>
  <c r="L425" i="3"/>
  <c r="L422" i="3"/>
  <c r="L193" i="3"/>
  <c r="L597" i="3"/>
  <c r="L583" i="3"/>
  <c r="L400" i="3"/>
  <c r="L396" i="3"/>
  <c r="L392" i="3"/>
  <c r="L382" i="3"/>
  <c r="L575" i="3"/>
  <c r="L364" i="3"/>
  <c r="L79" i="3"/>
  <c r="L78" i="3"/>
  <c r="L582" i="3"/>
  <c r="L399" i="3"/>
  <c r="L391" i="3"/>
  <c r="L387" i="3"/>
  <c r="L381" i="3"/>
  <c r="L373" i="3"/>
  <c r="L369" i="3"/>
  <c r="L573" i="3"/>
  <c r="L360" i="3"/>
  <c r="L262" i="3"/>
  <c r="I357" i="3" l="1"/>
  <c r="K357" i="3" s="1"/>
  <c r="L357" i="3" l="1"/>
</calcChain>
</file>

<file path=xl/sharedStrings.xml><?xml version="1.0" encoding="utf-8"?>
<sst xmlns="http://schemas.openxmlformats.org/spreadsheetml/2006/main" count="4333" uniqueCount="2034">
  <si>
    <t>316311d3-2427-4164-b8a3-b26fcd5128e3</t>
  </si>
  <si>
    <t>ITEM_ID</t>
  </si>
  <si>
    <t>Número de publicación</t>
  </si>
  <si>
    <t>TITLE</t>
  </si>
  <si>
    <t>Título</t>
  </si>
  <si>
    <t>PRICE</t>
  </si>
  <si>
    <t>Precio</t>
  </si>
  <si>
    <t>FEE_PER_SALE</t>
  </si>
  <si>
    <t>MLC2870455538</t>
  </si>
  <si>
    <t>Biotina + Colágeno Hidrolizado</t>
  </si>
  <si>
    <t>MLC2870456002</t>
  </si>
  <si>
    <t>Zma Zinc + Magnesio + Vit B6 90 Capsulas 500mg Sabor Sin Sabor</t>
  </si>
  <si>
    <t>MLC2855469106</t>
  </si>
  <si>
    <t>Pack 24 Burbujas - Juguete Sorpresa Cumpleaños Paseo Color Multicolor</t>
  </si>
  <si>
    <t>MLC2870329358</t>
  </si>
  <si>
    <t>Pack 2 Magnesio Citrato 180 Cap Y 2 Potasio Citrato 180 Cap Extremo Sur</t>
  </si>
  <si>
    <t>MLC2855289622</t>
  </si>
  <si>
    <t>Separador De Servicios Organizador De Servicios O Cubiertos</t>
  </si>
  <si>
    <t>MLC1611486875</t>
  </si>
  <si>
    <t>Shampoo Controlgx Control Gx Just For Men Tinte Shampoo Y Shampoo Matizador De Coco En Tubo Depresible De 118ml Por 1 Unidad</t>
  </si>
  <si>
    <t>MLC2870432286</t>
  </si>
  <si>
    <t>2 Bisglicinato De Magnesio 500mg X 60 Caps Vegetal Sabor Neutro</t>
  </si>
  <si>
    <t>MLC1608022999</t>
  </si>
  <si>
    <t>Pack 4 Superbot Serie 3 - Superzings Figuras Coleccionables</t>
  </si>
  <si>
    <t>MLC2886467526</t>
  </si>
  <si>
    <t>Suplemento En Cápsula Extremo Sur Citrato De Magnesio X 45g</t>
  </si>
  <si>
    <t>MLC2886162644</t>
  </si>
  <si>
    <t>Vitamina C 90 Cap De 500mg 100% Natural Extremo Sur</t>
  </si>
  <si>
    <t>MLC1611370149</t>
  </si>
  <si>
    <t>Mustela Crema Facial Hydra Bebé Piel Normal 40ml</t>
  </si>
  <si>
    <t>MLC1589044173</t>
  </si>
  <si>
    <t>Pack 4 Goma Eva Piso Alfombra Antigolpes 50x50x1cm</t>
  </si>
  <si>
    <t>MLC1611512641</t>
  </si>
  <si>
    <t>Alisado Brasilero Para Todo Tipo De Cabello</t>
  </si>
  <si>
    <t>MLC1609863627</t>
  </si>
  <si>
    <t>Naipe Ingles Cartas Inglesa Baraja Ingles Plastificado Poker Multicolor Baraja Inglés</t>
  </si>
  <si>
    <t>MLC2884354532</t>
  </si>
  <si>
    <t>Citrato De Magnesio + L Triptófano 90 Capsulas Zero Sport</t>
  </si>
  <si>
    <t>MLC1611318043</t>
  </si>
  <si>
    <t>Mustela Gel De Baño 500 Ml Botella</t>
  </si>
  <si>
    <t>MLC2856881232</t>
  </si>
  <si>
    <t>Porta Cupcake Porta Torta Porta Cupcakes Campana Vidrio 28cm Color Transparente</t>
  </si>
  <si>
    <t>MLC2863704912</t>
  </si>
  <si>
    <t>Pack 4 Goma Eva Piso Alfombra Antigolpes 60x60x1cm Madera</t>
  </si>
  <si>
    <t>MLC2888665676</t>
  </si>
  <si>
    <t>Super Zings Serie 3 - Caja Sellada 25 Personajes</t>
  </si>
  <si>
    <t>MLC1596248009</t>
  </si>
  <si>
    <t>Fuente Pileta Cascada De Agua Buda Con Luz 18 Cm Feng Shui Color Gris</t>
  </si>
  <si>
    <t>MLC2884237924</t>
  </si>
  <si>
    <t>Suplemento Zeo Sport Premium Citrato De Magnesio De 50g X 90 Unidades</t>
  </si>
  <si>
    <t>MLC1583305745</t>
  </si>
  <si>
    <t>Pack 4 40cm Bandeja Redonda Antideslizante Restaurant Garzón</t>
  </si>
  <si>
    <t>MLC1617050221</t>
  </si>
  <si>
    <t>Mustela Hydra Bebé Leche Hidratante Corporal 300ml</t>
  </si>
  <si>
    <t>MLC1596775371</t>
  </si>
  <si>
    <t>Fuente Pileta Cascada De Agua Jesus Sagrado Con Luz 18 Cm Color Gris</t>
  </si>
  <si>
    <t>MLC1585093281</t>
  </si>
  <si>
    <t>MLC2884186274</t>
  </si>
  <si>
    <t>Citrato De Magnesio Zeo Sport 1 Kilo En Polvo Línea Premium</t>
  </si>
  <si>
    <t>MLC2888551316</t>
  </si>
  <si>
    <t>Creatina Monohidratada Micronizada - 300gr, Strive Sabor Sin Sabor</t>
  </si>
  <si>
    <t>MLC1583337113</t>
  </si>
  <si>
    <t>Basurero Metálico Con Pedal 8 Litros Plateado Acero Canasta</t>
  </si>
  <si>
    <t>MLC1596960925</t>
  </si>
  <si>
    <t>Basurero Papelero Pedal 8 Lts Acero Inoxidable</t>
  </si>
  <si>
    <t>MLC1586318489</t>
  </si>
  <si>
    <t>Fuente De Agua Pileta De Agua Jesus Sagrado Con Luz 18 Cm</t>
  </si>
  <si>
    <t>MLC1614051993</t>
  </si>
  <si>
    <t>Strive Magnesio + L Triptófano 60 Cápsulas Nutricional Sin Sabor</t>
  </si>
  <si>
    <t>MLC1582511883</t>
  </si>
  <si>
    <t>Pack 6 Platos Hondos Floreado Opal Templado 22cm</t>
  </si>
  <si>
    <t>MLC1611564729</t>
  </si>
  <si>
    <t>MLC1617148621</t>
  </si>
  <si>
    <t>Fungi Pharma Extracto De Hongo Reishi Antioxidante Potente 30 Ml</t>
  </si>
  <si>
    <t>MLC2892298602</t>
  </si>
  <si>
    <t>Pack 4 Goma Eva Piso Alfombra Antigolpes 60x60cm 1cm Grosor Color Beige</t>
  </si>
  <si>
    <t>MLC1584362379</t>
  </si>
  <si>
    <t>Pack 6 Platos Llanos Extendidos Floreado Opal Templado 27cm</t>
  </si>
  <si>
    <t>MLC2889296322</t>
  </si>
  <si>
    <t>Estatua Buda Cascada Pileta De Agua Con Luz Grande 28cm Color Gris</t>
  </si>
  <si>
    <t>MLC1585279801</t>
  </si>
  <si>
    <t>Estatua Buda Pileta De Agua Fuente De Agua Buda 28cm Con Luz</t>
  </si>
  <si>
    <t>MLC1616986129</t>
  </si>
  <si>
    <t>MLC1617117683</t>
  </si>
  <si>
    <t>Fungi Pharma Extracto De Hongo Melena De Leon Adaptogeno 30 Ml</t>
  </si>
  <si>
    <t>MLC2870228100</t>
  </si>
  <si>
    <t>Pack 2 Magnesio Citrato 180 Cap Y 2 Potasio Citrato 180 Cap</t>
  </si>
  <si>
    <t>MLC2895725876</t>
  </si>
  <si>
    <t>Pack 12 Barras De Proteina 60g Twenty's Sabor Avellana Hazelnut Praline Yourgoal Nutrition</t>
  </si>
  <si>
    <t>MLC2900961600</t>
  </si>
  <si>
    <t>Crema Aclarante Capilar - Ritzy Mash</t>
  </si>
  <si>
    <t>MLC1585279683</t>
  </si>
  <si>
    <t>Colgante De Viento Campana De Viento Llamador De Angel 68cm</t>
  </si>
  <si>
    <t>MLC1598162879</t>
  </si>
  <si>
    <t>Plato De Ceramica Bandeja De Ceramica Frutilla 17 Cm</t>
  </si>
  <si>
    <t>MLC1608039965</t>
  </si>
  <si>
    <t>Strive Magnesio + L Triptófano 60 Cápsulas Nutricional</t>
  </si>
  <si>
    <t>MLC2855651866</t>
  </si>
  <si>
    <t>28cm Portacupcake Porta Torta Porta Cupcakes Campana Vidrio</t>
  </si>
  <si>
    <t>MLC2869610082</t>
  </si>
  <si>
    <t>Estatua Figura Gato Adorno Interior Color Blanco</t>
  </si>
  <si>
    <t>MLC2890055674</t>
  </si>
  <si>
    <t>Pileta Fuente Cascada Agua Religiosa Niño Jesus San Jose</t>
  </si>
  <si>
    <t>MLC2902258430</t>
  </si>
  <si>
    <t>Superzings Serie 3 Pack (comic + Superbot + 2 Fig + Slider)</t>
  </si>
  <si>
    <t>MLC1582563657</t>
  </si>
  <si>
    <t>Pack 4 Vasos Con Bombilla Y Tapa 600 Ml Vidrio Shopero 600ml</t>
  </si>
  <si>
    <t>MLC1584601859</t>
  </si>
  <si>
    <t>Pack 4 Vasos Con Bombilla Y Tapa Shopero 600 Ml Vidrio Color Multicolor</t>
  </si>
  <si>
    <t>MLC1596422757</t>
  </si>
  <si>
    <t>Naipe Ingles Cartas Inglesa Baraja Ingles Plastificado Poker</t>
  </si>
  <si>
    <t>MLC1598113807</t>
  </si>
  <si>
    <t>Lechero Con Mango De Ceramica Frutilla Lechero Con Asa 700ml</t>
  </si>
  <si>
    <t>MLC1598150129</t>
  </si>
  <si>
    <t>Fuente Para Comida De Ceramica Frutilla 21cm</t>
  </si>
  <si>
    <t>MLC1598163137</t>
  </si>
  <si>
    <t>Servilletero Ceramica Porta Servilletas De Frutilla 20 Cm</t>
  </si>
  <si>
    <t>MLC1598213735</t>
  </si>
  <si>
    <t>Salero Y Pimentero Para Mesa De Ceramica Frutilla</t>
  </si>
  <si>
    <t>MLC2853388304</t>
  </si>
  <si>
    <t>Basurero Metálico Con Pedal 8 Litros Pedal Acabado Madera</t>
  </si>
  <si>
    <t>MLC2869353570</t>
  </si>
  <si>
    <t>La Última Cena Jesus Figura Decorativa Religiosa Adorno</t>
  </si>
  <si>
    <t>MLC2895712870</t>
  </si>
  <si>
    <t>Pack 12 Barras De Proteina 60g Twenty's Sabor Avellana Hazel</t>
  </si>
  <si>
    <t>MLC1585094821</t>
  </si>
  <si>
    <t>Set Jarra Y 6 Vasos Conjunto Jarra 2 Litros 6 Vasos Vidrio</t>
  </si>
  <si>
    <t>MLC1585189105</t>
  </si>
  <si>
    <t>Colgante De Viento Campana De Viento Llamador De Angel Turco</t>
  </si>
  <si>
    <t>MLC1586076387</t>
  </si>
  <si>
    <t>Florero Pecera De Vidrio 25 Cm 5lts Para Decoración</t>
  </si>
  <si>
    <t>MLC1586204807</t>
  </si>
  <si>
    <t>Fuente De Agua Pileta De Agua Querubín 18cm Con Luz</t>
  </si>
  <si>
    <t>MLC1586264401</t>
  </si>
  <si>
    <t>Fuente De Agua Pileta De Agua Elefantes 28 Cm Con Luz</t>
  </si>
  <si>
    <t>MLC1586997421</t>
  </si>
  <si>
    <t>Lampara De Escritorio Lampara De Mesa Elegante Usb</t>
  </si>
  <si>
    <t>MLC1589095741</t>
  </si>
  <si>
    <t>Set 3 Maletas De Viaje 23, 15, 10 Kg Maleta De Cabina Tela</t>
  </si>
  <si>
    <t>MLC1596962971</t>
  </si>
  <si>
    <t>2 Bisglicinato De Magnesio 500mg X 60 Caps Vegetal Sabor Neu</t>
  </si>
  <si>
    <t>MLC1598104035</t>
  </si>
  <si>
    <t>Bowl De Cerámica Calabaza 1000 Ml Sin Tapa</t>
  </si>
  <si>
    <t>MLC1598174109</t>
  </si>
  <si>
    <t>Mantequillera Con Tapa Mantequillera De Ceramica Frutilla</t>
  </si>
  <si>
    <t>MLC1598182719</t>
  </si>
  <si>
    <t>Bombonera Con Tapa Bombonera Para Bombones Ceramica Calabaza</t>
  </si>
  <si>
    <t>MLC1598222291</t>
  </si>
  <si>
    <t>Fuente Para Comida De Cerámica Calabaza 24 Cm</t>
  </si>
  <si>
    <t>MLC1611344217</t>
  </si>
  <si>
    <t>MLC1611382963</t>
  </si>
  <si>
    <t>MLC1611435373</t>
  </si>
  <si>
    <t>Goma Eva Plegable Niños Bebes</t>
  </si>
  <si>
    <t>MLC1611551879</t>
  </si>
  <si>
    <t>Shampoo Controlgx Control Gx Just For Men Tinte Shampoo Y Sh</t>
  </si>
  <si>
    <t>MLC1616988691</t>
  </si>
  <si>
    <t>Fungi Pharma - Extracto De Hongo Melena De León 30ml</t>
  </si>
  <si>
    <t>MLC1617064631</t>
  </si>
  <si>
    <t>Fungi Pharma - Extracto De Hongo Reishi 30ml Sublingual</t>
  </si>
  <si>
    <t>MLC1621478293</t>
  </si>
  <si>
    <t>Pack 10 Sobres Twopack (villano + Heroe) Superzings Serie 3</t>
  </si>
  <si>
    <t>MLC2853232722</t>
  </si>
  <si>
    <t>Set 12 Vasos Tequileros De Vidrio 50 Ml Vasos Tequila Juego</t>
  </si>
  <si>
    <t>MLC2853290088</t>
  </si>
  <si>
    <t>Pack 24 Burbujas Juguete Sorpresa Cumpleaños Regalo Paseo</t>
  </si>
  <si>
    <t>MLC2853724594</t>
  </si>
  <si>
    <t>Espejo Para Maquillaje Espejo Doble De Mesa Con Aumento 36cm</t>
  </si>
  <si>
    <t>MLC2855615494</t>
  </si>
  <si>
    <t>Fuente De Agua Pileta De Agua Buda Feng Shui 18 Cm Con Luz</t>
  </si>
  <si>
    <t>MLC2856205088</t>
  </si>
  <si>
    <t>Estatua Figura Gato Adorno Interior Gata Regalo 30 Cm</t>
  </si>
  <si>
    <t>MLC2870329548</t>
  </si>
  <si>
    <t>Zma Zinc + Magnesio + Vit B6 90 Capsulas 500mg Sabor Sin Sab</t>
  </si>
  <si>
    <t>MLC2870367566</t>
  </si>
  <si>
    <t>Biotina + Colágeno Hidrolizado Con Vitamina C Extremo Sur</t>
  </si>
  <si>
    <t>MLC2872031222</t>
  </si>
  <si>
    <t>Tetera De Cerámica 850 Ml Calabaza</t>
  </si>
  <si>
    <t>MLC2872110714</t>
  </si>
  <si>
    <t>Azucarero Con Tapa Azucarera Con Tapa De Ceramica Calabaza</t>
  </si>
  <si>
    <t>MLC2872120342</t>
  </si>
  <si>
    <t>Servilletero Ceramica Porta Servilletas De Calabaza 11 Cm</t>
  </si>
  <si>
    <t>MLC2872122784</t>
  </si>
  <si>
    <t>Salero Y Pimentero Para Mesa De Ceramica Calabaza</t>
  </si>
  <si>
    <t>MLC2872154492</t>
  </si>
  <si>
    <t>Mantequillera Con Tapa Mantequillera De Ceramica Calabaza</t>
  </si>
  <si>
    <t>MLC2884550352</t>
  </si>
  <si>
    <t>Mantequillera Cerámica Diseño Frutilla Rojo</t>
  </si>
  <si>
    <t>MLC2888575494</t>
  </si>
  <si>
    <t>Creatina Monohidratada Micronizada - 300gr, Strive Sin Sabor</t>
  </si>
  <si>
    <t>MLC2902130004</t>
  </si>
  <si>
    <t>Vitaminas Y Minerales Veganas 60 Cap Strive Vegan Essentials</t>
  </si>
  <si>
    <t>MLC2902155492</t>
  </si>
  <si>
    <t>Cafeína En Polvo + Vitamina B6 62 Porciones Strive</t>
  </si>
  <si>
    <t>MLC2902194028</t>
  </si>
  <si>
    <t>Omega 3 Epa 800 Dha 400 60 Cap - Strive</t>
  </si>
  <si>
    <t>MLC2902293504</t>
  </si>
  <si>
    <t>Vitamina B12 Vegana 60 Capsulas - Strive Nutrition</t>
  </si>
  <si>
    <t>MLC2902305588</t>
  </si>
  <si>
    <t>Essentials Sport Vitaminas Y Minerales 60cápsulas Sin Sabor Strive</t>
  </si>
  <si>
    <t>MLC2902317794</t>
  </si>
  <si>
    <t>Strive- Essentials Sport Vitaminas Y Minerales 60cápsulas Sa</t>
  </si>
  <si>
    <t>MLC2906039788</t>
  </si>
  <si>
    <t>Vitamina B12 Vegana 60 Capsulas - Strive Nutrition Sin Sabor</t>
  </si>
  <si>
    <t>MLC2906417334</t>
  </si>
  <si>
    <t>Vitaminas Y Minerales Veganas 60 Cap Strive Vegan Essentials Sin Sabor</t>
  </si>
  <si>
    <t>MLC2906417504</t>
  </si>
  <si>
    <t>Cafeína En Polvo + Vitamina B6 62 Porciones Strive Sin Sabor</t>
  </si>
  <si>
    <t>MLC2906417538</t>
  </si>
  <si>
    <t>Suplemento En Cápsulas Blandas Strive Omega 3 X 2.8g</t>
  </si>
  <si>
    <t>MLC2886227406</t>
  </si>
  <si>
    <t>Extremo Sur - Melena De Leon 500mg 60 Cap. 100% Natural</t>
  </si>
  <si>
    <t>MLC2870265058</t>
  </si>
  <si>
    <t>L-treonato De Magnesio 500mg 90 Cápsulas 100% Natural Extremo Sur</t>
  </si>
  <si>
    <t>MLC1608812577</t>
  </si>
  <si>
    <t>Barras De Proteinas Yourgoal Protein Bite 4u Caramel Peanuts</t>
  </si>
  <si>
    <t>MLC1593130463</t>
  </si>
  <si>
    <t>Set 10 30x30 Alfombra Infantil Goma Eva Cuadros Bebes Niños Color Multicolor Liso</t>
  </si>
  <si>
    <t>MLC1608980449</t>
  </si>
  <si>
    <t>Barras De Proteina Protein Bite Black &amp; White Pack 4 Barritas 55g C/u Yourgoal Nutrition Suplemento Con Proteina</t>
  </si>
  <si>
    <t>MLC2884173342</t>
  </si>
  <si>
    <t>Bisglicinato / Glicinato De Magnesio 1 Frasco 90 Capsulas Sabor Sin Sabor (90 Capsulas)</t>
  </si>
  <si>
    <t>MLC2886979324</t>
  </si>
  <si>
    <t>Super Zings Serie 3 Pack 10 Sobres</t>
  </si>
  <si>
    <t>MLC2863704914</t>
  </si>
  <si>
    <t>MLC1596922347</t>
  </si>
  <si>
    <t>Basurero 20 Litros Pedal De Acero Inoxidable Taumm Color Acero Inox Brillante</t>
  </si>
  <si>
    <t>MLC1583346817</t>
  </si>
  <si>
    <t>Pack 6 Piso Deportivo Modular Goma Eva 60x60x1 Cm Fitness</t>
  </si>
  <si>
    <t>MLC1596935131</t>
  </si>
  <si>
    <t>Basurero Papelero Pedal 3 Lts Acero Inoxidable</t>
  </si>
  <si>
    <t>MLC2863379684</t>
  </si>
  <si>
    <t>Set 10 30x30 Alfombra Infantil Goma Eva Cuadros Bebes Niños Color Multicolor Números</t>
  </si>
  <si>
    <t>MLC2867073664</t>
  </si>
  <si>
    <t>Set 10 30x30 Alfombra Infantil Goma Eva Cuadros Bebes Niños Color Multicolor Letras</t>
  </si>
  <si>
    <t>MLC2853171858</t>
  </si>
  <si>
    <t>Set 10 30x30 Alfombra Infantil Goma Eva Cuadros Bebes Niños</t>
  </si>
  <si>
    <t>MLC1582676309</t>
  </si>
  <si>
    <t>Tabla Planchar Tabla De Planchar Metal Y Tela 110 Cm Mangas</t>
  </si>
  <si>
    <t>MLC2853344370</t>
  </si>
  <si>
    <t>Pack 3 45cm Bandeja Redonda Antideslizante Restaurant Garzón</t>
  </si>
  <si>
    <t>MLC2870405916</t>
  </si>
  <si>
    <t>Basurero Papelero Pedal 12 Lts Acero Inoxidable</t>
  </si>
  <si>
    <t>MLC1586176079</t>
  </si>
  <si>
    <t>Fuente De Agua Pileta De Agua Elefante Con Luz 18 Cm</t>
  </si>
  <si>
    <t>MLC2886175482</t>
  </si>
  <si>
    <t>MLC1617062667</t>
  </si>
  <si>
    <t>Breathe Right Tiras Nasales Anti Ronquido Piel Normal 10u</t>
  </si>
  <si>
    <t>MLC1611357713</t>
  </si>
  <si>
    <t>Alpecin Anti Calvicie Loción Cafeína Líquida 200 Ml</t>
  </si>
  <si>
    <t>MLC2853425396</t>
  </si>
  <si>
    <t>Basurero Metálico Con Pedal 12 Litros Plateado Acero Canasta</t>
  </si>
  <si>
    <t>MLC1590145681</t>
  </si>
  <si>
    <t>Basurero Metálico Con Pedal 5 Litros Plateado Acero Canasta</t>
  </si>
  <si>
    <t>MLC1611538777</t>
  </si>
  <si>
    <t>Crema Bálsamo Para Rozaduras De Pañal 100 Ml Mustela</t>
  </si>
  <si>
    <t>MLC1583327473</t>
  </si>
  <si>
    <t>Basurero Metálico Con Pedal 20 Litros Plateado Acero Canasta</t>
  </si>
  <si>
    <t>MLC2855996872</t>
  </si>
  <si>
    <t>Estatua Dama De La Justicia Adorno Dama De La Justicia</t>
  </si>
  <si>
    <t>MLC1589018163</t>
  </si>
  <si>
    <t>MLC1607984995</t>
  </si>
  <si>
    <t>9+1 Superzings Dorado Coleccionables Superzings Serie 3</t>
  </si>
  <si>
    <t>MLC1611330597</t>
  </si>
  <si>
    <t>Shampoo Alpecin Cafeína Doble Efecto Anticaída 200 Ml</t>
  </si>
  <si>
    <t>MLC2855521002</t>
  </si>
  <si>
    <t>Basurero Metálico Con Pedal 8 Litros Pedal Acabado Madera Color Gris</t>
  </si>
  <si>
    <t>MLC2855683304</t>
  </si>
  <si>
    <t>Set 4 Libros Para Colorear Antiestrés 64 Paginas Extraibles</t>
  </si>
  <si>
    <t>MLC2895530748</t>
  </si>
  <si>
    <t>Barras De Proteina Yourgoal Twentys 12u Lemon Cheesecake</t>
  </si>
  <si>
    <t>MLC2895647764</t>
  </si>
  <si>
    <t>Barras De Proteina Twenty's Sabor Chocolate Fudge Pack 12 Barritas 60g C/u Yourgoal Nutrition Suplemento Con Proteina</t>
  </si>
  <si>
    <t>MLC2895751464</t>
  </si>
  <si>
    <t>Barras De Proteina Twenty's Sabor Chocolate Brownie Pack 12 Barritas 60g C/u Yourgoal Nutrition Suplemento Con Proteina</t>
  </si>
  <si>
    <t>MLC1607889075</t>
  </si>
  <si>
    <t>Super Zings Superslider Blister 5 Figuras Serie 3</t>
  </si>
  <si>
    <t>MLC1609044811</t>
  </si>
  <si>
    <t>MLC1582589593</t>
  </si>
  <si>
    <t>Fuente Pileta Cascada De Agua Jesus Grande 39 Cm Con Luz</t>
  </si>
  <si>
    <t>MLC1583375395</t>
  </si>
  <si>
    <t>Basurero Metálico Con Pedal 3 Litros Plateado Acero Canasta</t>
  </si>
  <si>
    <t>MLC1607933771</t>
  </si>
  <si>
    <t>Pack 10 Sobres Superzings Figuras Coleccionables Serie 3</t>
  </si>
  <si>
    <t>MLC2870262782</t>
  </si>
  <si>
    <t>Basurero Papelero Pedal 5 L Acero Inoxidable</t>
  </si>
  <si>
    <t>MLC2886454792</t>
  </si>
  <si>
    <t>MLC2895607974</t>
  </si>
  <si>
    <t>Barras De Proteina Protein Snack Sabor Chocolate &amp; Crispis Pack 5 Barritas 42g C/u Yourgoal Nutrition Suplemento Con Proteina</t>
  </si>
  <si>
    <t>MLC2895816052</t>
  </si>
  <si>
    <t>Barras De Proteina Protein Sanck Sabor Snack Berries &amp; White Glaze Pack 5 Barritas 42g C/u Yourgoal Nutrition Suplemento Con Proteina</t>
  </si>
  <si>
    <t>MLC1590158569</t>
  </si>
  <si>
    <t>Fuente De Agua Pileta De Agua Virgen Maria Con Luz 18 Cm</t>
  </si>
  <si>
    <t>MLC2853367360</t>
  </si>
  <si>
    <t>Pack 5 36cm Bandeja Redonda Antideslizante Restaurant Garzón</t>
  </si>
  <si>
    <t>MLC2869377854</t>
  </si>
  <si>
    <t>Estatua Figura Religiosa Angel Virgen Maria Familia Sagrada Color Roble</t>
  </si>
  <si>
    <t>MLC2870432226</t>
  </si>
  <si>
    <t>Pack De 3 Magnesio Malato 500mg 180 Cápsulas Vegetales Sabor Natural</t>
  </si>
  <si>
    <t>MLC2870456220</t>
  </si>
  <si>
    <t>L-treonato De Magnesio 500mg 90 Cápsulas 100% Natural Extrem</t>
  </si>
  <si>
    <t>MLC2895855204</t>
  </si>
  <si>
    <t>Yourgoal Barra Protein Snack Rich Caramel Caja 5un</t>
  </si>
  <si>
    <t>MLC1582563757</t>
  </si>
  <si>
    <t>Fuente Pileta Cascada De Agua Querubín Con Luz Grande 28cm</t>
  </si>
  <si>
    <t>MLC2855521136</t>
  </si>
  <si>
    <t>Pileta Y Cascada De Agua Buda Meditación Feng Shui Con Luz Color Gris</t>
  </si>
  <si>
    <t>MLC2887003786</t>
  </si>
  <si>
    <t>5 Figuras + Nave + Rampla Superzings Serie 3 Coleccionables</t>
  </si>
  <si>
    <t>MLC2900071446</t>
  </si>
  <si>
    <t>D-manosa + Cranberry + Probióticos 90 Cápsulas Ortomolecular Sin Sabor</t>
  </si>
  <si>
    <t>MLC2900097204</t>
  </si>
  <si>
    <t>Ultra Visión 399 Mg - 60 Cáps - Ortomolecular Chile</t>
  </si>
  <si>
    <t>MLC2900097404</t>
  </si>
  <si>
    <t>Ultra Magnesio Triple 60 Cápsulas Ortomolecular Chile Suplemento Alimentario Con Minerales</t>
  </si>
  <si>
    <t>MLC2900145920</t>
  </si>
  <si>
    <t>Ácido Caprílico 500 Mg 90 Cápsulas Vegetales Ortomolecular Chile Sin Sabor</t>
  </si>
  <si>
    <t>MLC2900158584</t>
  </si>
  <si>
    <t>Pileje Probiotico Lactibiane Atb 10 Caps Sabor Natural</t>
  </si>
  <si>
    <t>MLC2906417482</t>
  </si>
  <si>
    <t>Suplemento Alimenticio Adulto Mayor Essentials 50+ 60cap Sin Sabor</t>
  </si>
  <si>
    <t>MLC1582663459</t>
  </si>
  <si>
    <t>Organizador Verdulero Frutero 3 Niveles Metálico Inoxidable</t>
  </si>
  <si>
    <t>MLC1583743561</t>
  </si>
  <si>
    <t>Pileta Y Cascada De Agua Buda Meditación Feng Shui Con Luz</t>
  </si>
  <si>
    <t>MLC1585098747</t>
  </si>
  <si>
    <t>Estatua Decorativa Pileta De Agua Fuente De Agua Grande 40cm</t>
  </si>
  <si>
    <t>MLC1585111423</t>
  </si>
  <si>
    <t>Caja 48 Tazones Para Sublimacion Blanco Grado A 11oz Ceramic</t>
  </si>
  <si>
    <t>MLC1585124639</t>
  </si>
  <si>
    <t>Estatua Figura Adorno Jardín Loro Rojo Tropical Grande 27 Cm</t>
  </si>
  <si>
    <t>MLC1585173079</t>
  </si>
  <si>
    <t>Figura Estatua Adorno Caballo Blanco Grande 29 Cm Elegante</t>
  </si>
  <si>
    <t>MLC1585254215</t>
  </si>
  <si>
    <t>Estatua De Buda Para Decoración Zen Estatua De Buda 15cm</t>
  </si>
  <si>
    <t>MLC1585891979</t>
  </si>
  <si>
    <t>Estatua Figura Religiosa Angel Virgen Maria Familia Sagrada</t>
  </si>
  <si>
    <t>MLC1586344127</t>
  </si>
  <si>
    <t>Fuente De Agua Pileta De Agua Ganesha Con Luz 18 Cm</t>
  </si>
  <si>
    <t>MLC1596924193</t>
  </si>
  <si>
    <t>MLC1609718647</t>
  </si>
  <si>
    <t>Pack 5 Sobres Superzings Figuras Coleccionables Serie 3</t>
  </si>
  <si>
    <t>MLC1611409059</t>
  </si>
  <si>
    <t>MLC1611427455</t>
  </si>
  <si>
    <t>1 Candelabros Porta Velas Florero Eventos Boda Fiesta</t>
  </si>
  <si>
    <t>MLC1611454929</t>
  </si>
  <si>
    <t>3x Porta Vela Candelabro De Vidrio Diseño Flor De Loto</t>
  </si>
  <si>
    <t>MLC1611460233</t>
  </si>
  <si>
    <t>MLC1611467169</t>
  </si>
  <si>
    <t>MLC1611545323</t>
  </si>
  <si>
    <t>MLC1613733673</t>
  </si>
  <si>
    <t>Bentley Gel Lubricante Chocolate Menta 50 Gr.</t>
  </si>
  <si>
    <t>MLC1613741927</t>
  </si>
  <si>
    <t>Bentley Frutilla Gel 50 Gr.</t>
  </si>
  <si>
    <t>MLC1617088743</t>
  </si>
  <si>
    <t>MLC1621317911</t>
  </si>
  <si>
    <t>Audífono Bluetooth Hoco W35 Air 45hrs Para iPhone O Android</t>
  </si>
  <si>
    <t>MLC1621331327</t>
  </si>
  <si>
    <t>Power Bank Hoco 10000mah 22.5w Cargador Carga Rápida Negro</t>
  </si>
  <si>
    <t>MLC2853699866</t>
  </si>
  <si>
    <t>Reloj De Cocina Análogo Grande Dorado Reloj De Pared 60cm</t>
  </si>
  <si>
    <t>MLC2855681612</t>
  </si>
  <si>
    <t>Set Jarra Y 6 Vasos Conjunto Jarra 2 Litros Y 6 Vasos Vidrio</t>
  </si>
  <si>
    <t>MLC2855704966</t>
  </si>
  <si>
    <t>Estatua De Buda Para Decoración Zen Estatua De Buda 22cm</t>
  </si>
  <si>
    <t>MLC2856788222</t>
  </si>
  <si>
    <t>Fuente De Agua Pileta De Agua 3 Vasijas Grande 37 Cm Con Luz</t>
  </si>
  <si>
    <t>MLC2857300512</t>
  </si>
  <si>
    <t>Fuente De Agua Pileta De Agua Elefantes Grande 37 Cm Con Luz</t>
  </si>
  <si>
    <t>MLC2857327110</t>
  </si>
  <si>
    <t>Fuente De Agua Pileta De Agua Ganesha Interior 18cm Con Luz</t>
  </si>
  <si>
    <t>MLC2870277888</t>
  </si>
  <si>
    <t>Pack De 3 Magnesio Malato 500mg 180 Cápsulas Vegetales Sabor</t>
  </si>
  <si>
    <t>MLC2870367928</t>
  </si>
  <si>
    <t>MLC2872135864</t>
  </si>
  <si>
    <t>Bombonera Con Tapa Bombonera Para Bombones Ceramica Frutilla</t>
  </si>
  <si>
    <t>MLC2886357886</t>
  </si>
  <si>
    <t>MLC2888547512</t>
  </si>
  <si>
    <t>Barras De Proteina Protein Bite Black &amp; White Pack 4 Barrita</t>
  </si>
  <si>
    <t>MLC2889808586</t>
  </si>
  <si>
    <t>Superzings Caja 8 Superbots Figuras Coleccionables Serie 3</t>
  </si>
  <si>
    <t>MLC2892225070</t>
  </si>
  <si>
    <t>Set 60 25x17 Alfombra Infantil Goma Eva Cuadros Bebes Niños</t>
  </si>
  <si>
    <t>MLC2892355596</t>
  </si>
  <si>
    <t>Set 10 25x17 Alfombra Infantil Goma Eva Cuadros Bebes Niños</t>
  </si>
  <si>
    <t>MLC2892393542</t>
  </si>
  <si>
    <t>Set 29 25x17 Alfombra Infantil Goma Eva Cuadros Bebes Niños</t>
  </si>
  <si>
    <t>MLC2892446834</t>
  </si>
  <si>
    <t>Set 27 25x17 Alfombra Infantil Goma Eva Cuadros Bebes Niños</t>
  </si>
  <si>
    <t>MLC2895582228</t>
  </si>
  <si>
    <t>Yourgoal Barra Protein Snack Banana Chips &amp; Caramel Caja 5un</t>
  </si>
  <si>
    <t>MLC2895647120</t>
  </si>
  <si>
    <t>Barras De Proteina Protein Snack Sabor Chocolate &amp; Crispis P</t>
  </si>
  <si>
    <t>MLC2895764124</t>
  </si>
  <si>
    <t>Barras De Proteina Protein Sanck Sabor Snack Berries &amp; White</t>
  </si>
  <si>
    <t>MLC2895842164</t>
  </si>
  <si>
    <t>MLC2895881460</t>
  </si>
  <si>
    <t>Barras De Proteina Twenty's Sabor Chocolate Brownie Pack 12</t>
  </si>
  <si>
    <t>MLC2895881538</t>
  </si>
  <si>
    <t>MLC2896190010</t>
  </si>
  <si>
    <t>MLC2896190122</t>
  </si>
  <si>
    <t>Preservativo Lifestyles Skyn Original De 15 Unidades</t>
  </si>
  <si>
    <t>MLC2896241788</t>
  </si>
  <si>
    <t>Preservativos Skyn Elite Ultra Delgado Libre De Látex  X3un</t>
  </si>
  <si>
    <t>MLC2896267476</t>
  </si>
  <si>
    <t>Preservativos Prime Skyn Elite Sin Latex Finos X 3 Un</t>
  </si>
  <si>
    <t>MLC2896280488</t>
  </si>
  <si>
    <t>Bentley Tropical Passion Gel Lubricante Intimo 50 Gr</t>
  </si>
  <si>
    <t>MLC2896280586</t>
  </si>
  <si>
    <t>Skyn Large X 6</t>
  </si>
  <si>
    <t>MLC2896293684</t>
  </si>
  <si>
    <t>Lubricante Omg Bentley Estimulante</t>
  </si>
  <si>
    <t>MLC2896293694</t>
  </si>
  <si>
    <t>Bentley Classic Gel Lubricante Íntimo 50 Gr</t>
  </si>
  <si>
    <t>MLC2896293802</t>
  </si>
  <si>
    <t>Preservativo Lifestyles Skyn Large - 6 Unidades</t>
  </si>
  <si>
    <t>MLC2896306604</t>
  </si>
  <si>
    <t>Preservativos Condones Lifestyles X21un Vibra Ribbed Stimula</t>
  </si>
  <si>
    <t>MLC2896345276</t>
  </si>
  <si>
    <t>MLC2896358342</t>
  </si>
  <si>
    <t>MLC2896358394</t>
  </si>
  <si>
    <t>MLC2896370886</t>
  </si>
  <si>
    <t>Crevet Limonada Con Stevia 60 Sobres Vit C+ Propóleo + Zinc</t>
  </si>
  <si>
    <t>MLC2896370888</t>
  </si>
  <si>
    <t>MLC2896370956</t>
  </si>
  <si>
    <t>Bentley Classic Gel 50 Gr.</t>
  </si>
  <si>
    <t>MLC2896396666</t>
  </si>
  <si>
    <t>Lubricante Bentley Tropical</t>
  </si>
  <si>
    <t>MLC2896409798</t>
  </si>
  <si>
    <t>MLC2899985622</t>
  </si>
  <si>
    <t>Ácido Caprílico 500 Mg 90 Cápsulas Vegetales Ortomolecular C</t>
  </si>
  <si>
    <t>MLC2900071030</t>
  </si>
  <si>
    <t>MLC2900071444</t>
  </si>
  <si>
    <t>D-manosa + Cranberry + Probióticos 90 Cápsulas Ortomolecular</t>
  </si>
  <si>
    <t>MLC2900097400</t>
  </si>
  <si>
    <t>Ultra Magnesio Triple 60 Cápsulas Ortomolecular Chile Suplem</t>
  </si>
  <si>
    <t>MLC2900107914</t>
  </si>
  <si>
    <t>MLC2902317974</t>
  </si>
  <si>
    <t>Suplemento Alimenticio Adulto Mayor Essentials 50+ 60cap</t>
  </si>
  <si>
    <t>MLC2905507358</t>
  </si>
  <si>
    <t>B Complex B1 B2 B3 B5 B6 B9 B12 Biotina 60 Capsulas Sabor Neutro</t>
  </si>
  <si>
    <t>MLC2905644946</t>
  </si>
  <si>
    <t>B Complex B1 B2 B3 B5 B6 B9 B12 Biotina 60 Capsulas Sabor Ne</t>
  </si>
  <si>
    <t>MLC2906155236</t>
  </si>
  <si>
    <t>Telefono Senior Mlab 9204 Shell 4g Sos 2.8 Pulgadas Negro</t>
  </si>
  <si>
    <t>MLC2906168418</t>
  </si>
  <si>
    <t>Auriculares Inalámbricos Hoco W35 Air 45hrs Long Usage Time Color Azul Acero</t>
  </si>
  <si>
    <t>MLC2906181212</t>
  </si>
  <si>
    <t>Power Bank 20000 Bateria Portatil Super Carga 22.5w Hoco Col</t>
  </si>
  <si>
    <t>MLC2906181506</t>
  </si>
  <si>
    <t>Auriculares Inalámbricos Hoco W35 Air 45hrs Long Usage Time</t>
  </si>
  <si>
    <t>MLC2906194082</t>
  </si>
  <si>
    <t>Audifonos Hoco W35 Air Triumph Over Ear Bluetooth Silver Col</t>
  </si>
  <si>
    <t>MLC2906248372</t>
  </si>
  <si>
    <t>Golden Milk 100 Gr Blends &amp; Tea</t>
  </si>
  <si>
    <t>MLC2906254752</t>
  </si>
  <si>
    <t>Power Bank 20000 Bateria Portatil Super Carga 22.5w Hoco Color Negro</t>
  </si>
  <si>
    <t>MLC2906268046</t>
  </si>
  <si>
    <t>MLC2906271834</t>
  </si>
  <si>
    <t>Kuna Foods Puff - Mix Sabores 8u. 10g C/u +8meses Sin Gluten</t>
  </si>
  <si>
    <t>MLC2906280818</t>
  </si>
  <si>
    <t>Audifonos Hoco W35 Air Triumph Over Ear Bluetooth Silver Color Plata</t>
  </si>
  <si>
    <t>MLC2906301858</t>
  </si>
  <si>
    <t>Goldenmilk Tradicional 240 G Alma Golden Food - Leche Dorada</t>
  </si>
  <si>
    <t>MLC2906319330</t>
  </si>
  <si>
    <t>Audífono Bluetooth Hoco W35 Air 45hrs Para iPhone O Android Color Negro Luz Bl</t>
  </si>
  <si>
    <t>MLC2906348734</t>
  </si>
  <si>
    <t>Te Hibisco Detox Vitalidad 100 Gr Blends &amp; Tea</t>
  </si>
  <si>
    <t>18%</t>
  </si>
  <si>
    <t>16%</t>
  </si>
  <si>
    <t>14%</t>
  </si>
  <si>
    <t>11%</t>
  </si>
  <si>
    <t>17%</t>
  </si>
  <si>
    <t>13%</t>
  </si>
  <si>
    <t>15%</t>
  </si>
  <si>
    <t>20%</t>
  </si>
  <si>
    <t>12%</t>
  </si>
  <si>
    <t>10%</t>
  </si>
  <si>
    <t>Ingreso</t>
  </si>
  <si>
    <t>Costo</t>
  </si>
  <si>
    <t>Utilidad</t>
  </si>
  <si>
    <t>Rentabilidad</t>
  </si>
  <si>
    <t>Comision $</t>
  </si>
  <si>
    <t>Comision %</t>
  </si>
  <si>
    <t>ACOS Max</t>
  </si>
  <si>
    <t>Envio</t>
  </si>
  <si>
    <t>MLC1623120763</t>
  </si>
  <si>
    <t>MLC1622981513</t>
  </si>
  <si>
    <t>MLC1623083335</t>
  </si>
  <si>
    <t>MLC1623095101</t>
  </si>
  <si>
    <t>MLC2908960908</t>
  </si>
  <si>
    <t>MLC1623083375</t>
  </si>
  <si>
    <t>MLC1622916861</t>
  </si>
  <si>
    <t>MLC1622955543</t>
  </si>
  <si>
    <t>MLC1622916875</t>
  </si>
  <si>
    <t>MLC1623133639</t>
  </si>
  <si>
    <t>MLC2908930024</t>
  </si>
  <si>
    <t>MLC1623095205</t>
  </si>
  <si>
    <t>MLC1623107989</t>
  </si>
  <si>
    <t>MLC1623120909</t>
  </si>
  <si>
    <t>MLC2908972996</t>
  </si>
  <si>
    <t>MLC1623120933</t>
  </si>
  <si>
    <t>MLC1623083477</t>
  </si>
  <si>
    <t>MLC1623120955</t>
  </si>
  <si>
    <t>MLC1623058243</t>
  </si>
  <si>
    <t>MLC2908954280</t>
  </si>
  <si>
    <t>MLC2908954318</t>
  </si>
  <si>
    <t>MLC1623095351</t>
  </si>
  <si>
    <t>MLC1623108121</t>
  </si>
  <si>
    <t>MLC1623137477</t>
  </si>
  <si>
    <t>MLC1623099049</t>
  </si>
  <si>
    <t>MLC1623167021</t>
  </si>
  <si>
    <t>MLC1623167023</t>
  </si>
  <si>
    <t>MLC1623156015</t>
  </si>
  <si>
    <t>MLC2908976794</t>
  </si>
  <si>
    <t>MLC2909023670</t>
  </si>
  <si>
    <t>MLC1623156171</t>
  </si>
  <si>
    <t>MLC2909062362</t>
  </si>
  <si>
    <t>MLC2909049512</t>
  </si>
  <si>
    <t>Just For Men Control Gradual Negro</t>
  </si>
  <si>
    <t>Organyc Protector Diario Envoltorio 24 Unidades</t>
  </si>
  <si>
    <t>Kativa Argan Oil Serum Reparador Brillo Cabello Seco X 60ml</t>
  </si>
  <si>
    <t>Frosch Antigrasa Gatillo Pomelo 500 Cc</t>
  </si>
  <si>
    <t>Mustela Shampoo Suave 200 Ml</t>
  </si>
  <si>
    <t>Protector Térmico 12 Beneficios Brillo Reparación Kativa Cvl</t>
  </si>
  <si>
    <t>Kit Tratamiento Reconstrucción Capilar Kativa Total Plex</t>
  </si>
  <si>
    <t>Alisado Kativa Sin Plancha Xtreme Care 150ml Reconstruye</t>
  </si>
  <si>
    <t>Dermo Vagisil Jabón Líquido Odor Block 354ml</t>
  </si>
  <si>
    <t>Cepillo Para Cabello Wetbrush Shine Enhacer Desenredante Col</t>
  </si>
  <si>
    <t>Shampoo Kativa Coconut 355 Ml</t>
  </si>
  <si>
    <t>Mustela Agua Limpiadora En Seco 300 Ml</t>
  </si>
  <si>
    <t>Citrato De Magnesio Puro En Polvo X 300 Gramos Sabor Sin Sa</t>
  </si>
  <si>
    <t>Creatina Monohidrato Pura 1 K. Zeo Sport. 200 Mesh. Premium</t>
  </si>
  <si>
    <t>Pack Citrato De Magnesio + Cit. Potasio (polvo 300 Grs.) Sab</t>
  </si>
  <si>
    <t>Betarraga Pura 500 Mg 90 Caps Promueve Oxido Nitroso Lp Sabo</t>
  </si>
  <si>
    <t>Vitamina C Liposomal Calidad Premium X 90 Capsulas Vegetales</t>
  </si>
  <si>
    <t>V Min 5%</t>
  </si>
  <si>
    <t>MLC2912910014</t>
  </si>
  <si>
    <t>Proveedor</t>
  </si>
  <si>
    <t>EXTREMO SUR</t>
  </si>
  <si>
    <t>MULI</t>
  </si>
  <si>
    <t>ESPACIO B</t>
  </si>
  <si>
    <t>CASO Y CIA</t>
  </si>
  <si>
    <t>ZEO SPORT</t>
  </si>
  <si>
    <t>STRIVE</t>
  </si>
  <si>
    <t>FUNGI PHARMA</t>
  </si>
  <si>
    <t>YOURGOAL</t>
  </si>
  <si>
    <t>RITZY MASH</t>
  </si>
  <si>
    <t>ORTOMOLECULAR</t>
  </si>
  <si>
    <t>PRATER</t>
  </si>
  <si>
    <t>GSM</t>
  </si>
  <si>
    <t>ALMA</t>
  </si>
  <si>
    <t>KUNA</t>
  </si>
  <si>
    <t>BLENDS N TEA</t>
  </si>
  <si>
    <t>Fecha</t>
  </si>
  <si>
    <t>09-06-25</t>
  </si>
  <si>
    <t>Superzings 10 sobres</t>
  </si>
  <si>
    <t>180</t>
  </si>
  <si>
    <t>Cantidad</t>
  </si>
  <si>
    <t>Producto</t>
  </si>
  <si>
    <t>Costo Unitario</t>
  </si>
  <si>
    <t>5980</t>
  </si>
  <si>
    <t>14-06-25</t>
  </si>
  <si>
    <t>50</t>
  </si>
  <si>
    <t>6300</t>
  </si>
  <si>
    <t>Codigo ML</t>
  </si>
  <si>
    <t>Vitamina C Pura (premium) 3 Meses Linea Premium Vegana Sabor Sin Sabor</t>
  </si>
  <si>
    <t>MLC1626630879</t>
  </si>
  <si>
    <t>MLC1626756093</t>
  </si>
  <si>
    <t>MLC2915223008</t>
  </si>
  <si>
    <t>MLC2915327008</t>
  </si>
  <si>
    <t>Preservativo Sin Latex Lifestyles Skyn Large - 3 Unidades</t>
  </si>
  <si>
    <t>MLC2928522652</t>
  </si>
  <si>
    <t>Set Jarra Y 6 Vasos Conjunto Jarra 2 Litros 6 Vasos Vidrio Color Transparente</t>
  </si>
  <si>
    <t>MLC2914816834</t>
  </si>
  <si>
    <t>MLC2914955196</t>
  </si>
  <si>
    <t>Extensor De Alcance Wi-fi Xiaomi Mi Pro Repetidor Cn R03 Negro</t>
  </si>
  <si>
    <t>MASTERG</t>
  </si>
  <si>
    <t>MLC2914929332</t>
  </si>
  <si>
    <t>MLC2915031158</t>
  </si>
  <si>
    <t>Batería Externa Power Bank 20000 Mah 22.5w Pd Master-g</t>
  </si>
  <si>
    <t>MLC2915043526</t>
  </si>
  <si>
    <t>MLC2914725726</t>
  </si>
  <si>
    <t>Audifonos Bluetooth Tws Hoco Ew45 Gato Compatible iPhone Color Negro</t>
  </si>
  <si>
    <t>Audifonos Bluetooth Tws Hoco Ew45 Gato Compatible iPhone Col</t>
  </si>
  <si>
    <t>MLC2915031022</t>
  </si>
  <si>
    <t>MLC2914842624</t>
  </si>
  <si>
    <t>Batería Externa Power Bank 10000 Mah 22.5w Pd Master-g Color Azul</t>
  </si>
  <si>
    <t>GERMAN-ENERGY</t>
  </si>
  <si>
    <t>MLC2934865086</t>
  </si>
  <si>
    <t>MLC1632040755</t>
  </si>
  <si>
    <t>MLC2934968888</t>
  </si>
  <si>
    <t>MLC2934852156</t>
  </si>
  <si>
    <t>Vitamina C 1000 Mg Efervescente 20 Tabletas German Energy Sabor</t>
  </si>
  <si>
    <t>Vitamina C + Zinc Efervescente X 20 German Energy Sabor Naranja</t>
  </si>
  <si>
    <t>MLC2934826290</t>
  </si>
  <si>
    <t>MLC2934878026</t>
  </si>
  <si>
    <t>MLC2934852242</t>
  </si>
  <si>
    <t>MLC2934878074</t>
  </si>
  <si>
    <t>MLC1632040881</t>
  </si>
  <si>
    <t>MLC1632040883</t>
  </si>
  <si>
    <t>LALOBERIA</t>
  </si>
  <si>
    <t>MLC2934865872</t>
  </si>
  <si>
    <t>Charqui De Wayu La Loberia 40 Grs</t>
  </si>
  <si>
    <t>MLC1632201247</t>
  </si>
  <si>
    <t>MLC1632188237</t>
  </si>
  <si>
    <t>MLC1632123637</t>
  </si>
  <si>
    <t>MLC2935063826</t>
  </si>
  <si>
    <t>MLC1632071979</t>
  </si>
  <si>
    <t>MLC1632042297</t>
  </si>
  <si>
    <t>MLC2933761312</t>
  </si>
  <si>
    <t>MLC2933761314</t>
  </si>
  <si>
    <t>MLC2936005026</t>
  </si>
  <si>
    <t>MLC2936400616</t>
  </si>
  <si>
    <t>MLC2937484970</t>
  </si>
  <si>
    <t>MLC2937023856</t>
  </si>
  <si>
    <t>MLC2938085790</t>
  </si>
  <si>
    <t>Golden Milk 200 gr Blends N Tea</t>
  </si>
  <si>
    <t>Endulzante Líquido Naturalist Stevia Y Sucralosa 450 Ml</t>
  </si>
  <si>
    <t>Aceite Tratamiento Kativa Keratina 60 Ml</t>
  </si>
  <si>
    <t>Lustra Mueble Líquido Frosch Aseo Ecológico</t>
  </si>
  <si>
    <t>Kativa Coconut Oil Serum Reparador Brillo Pelo Dañado X 60ml</t>
  </si>
  <si>
    <t>Bioplus Probioticos Multivitaminico Tab Efervescentes X 20</t>
  </si>
  <si>
    <t>Pre Entreno Xtreme Boost Tubo 20 Tabletas Sabor Guaraná</t>
  </si>
  <si>
    <t>Multivitaminas + Biotina Efervescente German Energy X 3 Unid Sabor Naranja</t>
  </si>
  <si>
    <t>MLC2942173314</t>
  </si>
  <si>
    <t>MLC2942303216</t>
  </si>
  <si>
    <t>Infor Pro Sport Creatina X 60 Gomitas Sabor Frutos Tropicale</t>
  </si>
  <si>
    <t>MLC2942394228</t>
  </si>
  <si>
    <t>MLC2942238238</t>
  </si>
  <si>
    <t>Preservativos Condones Lifestyles X15un Skyn Feel Sin Látex</t>
  </si>
  <si>
    <t>MLC2942381276</t>
  </si>
  <si>
    <t>MLC2942355196</t>
  </si>
  <si>
    <t>Lifestyles Preservativos Studded-rough Rider X 21</t>
  </si>
  <si>
    <t>MLC2942277246</t>
  </si>
  <si>
    <t>MLC2942212312</t>
  </si>
  <si>
    <t>Preservativos Skyn Extra Lubricated X 6</t>
  </si>
  <si>
    <t>MLC2942394250</t>
  </si>
  <si>
    <t>MLC2942407268</t>
  </si>
  <si>
    <t>Endulzante Líquido Naturalist Stevia Y Sucralosa 270 Ml</t>
  </si>
  <si>
    <t>MLC2942290138</t>
  </si>
  <si>
    <t>MLC2943199608</t>
  </si>
  <si>
    <t>Preservativo Orgazmax Con Textura &amp; Retardante 3 Und</t>
  </si>
  <si>
    <t>MLC2942160228</t>
  </si>
  <si>
    <t>Stevia Polvo 400 Sobres Naturalist</t>
  </si>
  <si>
    <t>MLC2942199330</t>
  </si>
  <si>
    <t>MLC2943251496</t>
  </si>
  <si>
    <t>Endulzante Tableta Naturalist Stevia Y Sucralosa 900 Un</t>
  </si>
  <si>
    <t>MLC2942355276</t>
  </si>
  <si>
    <t>MLC2942238308</t>
  </si>
  <si>
    <t>Gel Hidratante Clinic Acido Hialurónico Bentley 50gr</t>
  </si>
  <si>
    <t>MLC2942174758</t>
  </si>
  <si>
    <t>MLC2943201012</t>
  </si>
  <si>
    <t>Organyc Toallitas Compactads De Algodon Baby 60 Un</t>
  </si>
  <si>
    <t>MLC2942213684</t>
  </si>
  <si>
    <t>MLC2942213686</t>
  </si>
  <si>
    <t>Pétalos Desmaquillante Biodegradables Organyc 70u Full</t>
  </si>
  <si>
    <t>MLC2943498966</t>
  </si>
  <si>
    <t>MLC2942239634</t>
  </si>
  <si>
    <t>MLC2942382684</t>
  </si>
  <si>
    <t>MLC2942213692</t>
  </si>
  <si>
    <t>Kativa Hyaluronic Shampoo Hidratación Profunda Vegano Pelo</t>
  </si>
  <si>
    <t>Kativa Crema Coconut 300ml - Ml</t>
  </si>
  <si>
    <t>MLC2943784068</t>
  </si>
  <si>
    <t>MLC2942369716</t>
  </si>
  <si>
    <t>Kativa Hyaluronic Acondicionador Hidratación Profunda Vegano</t>
  </si>
  <si>
    <t>MLC2943110254</t>
  </si>
  <si>
    <t>MLC2942213822</t>
  </si>
  <si>
    <t>Acondicionador Kativa Reconstrucción Coconut X355ml</t>
  </si>
  <si>
    <t>MLC2943577026</t>
  </si>
  <si>
    <t>MLC2943201298</t>
  </si>
  <si>
    <t>Power Bank Hoco J101b 30.000 Mah 22.5w Fast Charge Color Negro</t>
  </si>
  <si>
    <t>MLC2943577034</t>
  </si>
  <si>
    <t>MLC2943641728</t>
  </si>
  <si>
    <t>Audifonos Para iPhone Lightning Con Microfono - Hoco Color Blanco Luz Blanco</t>
  </si>
  <si>
    <t>Auriculares W35 Max Joy Bt Color Gold Luz Plateado</t>
  </si>
  <si>
    <t>MLC2942252882</t>
  </si>
  <si>
    <t>MLC2943499262</t>
  </si>
  <si>
    <t>Crema Antirozaduras 50 ml</t>
  </si>
  <si>
    <t>MLC2943261160</t>
  </si>
  <si>
    <t>MLC2942390944</t>
  </si>
  <si>
    <t>MLC2947112604</t>
  </si>
  <si>
    <t>MLC2942247960</t>
  </si>
  <si>
    <t>MLC2943118506</t>
  </si>
  <si>
    <t>MLC2947246518</t>
  </si>
  <si>
    <t>MLC2950176156</t>
  </si>
  <si>
    <t>MLC2950189532</t>
  </si>
  <si>
    <t>MLC2950215486</t>
  </si>
  <si>
    <t>MLC1641818277</t>
  </si>
  <si>
    <t>MLC1641521193</t>
  </si>
  <si>
    <t>Puffs Cereal Infantil Kuna Foods Platano Zapallo - 50g</t>
  </si>
  <si>
    <t>Puffs Cereal Infantil Kuna Foods Frutilla Betarraga - 50g</t>
  </si>
  <si>
    <t>Puffs Cereal Infantil Kuna Foods Pera Espinaca - 50g</t>
  </si>
  <si>
    <t>Puffs Cereal Infantil Kuna Foods Manzana Arandano - 50g</t>
  </si>
  <si>
    <t>Aceite Mustela De Masaje 100 Ml</t>
  </si>
  <si>
    <t>Te Hibisco Detox Vitalidad 150 Gr Blends &amp; Tea</t>
  </si>
  <si>
    <t>Beta Alanina Strive 60 Porciones Sin Sabor</t>
  </si>
  <si>
    <t>Isolate Protein Strive 21 Porciones 42 Scoop</t>
  </si>
  <si>
    <t>MLC1646935669</t>
  </si>
  <si>
    <t>MLC2976030226</t>
  </si>
  <si>
    <t>MLC2976017074</t>
  </si>
  <si>
    <t>Dermo Vagisil Jabón Liquido Intimo Ph Balanceado 354 Ml</t>
  </si>
  <si>
    <t>MLC2978633074</t>
  </si>
  <si>
    <t>Super Zings Caja 25 Figuras Coleccionables Serie 3</t>
  </si>
  <si>
    <t>MLC2980636552</t>
  </si>
  <si>
    <t>Ganesha Estatua Pileta Fuente De Agua Interior Con Luz 18cm Color Dorado</t>
  </si>
  <si>
    <t>MLC2978908502</t>
  </si>
  <si>
    <t>Fuente Pileta Cascada De Agua Buda 41 Cm Feng Shui</t>
  </si>
  <si>
    <t>MLC2984744820</t>
  </si>
  <si>
    <t>Fuente De Agua Pileta De Agua Virgen Maria Con Luz 18 Cm Color Gris</t>
  </si>
  <si>
    <t>MLC2986750152</t>
  </si>
  <si>
    <t>MLC2986698430</t>
  </si>
  <si>
    <t>MLC2992261372</t>
  </si>
  <si>
    <t>MLC2992261374</t>
  </si>
  <si>
    <t>MLC2992261378</t>
  </si>
  <si>
    <t>MLC2992261376</t>
  </si>
  <si>
    <t>MLC2997532814</t>
  </si>
  <si>
    <t>MLC2997337764</t>
  </si>
  <si>
    <t>MLC2997519898</t>
  </si>
  <si>
    <t>MLC2997779812</t>
  </si>
  <si>
    <t>MLC2997855954</t>
  </si>
  <si>
    <t>MLC1656116407</t>
  </si>
  <si>
    <t>MLC1656282035</t>
  </si>
  <si>
    <t>MLC2997971940</t>
  </si>
  <si>
    <t>MLC2997910656</t>
  </si>
  <si>
    <t>MLC1656286403</t>
  </si>
  <si>
    <t>MLC1656345313</t>
  </si>
  <si>
    <t>MLC2999253390</t>
  </si>
  <si>
    <t>MLC2999407926</t>
  </si>
  <si>
    <t>MLC2999317562</t>
  </si>
  <si>
    <t>MLC2999305100</t>
  </si>
  <si>
    <t>MLC2999369414</t>
  </si>
  <si>
    <t>MLC2999253474</t>
  </si>
  <si>
    <t>MLC1657828571</t>
  </si>
  <si>
    <t>MLC1657892519</t>
  </si>
  <si>
    <t>Soporte Celular Rejilla Auto Resistente Hoco Ajustable 360</t>
  </si>
  <si>
    <t>Box 5 Barras Mini Twentys 8g - Your Goal Sabor Lemon Cheesecake</t>
  </si>
  <si>
    <t>Box 5 Barras Mini Twentys 8g - Your Goal Sabor Chocolate Brownie</t>
  </si>
  <si>
    <t>Box 5 Barras Mini Twentys 8g - Your Goal Sabor Chocolate Fudge</t>
  </si>
  <si>
    <t>Pack 3 Candelabro O Portavela Flor De Loto Grande 15 Cm</t>
  </si>
  <si>
    <t>Pack 3 Candelabro O Portavela De Vidrio Flor De Loto 12cm</t>
  </si>
  <si>
    <t>Candelabro O Porta Velas De Vidrio 14cm 2,5cm Diametro</t>
  </si>
  <si>
    <t>Candelabro O Porta Vela De Vidrio 16cm 2,5cm Diametro</t>
  </si>
  <si>
    <t>Candelabro O Porta Vela De Vidrio 15cm 2,5cm Diametro</t>
  </si>
  <si>
    <t>Candelabro O Portavela De Vidrio 11cm 2,5cm Diámetro</t>
  </si>
  <si>
    <t>Audifonos Bluetooth Marca Hoco Modelo W35 Max Over Ear Negros 90 Horas De Uso</t>
  </si>
  <si>
    <t>Audifonos Bluetooth Marca Hoco / Modelo W35 Max Over Ear - Plata - 90 Horas De Uso</t>
  </si>
  <si>
    <t>SKU</t>
  </si>
  <si>
    <t>PACK 4 710768</t>
  </si>
  <si>
    <t>Pack10TwoPack</t>
  </si>
  <si>
    <t>SOBRES 710763</t>
  </si>
  <si>
    <t>SOBRES 5 710763</t>
  </si>
  <si>
    <t>COMJFM30095</t>
  </si>
  <si>
    <t>MUSCRF35631</t>
  </si>
  <si>
    <t>KATIAB49236</t>
  </si>
  <si>
    <t>MUSGEL35617</t>
  </si>
  <si>
    <t>MUSCRC35624</t>
  </si>
  <si>
    <t>RESPIR00818</t>
  </si>
  <si>
    <t>MUSCR125847</t>
  </si>
  <si>
    <t>ORGPR009959</t>
  </si>
  <si>
    <t>KATIAS50099</t>
  </si>
  <si>
    <t>COMARG40507</t>
  </si>
  <si>
    <t>7804651160211</t>
  </si>
  <si>
    <t>7896108058967</t>
  </si>
  <si>
    <t>Pack2Mag-Cit</t>
  </si>
  <si>
    <t>Pack2Bisglicinato</t>
  </si>
  <si>
    <t>Pack 3 Magnesio</t>
  </si>
  <si>
    <t>7804651160235</t>
  </si>
  <si>
    <t>Pack2Mag-Citrato</t>
  </si>
  <si>
    <t>Pack2BisgliEX</t>
  </si>
  <si>
    <t>7896108058967-1</t>
  </si>
  <si>
    <t>7804651160211-1</t>
  </si>
  <si>
    <t>7896108056567</t>
  </si>
  <si>
    <t>7804651160358</t>
  </si>
  <si>
    <t>Pack3MagMalatoEX</t>
  </si>
  <si>
    <t>7804651160358-1</t>
  </si>
  <si>
    <t>7804651160310-1</t>
  </si>
  <si>
    <t>Pack3MagMalato</t>
  </si>
  <si>
    <t>7804651160310</t>
  </si>
  <si>
    <t>7804651160389</t>
  </si>
  <si>
    <t>7804671180107</t>
  </si>
  <si>
    <t>7804671180121</t>
  </si>
  <si>
    <t>7804671180145</t>
  </si>
  <si>
    <t>7804671180718</t>
  </si>
  <si>
    <t>7804665350134</t>
  </si>
  <si>
    <t>6942007616331</t>
  </si>
  <si>
    <t>6931474782472</t>
  </si>
  <si>
    <t>6927900092048</t>
  </si>
  <si>
    <t>6942007616355</t>
  </si>
  <si>
    <t>6931474782496</t>
  </si>
  <si>
    <t>6942007616348</t>
  </si>
  <si>
    <t>6934177789328</t>
  </si>
  <si>
    <t>6931474789211</t>
  </si>
  <si>
    <t>6931474782519</t>
  </si>
  <si>
    <t>6942007625593</t>
  </si>
  <si>
    <t>Mix10g</t>
  </si>
  <si>
    <t>0659525149413</t>
  </si>
  <si>
    <t>0659525149437</t>
  </si>
  <si>
    <t>0745853842901</t>
  </si>
  <si>
    <t>0658325660784</t>
  </si>
  <si>
    <t>Charqui</t>
  </si>
  <si>
    <t>431602960240</t>
  </si>
  <si>
    <t>431602960235</t>
  </si>
  <si>
    <t>788133</t>
  </si>
  <si>
    <t>ML272</t>
  </si>
  <si>
    <t>107175</t>
  </si>
  <si>
    <t>104996</t>
  </si>
  <si>
    <t>107427</t>
  </si>
  <si>
    <t>107179</t>
  </si>
  <si>
    <t>WF33333</t>
  </si>
  <si>
    <t>WF33338</t>
  </si>
  <si>
    <t>105493</t>
  </si>
  <si>
    <t>103368</t>
  </si>
  <si>
    <t>45100</t>
  </si>
  <si>
    <t>45094</t>
  </si>
  <si>
    <t>WF33311</t>
  </si>
  <si>
    <t>105651</t>
  </si>
  <si>
    <t>NH67914</t>
  </si>
  <si>
    <t>BM22183</t>
  </si>
  <si>
    <t>WF33204</t>
  </si>
  <si>
    <t>104922</t>
  </si>
  <si>
    <t>TH21562</t>
  </si>
  <si>
    <t>TH21543</t>
  </si>
  <si>
    <t>TH21550</t>
  </si>
  <si>
    <t>TH21563</t>
  </si>
  <si>
    <t>106958</t>
  </si>
  <si>
    <t>105741</t>
  </si>
  <si>
    <t>105650</t>
  </si>
  <si>
    <t>105022</t>
  </si>
  <si>
    <t>YQ102251</t>
  </si>
  <si>
    <t>WF33353</t>
  </si>
  <si>
    <t>58484</t>
  </si>
  <si>
    <t>SP201069</t>
  </si>
  <si>
    <t>TH21549</t>
  </si>
  <si>
    <t>SP201078</t>
  </si>
  <si>
    <t>SP201082</t>
  </si>
  <si>
    <t>107123</t>
  </si>
  <si>
    <t>SP201067</t>
  </si>
  <si>
    <t>SP201076</t>
  </si>
  <si>
    <t>SP201074</t>
  </si>
  <si>
    <t>SP201075</t>
  </si>
  <si>
    <t>SP201079</t>
  </si>
  <si>
    <t>ML331</t>
  </si>
  <si>
    <t>107180</t>
  </si>
  <si>
    <t>103370</t>
  </si>
  <si>
    <t>103366</t>
  </si>
  <si>
    <t>ML235</t>
  </si>
  <si>
    <t>ML236</t>
  </si>
  <si>
    <t>ML247</t>
  </si>
  <si>
    <t>107833</t>
  </si>
  <si>
    <t>WF33336</t>
  </si>
  <si>
    <t>103367</t>
  </si>
  <si>
    <t>RS66888</t>
  </si>
  <si>
    <t>105007</t>
  </si>
  <si>
    <t>106551G</t>
  </si>
  <si>
    <t>LB404002</t>
  </si>
  <si>
    <t>WF33322</t>
  </si>
  <si>
    <t>WF33337</t>
  </si>
  <si>
    <t>FH49021</t>
  </si>
  <si>
    <t>WF33313</t>
  </si>
  <si>
    <t>WF33356</t>
  </si>
  <si>
    <t>ML256</t>
  </si>
  <si>
    <t>WF33374</t>
  </si>
  <si>
    <t>107093</t>
  </si>
  <si>
    <t>FH49054</t>
  </si>
  <si>
    <t>BM22104</t>
  </si>
  <si>
    <t>WF33328</t>
  </si>
  <si>
    <t>102285</t>
  </si>
  <si>
    <t>104925</t>
  </si>
  <si>
    <t>NE6511</t>
  </si>
  <si>
    <t>105738</t>
  </si>
  <si>
    <t>WF33377</t>
  </si>
  <si>
    <t>WF33375</t>
  </si>
  <si>
    <t>WF33327</t>
  </si>
  <si>
    <t>TH21557</t>
  </si>
  <si>
    <t>786430</t>
  </si>
  <si>
    <t>786432</t>
  </si>
  <si>
    <t>786431</t>
  </si>
  <si>
    <t>786428</t>
  </si>
  <si>
    <t>106551C</t>
  </si>
  <si>
    <t>WF33373</t>
  </si>
  <si>
    <t>OM1238</t>
  </si>
  <si>
    <t>OM1214</t>
  </si>
  <si>
    <t>OM1221</t>
  </si>
  <si>
    <t>OM1153</t>
  </si>
  <si>
    <t>PLJ8174</t>
  </si>
  <si>
    <t>PT345090-60</t>
  </si>
  <si>
    <t>PT550038-60</t>
  </si>
  <si>
    <t>PT345157-11</t>
  </si>
  <si>
    <t>PT345166</t>
  </si>
  <si>
    <t>PT345091-60</t>
  </si>
  <si>
    <t>PT345183</t>
  </si>
  <si>
    <t>PT550094-60</t>
  </si>
  <si>
    <t>PT540341-61</t>
  </si>
  <si>
    <t>7804918450949</t>
  </si>
  <si>
    <t>PT340200-15</t>
  </si>
  <si>
    <t>7804918402375</t>
  </si>
  <si>
    <t>7804918404034</t>
  </si>
  <si>
    <t>7804918453384</t>
  </si>
  <si>
    <t>7804918451595</t>
  </si>
  <si>
    <t>7804918450956</t>
  </si>
  <si>
    <t>7804918451847</t>
  </si>
  <si>
    <t>7804918401651</t>
  </si>
  <si>
    <t>7804918450697</t>
  </si>
  <si>
    <t>7804918403921</t>
  </si>
  <si>
    <t>7804918404072</t>
  </si>
  <si>
    <t>7804918452547</t>
  </si>
  <si>
    <t>Blueberry</t>
  </si>
  <si>
    <t>Strive Magnesio</t>
  </si>
  <si>
    <t>0799192418051</t>
  </si>
  <si>
    <t>0799192051531</t>
  </si>
  <si>
    <t>0799192418013</t>
  </si>
  <si>
    <t>0799192051562</t>
  </si>
  <si>
    <t>799192418020</t>
  </si>
  <si>
    <t>799192418020-1</t>
  </si>
  <si>
    <t>0799192051555</t>
  </si>
  <si>
    <t>0745853478841</t>
  </si>
  <si>
    <t>0745853432492</t>
  </si>
  <si>
    <t>0745853432409</t>
  </si>
  <si>
    <t>0745853478896</t>
  </si>
  <si>
    <t>0614143337437</t>
  </si>
  <si>
    <t>FROAT112942</t>
  </si>
  <si>
    <t>106499C</t>
  </si>
  <si>
    <t>106499N</t>
  </si>
  <si>
    <t>106498N</t>
  </si>
  <si>
    <t>106498C</t>
  </si>
  <si>
    <t>6942007612210</t>
  </si>
  <si>
    <t>6942007612203</t>
  </si>
  <si>
    <t>105772</t>
  </si>
  <si>
    <t>106727</t>
  </si>
  <si>
    <t>106729</t>
  </si>
  <si>
    <t>106887</t>
  </si>
  <si>
    <t>106567</t>
  </si>
  <si>
    <t>106568</t>
  </si>
  <si>
    <t>805307</t>
  </si>
  <si>
    <t>805306</t>
  </si>
  <si>
    <t>6931474751485</t>
  </si>
  <si>
    <t>Chaga</t>
  </si>
  <si>
    <t>0745853379704</t>
  </si>
  <si>
    <t>Cordycep</t>
  </si>
  <si>
    <t>0745853379728</t>
  </si>
  <si>
    <t>Shiitake</t>
  </si>
  <si>
    <t>0745853379766</t>
  </si>
  <si>
    <t>0745853379711</t>
  </si>
  <si>
    <t>Cola de Pavo</t>
  </si>
  <si>
    <t>Maitake</t>
  </si>
  <si>
    <t>0745853379735</t>
  </si>
  <si>
    <t>COMJFM20020</t>
  </si>
  <si>
    <t>COMARG40514</t>
  </si>
  <si>
    <t>KATIKL23932</t>
  </si>
  <si>
    <t>MUSAM035860</t>
  </si>
  <si>
    <t>MUSCR525786</t>
  </si>
  <si>
    <t>MLC1657980961</t>
  </si>
  <si>
    <t>107123 Blanco Alce</t>
  </si>
  <si>
    <t>Goma Eva Plegable 1,8m X 1,5m 6mm Resistente Niños Bebes</t>
  </si>
  <si>
    <t>MLC1657835319</t>
  </si>
  <si>
    <t>107123 Rosado</t>
  </si>
  <si>
    <t>MLC1657770681</t>
  </si>
  <si>
    <t>107123 Arbol Azul</t>
  </si>
  <si>
    <t>MLC3004433330</t>
  </si>
  <si>
    <t>MLC3005659656</t>
  </si>
  <si>
    <t>CH-EXTH-30</t>
  </si>
  <si>
    <t>Separador De Servicios Organizador De Servicios O Cubiertos Color Transparente</t>
  </si>
  <si>
    <t>Fungi Pharma Extracto De Hongo Chaga Inmunomodulador 30ml</t>
  </si>
  <si>
    <t>MLC3005503866</t>
  </si>
  <si>
    <t>CO-EXTH-30</t>
  </si>
  <si>
    <t>Fungi Pharma Extracto De Hongo Cordyceps Adaptogeno 30ml</t>
  </si>
  <si>
    <t>MLC3005503868</t>
  </si>
  <si>
    <t>Suplemento Fungi Pharma Suplementos Alimenticios Cordyceps - False</t>
  </si>
  <si>
    <t>MLC3005595056</t>
  </si>
  <si>
    <t>SH-EXTH-30</t>
  </si>
  <si>
    <t>Fungi Pharma - Extracto De Hongo Shiitake 30 Ml</t>
  </si>
  <si>
    <t>MLC3005569042</t>
  </si>
  <si>
    <t>TU-EXTH-30</t>
  </si>
  <si>
    <t>Fungi Pharma Extracto De Hongo Cola De Pavo Adaptogeno 30ml</t>
  </si>
  <si>
    <t>MLC3005621100</t>
  </si>
  <si>
    <t>Suplemento En Gotas Fungi Pharma Suplementos Alimenticios Cola De Pavo Concentrado Liquido X 30ml</t>
  </si>
  <si>
    <t>MLC3005556052</t>
  </si>
  <si>
    <t>MA-EXTH-30</t>
  </si>
  <si>
    <t>Fungi Pharma - Extracto De Hongo Maitake 30ml</t>
  </si>
  <si>
    <t>MLC3008124202</t>
  </si>
  <si>
    <t>Fungi Pharma Extracto De Hongo Maitake Adaptogeno Tonifica Sabor Sin Sabor</t>
  </si>
  <si>
    <t>MLC3009302444</t>
  </si>
  <si>
    <t>Alma Matcha</t>
  </si>
  <si>
    <t>Goldenmilk Matcha 240 Gr - Leche Dorada Alma Foods</t>
  </si>
  <si>
    <t>MLC3009771438</t>
  </si>
  <si>
    <t>Goldenmilk Cacao 240 Gr - Leche Dorada Alma Foods</t>
  </si>
  <si>
    <t>MLC3024819090</t>
  </si>
  <si>
    <t>Soporte Para Auto Hoco Ca94 Polaris Para Rejilla Negro</t>
  </si>
  <si>
    <t>MLC3025065170</t>
  </si>
  <si>
    <t>CEMAX</t>
  </si>
  <si>
    <t>MLC1669277943</t>
  </si>
  <si>
    <t>Thomas Th-80n Cocedor De Huevos Color Negra</t>
  </si>
  <si>
    <t>MLC1669075769</t>
  </si>
  <si>
    <t>MLC1668998351</t>
  </si>
  <si>
    <t>Hervidor Thomas Th-4340 1,7 Litros Color Blanco</t>
  </si>
  <si>
    <t>MLC1669011133</t>
  </si>
  <si>
    <t>MLC1669115003</t>
  </si>
  <si>
    <t>MLC1669253391</t>
  </si>
  <si>
    <t>Plancha De Vapor Th-7003 Color Blanco</t>
  </si>
  <si>
    <t>MLC1669104065</t>
  </si>
  <si>
    <t>MLC1669000313</t>
  </si>
  <si>
    <t>Secador De Pelo Siegen Sg-3031 Color Púrpura</t>
  </si>
  <si>
    <t>MLC1669255479</t>
  </si>
  <si>
    <t>Ondulador Siegen Sg-2411 Cilindro 25mm Color Negro</t>
  </si>
  <si>
    <t>MLC1668961729</t>
  </si>
  <si>
    <t>MLC1669130145</t>
  </si>
  <si>
    <t>MLC1668974445</t>
  </si>
  <si>
    <t>Extractor De Jugo Th-2652i Color Gris</t>
  </si>
  <si>
    <t>MLC1669267867</t>
  </si>
  <si>
    <t>Alisador Siegen Sg-3510 Cerámica + Tourmalina</t>
  </si>
  <si>
    <t>MLC1669280533</t>
  </si>
  <si>
    <t>MLC3038184008</t>
  </si>
  <si>
    <t>Beta Alanina Strive 60 Porciones Sin Sabor Sin Sabor</t>
  </si>
  <si>
    <t>MLC1671256301</t>
  </si>
  <si>
    <t>Quitapelusa Siegen Sg-1010</t>
  </si>
  <si>
    <t>MLC1671204425</t>
  </si>
  <si>
    <t>MLC3040325866</t>
  </si>
  <si>
    <t>Fuente Pileta Cascada De Agua Buda 41 Cm Feng Shui Gris</t>
  </si>
  <si>
    <t>MLC3040016192</t>
  </si>
  <si>
    <t>MLC3040313278</t>
  </si>
  <si>
    <t>MLC3040326008</t>
  </si>
  <si>
    <t>MLC3042430604</t>
  </si>
  <si>
    <t>Candelabro O Porta Vela De Vidrio 15cm 2,5cm Diametro Transparente</t>
  </si>
  <si>
    <t>Suplemento En Polvo Strive Proteína Aislada X 700g</t>
  </si>
  <si>
    <t>Candelabro O Porta Vela De Vidrio 16cm 2,5cm Diametro Transparente</t>
  </si>
  <si>
    <t>Candelabro O Portavela De Vidrio 11cm 2,5cm Diámetro Transparente</t>
  </si>
  <si>
    <t>MLC2978896122</t>
  </si>
  <si>
    <t>Panera Redonda De Mimbre 24 Cm Amarillo Mimbre</t>
  </si>
  <si>
    <t>103047N</t>
  </si>
  <si>
    <t>103047B</t>
  </si>
  <si>
    <t>MLC3067408210</t>
  </si>
  <si>
    <t>MLC3067305126</t>
  </si>
  <si>
    <t>Auriculares Hoco M111 Para iPhone Lightning Alta Calidad Color Blanco</t>
  </si>
  <si>
    <t>MLC3067333060</t>
  </si>
  <si>
    <t>KATISH66779</t>
  </si>
  <si>
    <t>Shampoo Kativa Curly Plex 355 Ml</t>
  </si>
  <si>
    <t>MLC1675875181</t>
  </si>
  <si>
    <t>MLC3067320464</t>
  </si>
  <si>
    <t>KATICR66809</t>
  </si>
  <si>
    <t>Curl Activator Cream X240ml - Ml</t>
  </si>
  <si>
    <t>MLC3067320460</t>
  </si>
  <si>
    <t>MLC3067424090</t>
  </si>
  <si>
    <t>KATIAC66786</t>
  </si>
  <si>
    <t>Acndicionador Profundo Kativa Curly Plex 450 Ml</t>
  </si>
  <si>
    <t>MLC3067397828</t>
  </si>
  <si>
    <t>MLC3067333198</t>
  </si>
  <si>
    <t>Kativa Keratina Acondicionador Nutricion Y Brillo Pelo 355ml</t>
  </si>
  <si>
    <t>KATIAC58002</t>
  </si>
  <si>
    <t>MLC3067436312</t>
  </si>
  <si>
    <t>MLC3067320724</t>
  </si>
  <si>
    <t>Tratamiento Capilar Kativa Intenso Con Keratina 300ml</t>
  </si>
  <si>
    <t>KATIPO58811</t>
  </si>
  <si>
    <t>MLC3067384908</t>
  </si>
  <si>
    <t>MLC3067307584</t>
  </si>
  <si>
    <t>KATISH58361</t>
  </si>
  <si>
    <t>Kativa Shampoo Keratina · Nutrición, Suavidad Y Brillo 355ml</t>
  </si>
  <si>
    <t>MLC1675888299</t>
  </si>
  <si>
    <t>MLC1678124523</t>
  </si>
  <si>
    <t>Secador De Pelo Siegen Sg-3005 Pocket Color Negro</t>
  </si>
  <si>
    <t>MLC1678022001</t>
  </si>
  <si>
    <t>MLC1678099155</t>
  </si>
  <si>
    <t>MLC1678226311</t>
  </si>
  <si>
    <t>Alisador Siegen Sg-b4758 Vapor Ultrasónico + Luz Infrarroja Color Blanco</t>
  </si>
  <si>
    <t>MLC1678124499</t>
  </si>
  <si>
    <t>MLC3086129984</t>
  </si>
  <si>
    <t>Batidora Eléctrica Thomas Th-910pr Color Rojo</t>
  </si>
  <si>
    <t>MLC1678060473</t>
  </si>
  <si>
    <t>MLC3086129970</t>
  </si>
  <si>
    <t>Batidora Pedestal Planetaria Th-911b Color Blanco</t>
  </si>
  <si>
    <t>MLC1678021959</t>
  </si>
  <si>
    <t>MLC1678111779</t>
  </si>
  <si>
    <t>Ondulador Siegen Sg-2420 Cilindro 33mm Color Negro</t>
  </si>
  <si>
    <t>MLC1678034875</t>
  </si>
  <si>
    <t>MLC1678034873</t>
  </si>
  <si>
    <t>Trimmer Siegen Sg-8011 2en 1 Color Negro</t>
  </si>
  <si>
    <t>KATIAC58040</t>
  </si>
  <si>
    <t>KATISH58064</t>
  </si>
  <si>
    <t>KATIOI44821</t>
  </si>
  <si>
    <t>KATIOI21624</t>
  </si>
  <si>
    <t>KATIPO58767</t>
  </si>
  <si>
    <t>KATITP63044</t>
  </si>
  <si>
    <t>KATIOI24885</t>
  </si>
  <si>
    <t>KATISH60746</t>
  </si>
  <si>
    <t>ALPSH214317</t>
  </si>
  <si>
    <t>Isolate</t>
  </si>
  <si>
    <t>Beta</t>
  </si>
  <si>
    <t>ALPLO214218</t>
  </si>
  <si>
    <t>ME-EXTH-30</t>
  </si>
  <si>
    <t>RE-EXTH-30</t>
  </si>
  <si>
    <t>Screatina</t>
  </si>
  <si>
    <t>1319</t>
  </si>
  <si>
    <t>MLC3086615010</t>
  </si>
  <si>
    <t>107583R</t>
  </si>
  <si>
    <t>MLC3086615012</t>
  </si>
  <si>
    <t>107583B</t>
  </si>
  <si>
    <t>MLC3092101060</t>
  </si>
  <si>
    <t>MLC3092101058</t>
  </si>
  <si>
    <t>MLC2978896086</t>
  </si>
  <si>
    <t>Panera Ovalada De Mimbre 27cm</t>
  </si>
  <si>
    <t>MLC3108109514</t>
  </si>
  <si>
    <t>MLC3108057824</t>
  </si>
  <si>
    <t>Citrato De Magensio + Citrato De Potasio 1 Kilo En Polvo Sabor Propio</t>
  </si>
  <si>
    <t>MLC3108989094</t>
  </si>
  <si>
    <t>Fungi Pharma - Extracto De Hongo Shiitake 30 Ml Sin Sabor</t>
  </si>
  <si>
    <t>MLC1686939469</t>
  </si>
  <si>
    <t>MLC1686875147</t>
  </si>
  <si>
    <t>Barras De Proteina Twenty's Sabor Chocolate Brownie Pack 4 Barritas 60g C/u Yourgoal Nutrition Suplemento Con Proteina</t>
  </si>
  <si>
    <t>MLC1686913839</t>
  </si>
  <si>
    <t>MLC1686952543</t>
  </si>
  <si>
    <t>Box 4 Barras Twentys Lemon Cheesecake - Your Goal</t>
  </si>
  <si>
    <t>MLC1686913869</t>
  </si>
  <si>
    <t>Box 4 Barras Twentys Chocolate Fudge - Your Goal</t>
  </si>
  <si>
    <t>MLC1686965677</t>
  </si>
  <si>
    <t>MLC1686875221</t>
  </si>
  <si>
    <t>MLC1687055461</t>
  </si>
  <si>
    <t>Barras De Proteina Twenty's Sabor Avellana Hazelnut Praline Pack 4 Barritas 60g C/u Yourgoal Nutrition Suplemento Con Proteina</t>
  </si>
  <si>
    <t>MLC3110787142</t>
  </si>
  <si>
    <t>Espejo Para Maquillaje Espejo Doble De Mesa Con Aumento 36cm Rosado</t>
  </si>
  <si>
    <t>ORGTO001267</t>
  </si>
  <si>
    <t>MLC3114523712</t>
  </si>
  <si>
    <t>Golden Milk 150g Recarga Blends And Tea Curcuma</t>
  </si>
  <si>
    <t>MLC3114447200</t>
  </si>
  <si>
    <t>MLC3114485416</t>
  </si>
  <si>
    <t>MLC3114472312</t>
  </si>
  <si>
    <t>MLC3114601822</t>
  </si>
  <si>
    <t>MLC3114549828</t>
  </si>
  <si>
    <t>MLC3114588654</t>
  </si>
  <si>
    <t>MLC3114537112</t>
  </si>
  <si>
    <t>MLC3114472506</t>
  </si>
  <si>
    <t>MLC3114563012</t>
  </si>
  <si>
    <t>MLC3114537172</t>
  </si>
  <si>
    <t>MLC3114472532</t>
  </si>
  <si>
    <t>MLC3114576206</t>
  </si>
  <si>
    <t>MLC3114524222</t>
  </si>
  <si>
    <t>MLC3114640244</t>
  </si>
  <si>
    <t>MLC3114472620</t>
  </si>
  <si>
    <t>Indigo Estrella Nocturna 35g Recarga Blends And Tea</t>
  </si>
  <si>
    <t>MLC3114640314</t>
  </si>
  <si>
    <t>Pink Detox 50g Blends And Tea</t>
  </si>
  <si>
    <t>MLC3114588972</t>
  </si>
  <si>
    <t>Purpura Detox 100g Blends And Tea</t>
  </si>
  <si>
    <t>MLC3114537386</t>
  </si>
  <si>
    <t>Purpura Detox 150g Blends And Tea</t>
  </si>
  <si>
    <t>MLC3114537446</t>
  </si>
  <si>
    <t>Purpura Detox 100g Recarga Blends And Tea</t>
  </si>
  <si>
    <t>MLC3114538510</t>
  </si>
  <si>
    <t>Rooibos Relax 50g Blends And Tea</t>
  </si>
  <si>
    <t>MLC3114486880</t>
  </si>
  <si>
    <t>Rooibos Relax 100g Blends And Tea</t>
  </si>
  <si>
    <t>MLC3114603244</t>
  </si>
  <si>
    <t>Rooibos Relax 150g Blends And Tea</t>
  </si>
  <si>
    <t>MLC3114473772</t>
  </si>
  <si>
    <t>Rooibos Relax 100g Recarga Blends And Tea</t>
  </si>
  <si>
    <t>MLC3114486934</t>
  </si>
  <si>
    <t>Infusion Sirio Dulces Sueños 60g Blends And Tea</t>
  </si>
  <si>
    <t>MLC1687893833</t>
  </si>
  <si>
    <t>Infusion Sirio Dulces Sueños 100g Blends And Tea</t>
  </si>
  <si>
    <t>MLC3114486952</t>
  </si>
  <si>
    <t>Infusion Sirio Dulces Sueños 35g Recarga Blends And Tea</t>
  </si>
  <si>
    <t>MLC1687932313</t>
  </si>
  <si>
    <t>Matcha Blue 50g Recarga Blends And Tea</t>
  </si>
  <si>
    <t>MLC1687962995</t>
  </si>
  <si>
    <t>Te Blanco Chai 50g Blends And Tea</t>
  </si>
  <si>
    <t>MLC1688053665</t>
  </si>
  <si>
    <t>Te Blanco Chai 100g Blends And Tea</t>
  </si>
  <si>
    <t>MLC1688079279</t>
  </si>
  <si>
    <t>Te Blanco Chai 150g Blends And Tea</t>
  </si>
  <si>
    <t>MLC1687989255</t>
  </si>
  <si>
    <t>Te Blanco Chai 100g Recarga Blends And Tea</t>
  </si>
  <si>
    <t>MLC3117050472</t>
  </si>
  <si>
    <t>Te Blanco Manzana Y Frutilla 50g Blends And Tea</t>
  </si>
  <si>
    <t>MLC3116934362</t>
  </si>
  <si>
    <t>Te Blanco Manzana Y Frutilla 100g Blends And Tea</t>
  </si>
  <si>
    <t>MLC3117115248</t>
  </si>
  <si>
    <t>Te Blanco Manzana Y Frutilla 100g Recarga Blends And Tea</t>
  </si>
  <si>
    <t>MLC3116896086</t>
  </si>
  <si>
    <t>Te Fucsia 50g Blends And Tea</t>
  </si>
  <si>
    <t>MLC3117141510</t>
  </si>
  <si>
    <t>Te Fucsia 100g Blends And Tea</t>
  </si>
  <si>
    <t>MLC3117051682</t>
  </si>
  <si>
    <t>Te Fucsia 100g Recarga Blends And Tea</t>
  </si>
  <si>
    <t>MLC3116884272</t>
  </si>
  <si>
    <t>Te Negro Cacao 50g Blends And Tea</t>
  </si>
  <si>
    <t>MLC3116896774</t>
  </si>
  <si>
    <t>Te Negro Cacao 100g Blends And Tea</t>
  </si>
  <si>
    <t>MLC3117013490</t>
  </si>
  <si>
    <t>Te Negro Cacao 100g Recarga Blends And Tea</t>
  </si>
  <si>
    <t>MLC3116896852</t>
  </si>
  <si>
    <t>Te Negro Masala Chai 100g Blends And Tea</t>
  </si>
  <si>
    <t>MLC1689123437</t>
  </si>
  <si>
    <t>Te Negro Masala Chai 150g Blends And Tea</t>
  </si>
  <si>
    <t>MLC1689058519</t>
  </si>
  <si>
    <t>Te Negro Masala Chai 100g Recarga Blends And Tea</t>
  </si>
  <si>
    <t>MLC1689097837</t>
  </si>
  <si>
    <t>Te Oolong Jengibre Limon 50g Blends And Tea</t>
  </si>
  <si>
    <t>MLC1689110567</t>
  </si>
  <si>
    <t>Te Oolong Jengibre Limon 100g Blends And Tea</t>
  </si>
  <si>
    <t>MLC3117476414</t>
  </si>
  <si>
    <t>Te Oolong Jengibre Limon 150g Blends And Tea</t>
  </si>
  <si>
    <t>MLC3117437860</t>
  </si>
  <si>
    <t>Te Oolong Jengibre Limon 100g Recarga Blends And Tea</t>
  </si>
  <si>
    <t>MLC1689349077</t>
  </si>
  <si>
    <t>Te Oolong Manzana Canela 50g Blends And Tea</t>
  </si>
  <si>
    <t>MLC1689059043</t>
  </si>
  <si>
    <t>Te Oolong Manzana Canela 100g Blends And Tea</t>
  </si>
  <si>
    <t>MLC1689072239</t>
  </si>
  <si>
    <t>Te Oolong Manzana Canela 100g Recarga Blends And Tea</t>
  </si>
  <si>
    <t>MLC1689362349</t>
  </si>
  <si>
    <t>Te Pu-erh Rosas 100g Blends And Tea</t>
  </si>
  <si>
    <t>MLC1689124437</t>
  </si>
  <si>
    <t>Te Pu-erh Rosas 150g Blends And Tea</t>
  </si>
  <si>
    <t>MLC1689085255</t>
  </si>
  <si>
    <t>Te Pu-erh Rosas 100g Recarga Blends And Tea</t>
  </si>
  <si>
    <t>MLC3117536918</t>
  </si>
  <si>
    <t>Te Pu-erh Naranja 100g Blends And Tea</t>
  </si>
  <si>
    <t>MLC1689349479</t>
  </si>
  <si>
    <t>Te Pu-erh Naranja 150g Blends And Tea</t>
  </si>
  <si>
    <t>MLC1689085407</t>
  </si>
  <si>
    <t>Te Pu-erh Naranja 100g Recarga Blends And Tea</t>
  </si>
  <si>
    <t>MLC1689375187</t>
  </si>
  <si>
    <t>Te Verde Detox 50g Blends And Tea</t>
  </si>
  <si>
    <t>MLC3117625958</t>
  </si>
  <si>
    <t>Te Verde Detox 100g Blends And Tea</t>
  </si>
  <si>
    <t>MLC1689362583</t>
  </si>
  <si>
    <t>Te Verde Detox 150g Blends And Tea</t>
  </si>
  <si>
    <t>MLC1689137437</t>
  </si>
  <si>
    <t>Te Verde Detox 100g Recarga Blends And Tea</t>
  </si>
  <si>
    <t>MLC1689085649</t>
  </si>
  <si>
    <t>Té Verde Menta - Frutilla 100g Blends And Tea</t>
  </si>
  <si>
    <t>MLC3117614260</t>
  </si>
  <si>
    <t>Té Verde Menta - Frutilla 150g Blends And Tea</t>
  </si>
  <si>
    <t>MLC1689059791</t>
  </si>
  <si>
    <t>Té Verde Menta - Frutilla 100g Recarga Blends And Tea</t>
  </si>
  <si>
    <t>MLC3121791366</t>
  </si>
  <si>
    <t>Creapure</t>
  </si>
  <si>
    <t>Creatina Monohidratada Creapure 300g Strive</t>
  </si>
  <si>
    <t>Infusión Armonía Fase Menstrual 50g Blends And Tea</t>
  </si>
  <si>
    <t>Infusión Armonía Fase Menstrual 150g Blends And Tea</t>
  </si>
  <si>
    <t>Infusión Armonía Fase Menstrual 100g Recarga</t>
  </si>
  <si>
    <t>Infusión Azul Relajante 50g</t>
  </si>
  <si>
    <t>Infusión Azul Relajante 100g Blends And Tea</t>
  </si>
  <si>
    <t>Infusión Azul Relajante 150g Blends And Tea</t>
  </si>
  <si>
    <t>Infusión Azul Relajante 100g Recarga Blends And Tea</t>
  </si>
  <si>
    <t>Hibisco Sueño Profundo 50g Blends And Tea</t>
  </si>
  <si>
    <t>Hibisco Sueño Profundo 100g Blends And Tea</t>
  </si>
  <si>
    <t>Hibisco Sueño Profundo 150g Blends And Tea</t>
  </si>
  <si>
    <t>Hibisco Sueño Profundo 100g Recarga Blends And Tea</t>
  </si>
  <si>
    <t>Indigo Estrella Nocturna 40g Blends And Tea</t>
  </si>
  <si>
    <t>Indigo Estrella Nocturna 60g Blends And Tea</t>
  </si>
  <si>
    <t>Indigo Estrella Nocturna 100g Blends And Tea</t>
  </si>
  <si>
    <t>MLC3134950270</t>
  </si>
  <si>
    <t>MLC3137731242</t>
  </si>
  <si>
    <t>Separador De Servicios Organizador De Servicios O Cubiertos Color Blanco</t>
  </si>
  <si>
    <t>MLC1703814075</t>
  </si>
  <si>
    <t>MLC1703735977</t>
  </si>
  <si>
    <t>MLC3174055132</t>
  </si>
  <si>
    <t>MLC3173887108</t>
  </si>
  <si>
    <t>MLC3174055702</t>
  </si>
  <si>
    <t>MLC3174061226</t>
  </si>
  <si>
    <t>MLC3173944846</t>
  </si>
  <si>
    <t>MLC3173918828</t>
  </si>
  <si>
    <t>MLC3174074694</t>
  </si>
  <si>
    <t>MLC3173906610</t>
  </si>
  <si>
    <t>710840 Caja Sellada Serie 4</t>
  </si>
  <si>
    <t>MLC3174074946</t>
  </si>
  <si>
    <t>MLC3173945900</t>
  </si>
  <si>
    <t>Pack 10 Sobres (1 Fig Por Sobre) Superzings Serie 4</t>
  </si>
  <si>
    <t>Figuritas Superzings One Serie 4</t>
  </si>
  <si>
    <t>Caja Sellada 25 Sobres (1 Fig Por Sobre) Superzing Serie 4</t>
  </si>
  <si>
    <t>Pack 10 Sobres Twopack (2 Figuras) Superzings Serie 4</t>
  </si>
  <si>
    <t>Super Zings Serie 4 Pack Inicial ( Comic + Pack Zings)</t>
  </si>
  <si>
    <t>Superzings Serie 4 Pack (comic + Megajet + 2 Fig + Bolsa)</t>
  </si>
  <si>
    <t>9+1 Superzings Dorado Coleccionables Superzings Serie 4</t>
  </si>
  <si>
    <t>Pack 2 Blaster Jets + 4 Superzings Serie 4</t>
  </si>
  <si>
    <t>Pack 5 Blaster Jets + 5 Figuras Superzing Serie 4</t>
  </si>
  <si>
    <t>Pack 4 Megajets + 4 Figuras Superzing Serie 4</t>
  </si>
  <si>
    <t>Superzings Series 4 Display 8 Megajet + Figura</t>
  </si>
  <si>
    <t>Caja 8 Megajets + 8 Figuras Superzing Serie 4</t>
  </si>
  <si>
    <t>MLC3174762618</t>
  </si>
  <si>
    <t>MLC1704704317</t>
  </si>
  <si>
    <t>MLC1704704493</t>
  </si>
  <si>
    <t>Shampoo Vanilla Passion Iluminador Capilar 270ml Ritzy Mash</t>
  </si>
  <si>
    <t>Shampoo Blueberry Iluminador Capilar 270ml Ritzy Mash</t>
  </si>
  <si>
    <t>MLC1704829705</t>
  </si>
  <si>
    <t>Cafeina Anhidra Sin Sabor 30 Caps 30 Porciones Zeo Sport</t>
  </si>
  <si>
    <t>MLC3176613118</t>
  </si>
  <si>
    <t>MLC1705391351</t>
  </si>
  <si>
    <t>MLC3177954208</t>
  </si>
  <si>
    <t>MLC3177851214</t>
  </si>
  <si>
    <t>MLC3177838704</t>
  </si>
  <si>
    <t>MLC3177903118</t>
  </si>
  <si>
    <t>MLC3177982200</t>
  </si>
  <si>
    <t>MLC3177926422</t>
  </si>
  <si>
    <t>MLC3177874818</t>
  </si>
  <si>
    <t>MLC3181213354</t>
  </si>
  <si>
    <t>Panera Pino</t>
  </si>
  <si>
    <t>MLC1708395147</t>
  </si>
  <si>
    <t>Uslero Grueso</t>
  </si>
  <si>
    <t>MLC1708628273</t>
  </si>
  <si>
    <t>Mortero</t>
  </si>
  <si>
    <t>MLC1708460409</t>
  </si>
  <si>
    <t>Tabla Rosada</t>
  </si>
  <si>
    <t>MLC1708628583</t>
  </si>
  <si>
    <t>Tabla de picar Amarilla</t>
  </si>
  <si>
    <t>MLC1708579771</t>
  </si>
  <si>
    <t>Marron Oscuro</t>
  </si>
  <si>
    <t>MLC1708372845</t>
  </si>
  <si>
    <t>Marron Claro</t>
  </si>
  <si>
    <t>MLC1708386125</t>
  </si>
  <si>
    <t>Taburete Pequeo</t>
  </si>
  <si>
    <t>JOSE</t>
  </si>
  <si>
    <t>Crema Aclarante Vanilla Passion 105 Ml Ritzy Mash</t>
  </si>
  <si>
    <t>Mascara Blueberry Iluminador Capilar 270 Ml Ritzy Mash</t>
  </si>
  <si>
    <t>Mascara Vanilla Passion Iluminador Capilar 270 Ml Ritzy Mash</t>
  </si>
  <si>
    <t>Serum Todo Cabello Sin Enjuage Blueberry 30 Ml Ritzy Mash</t>
  </si>
  <si>
    <t>Serum Todo Cabello Sin Enjuage Bubblegum 30 Ml Ritzy Mash</t>
  </si>
  <si>
    <t>Serum Todo Cabello Sin Enjuage Vanilla 30 Ml Ritzy Mash</t>
  </si>
  <si>
    <t>Caja 30 Unidades Chocolate Crunch 21g Proteina Yourgoal</t>
  </si>
  <si>
    <t>Citrato De Magnesio Puro En Polvo Doypack 100 Grs Sin Sabor</t>
  </si>
  <si>
    <t>Caja Panera De Madera Con Tapa Enrollable Multiuso Grande</t>
  </si>
  <si>
    <t>Uslero Madera Amasar Pan Postres Rodillo Reposteria Cocina</t>
  </si>
  <si>
    <t>Mortero De Madera Moledor De Hierbas Semillas Cocina</t>
  </si>
  <si>
    <t>Tabla Para Picar De Madera Grande Gruesa 47x25x3,5 Lenga</t>
  </si>
  <si>
    <t>Piso Bar De Madera Taburete De Madera Alto 69 Cm</t>
  </si>
  <si>
    <t>Taburete De Madera Piso Bar De Madera Bajo 49 Cm</t>
  </si>
  <si>
    <t>MLC3190473830</t>
  </si>
  <si>
    <t>MLC3190719304</t>
  </si>
  <si>
    <t>MLC1710581099</t>
  </si>
  <si>
    <t>MLC1710517921</t>
  </si>
  <si>
    <t>MLC1710684845</t>
  </si>
  <si>
    <t>710844 BLISTER BLASTER</t>
  </si>
  <si>
    <t>MLC1710775847</t>
  </si>
  <si>
    <t>Hervidor Thomas Th-6070vi 1,8 Litros Color Negro</t>
  </si>
  <si>
    <t>MLC1710762837</t>
  </si>
  <si>
    <t>MLC1710658915</t>
  </si>
  <si>
    <t>Alisador Siegen Sg-4653 Placas Con Titanio</t>
  </si>
  <si>
    <t>MLC1710620417</t>
  </si>
  <si>
    <t>MLC1710697999</t>
  </si>
  <si>
    <t>Secador De Pelo Siegen Sg-3012 Negro</t>
  </si>
  <si>
    <t>MLC1710646589</t>
  </si>
  <si>
    <t>Calienta Cama Siegen Sg-5121d5 2 Plazas (150 X 140 Cms) Colo</t>
  </si>
  <si>
    <t>MLC1710685409</t>
  </si>
  <si>
    <t>Calienta Cama Siegen Sg-5121d5 2 Plazas (150 X 140 Cms) Color Blanco</t>
  </si>
  <si>
    <t>MLC1710711573</t>
  </si>
  <si>
    <t>MLC1710685563</t>
  </si>
  <si>
    <t>Multimixer Thomas Th-8706</t>
  </si>
  <si>
    <t>MLC3191980970</t>
  </si>
  <si>
    <t>MLC1710673607</t>
  </si>
  <si>
    <t>Aspiradora Thomas Th-1220af Aquafilter</t>
  </si>
  <si>
    <t>MLC1710660395</t>
  </si>
  <si>
    <t>MLC1710854997</t>
  </si>
  <si>
    <t>MLC3192099632</t>
  </si>
  <si>
    <t>MLC3192534188</t>
  </si>
  <si>
    <t>MLC1710892881</t>
  </si>
  <si>
    <t>Cafeina Anhidra Sin Sabor 30 Caps 30 Porciones Zeo Sport Sin Sabor</t>
  </si>
  <si>
    <t>MLC1710983057</t>
  </si>
  <si>
    <t>Bombonera De Navidad Caramelera De Navidad 3 Litros</t>
  </si>
  <si>
    <t>NH67947</t>
  </si>
  <si>
    <t>MLC1710970217</t>
  </si>
  <si>
    <t>TH121591</t>
  </si>
  <si>
    <t>Bombonera De Navidad Caramelera De Ceramica 3l Pascuero</t>
  </si>
  <si>
    <t>MLC1710905583</t>
  </si>
  <si>
    <t>Soporte De Botella Navidad Viejo Pascuero Ceramica</t>
  </si>
  <si>
    <t>NH67950</t>
  </si>
  <si>
    <t>MLC1711048433</t>
  </si>
  <si>
    <t>TH121610</t>
  </si>
  <si>
    <t>Canasto De Navidad Ceramica Viejito Pascuero</t>
  </si>
  <si>
    <t>MLC3195425012</t>
  </si>
  <si>
    <t>Panera Redonda De Mimbre 24 Cm Amarillo</t>
  </si>
  <si>
    <t>MLC1712210619</t>
  </si>
  <si>
    <t>Panera Ovalada De Mimbre 27cm Dorado</t>
  </si>
  <si>
    <t>MLC3195985306</t>
  </si>
  <si>
    <t>MLC3195894462</t>
  </si>
  <si>
    <t>Alisador Siegen Sg-3540 Cerámica + Tourmalina</t>
  </si>
  <si>
    <t>MLC3195907584</t>
  </si>
  <si>
    <t>Horno Electrico Thomas Th-25n01 25 Litros</t>
  </si>
  <si>
    <t>MLC3195868516</t>
  </si>
  <si>
    <t>MLC3195946546</t>
  </si>
  <si>
    <t>MLC3195998252</t>
  </si>
  <si>
    <t>MLC3196049900</t>
  </si>
  <si>
    <t>Secador De Pelo Siegen Sg-3035 Color Negro</t>
  </si>
  <si>
    <t>Horno Eléctrico 16lt Th-16n01 Thomas</t>
  </si>
  <si>
    <t>MLC3195881576</t>
  </si>
  <si>
    <t>MLC3196037030</t>
  </si>
  <si>
    <t>Aspiradora De Tacho Thomas Junior Th-1516 16l</t>
  </si>
  <si>
    <t>MLC3195881592</t>
  </si>
  <si>
    <t>MLC3195972344</t>
  </si>
  <si>
    <t>Licuadora Portátil Thomas Personal Blender Th-300pb 600 Ml Inox Con Jarra De Plástico</t>
  </si>
  <si>
    <t>MLC3195998306</t>
  </si>
  <si>
    <t>MLC3195933556</t>
  </si>
  <si>
    <t>Microondas Thomas Th-20s01 Manual 20 Litros</t>
  </si>
  <si>
    <t>MLC3196049956</t>
  </si>
  <si>
    <t>MLC3195946606</t>
  </si>
  <si>
    <t>Batidora Eléctrica Thomas Th-910pn Pedestal Negra</t>
  </si>
  <si>
    <t>MLC3195907650</t>
  </si>
  <si>
    <t>MLC1711881829</t>
  </si>
  <si>
    <t>Hervidor Thomas Th-4515n 2 Litros</t>
  </si>
  <si>
    <t>MLC3195972448</t>
  </si>
  <si>
    <t>MLC3195868696</t>
  </si>
  <si>
    <t>Horno Electrico Thomas Th-100i 100 Litros Color Plateado</t>
  </si>
  <si>
    <t>MLC3195933744</t>
  </si>
  <si>
    <t>MLC3195985562</t>
  </si>
  <si>
    <t>Parrilla Eléctrica Thomas Th-224 1650w Color Negro</t>
  </si>
  <si>
    <t>MLC3195985586</t>
  </si>
  <si>
    <t>MLC3195972578</t>
  </si>
  <si>
    <t>Aspiradora Trineo Thomas Th-1415 3l Blanca 50hz/60hz</t>
  </si>
  <si>
    <t>MLC3195959602</t>
  </si>
  <si>
    <t>MLC3195894800</t>
  </si>
  <si>
    <t>Aspiradora Thomas Th-1407 1400w Color Gris</t>
  </si>
  <si>
    <t>MLC3195868836</t>
  </si>
  <si>
    <t>MLC3196037304</t>
  </si>
  <si>
    <t>Aspiradora Thomas Th-2206bl Ciclónica</t>
  </si>
  <si>
    <t>MLC3195985646</t>
  </si>
  <si>
    <t>MLC3195868856</t>
  </si>
  <si>
    <t>Multimixer Thomas Th-8725 Color Blanco</t>
  </si>
  <si>
    <t>MLC3195894838</t>
  </si>
  <si>
    <t>MLC1711882097</t>
  </si>
  <si>
    <t>Freidora De Aire Th-af60mi Color Plateado</t>
  </si>
  <si>
    <t>MLC3195946972</t>
  </si>
  <si>
    <t>MLC3195933914</t>
  </si>
  <si>
    <t>Secador De Pelo Siegen Sg-3049c01 Color Fucsia</t>
  </si>
  <si>
    <t>MLC3195947074</t>
  </si>
  <si>
    <t>MLC3195908052</t>
  </si>
  <si>
    <t>Alisador Siegen Sg-4751 Placas Con Titanio</t>
  </si>
  <si>
    <t>MLC3195972852</t>
  </si>
  <si>
    <t>MLC3196011656</t>
  </si>
  <si>
    <t>Alisador Siegen Sg-4651 Placas Con Titanio</t>
  </si>
  <si>
    <t>MLC1715903335</t>
  </si>
  <si>
    <t>Crema Aclarante Vanilla Passion 105 Ml Ritzy Mash Sin Tono</t>
  </si>
  <si>
    <t>MLC1715889737</t>
  </si>
  <si>
    <t>Horno De Mesa Eléctrico Thomas 25litros Cocina Th-25n01</t>
  </si>
  <si>
    <t>MLC1716155885</t>
  </si>
  <si>
    <t>MLC1715850997</t>
  </si>
  <si>
    <t>Te Oolong Manzana Canela 150g Blends And Tea</t>
  </si>
  <si>
    <t>MLC3221654658</t>
  </si>
  <si>
    <t>Creapure- Creatina Monohidratada 100% 300g Strive Sabor Sin Sabor</t>
  </si>
  <si>
    <t>TablaPino</t>
  </si>
  <si>
    <t>Tabla Para Picar De Madera Grande Gruesa 39x24,5x3,5 Pino</t>
  </si>
  <si>
    <t>MLC3221949790</t>
  </si>
  <si>
    <t>MLC1716836157</t>
  </si>
  <si>
    <t>MLC3210459358</t>
  </si>
  <si>
    <t>Bandeja de Desayuno</t>
  </si>
  <si>
    <t>Bandeja De Desayuno Madera Plegable Portavasos Cama Notebook</t>
  </si>
  <si>
    <t>MLC3213493958</t>
  </si>
  <si>
    <t>Cereales Kuna Foods Puffs Manzana Arándano En Bolsa 50 g</t>
  </si>
  <si>
    <t>MLC3214993650</t>
  </si>
  <si>
    <t>NH67936</t>
  </si>
  <si>
    <t>MLC1720233209</t>
  </si>
  <si>
    <t>NH67937</t>
  </si>
  <si>
    <t>Bandeja Rectangular Decorativa Navidad Ceramica</t>
  </si>
  <si>
    <t>Bandeja Decorativa Navidad Viejo Pascuero Ceramica</t>
  </si>
  <si>
    <t>MLC3215073938</t>
  </si>
  <si>
    <t>Bandeja Redonda Navideña Viejo Pascuero De Ceramica 33cm</t>
  </si>
  <si>
    <t>NH67938</t>
  </si>
  <si>
    <t>MLC1720274527</t>
  </si>
  <si>
    <t>NH67940</t>
  </si>
  <si>
    <t>Bandeja Cuadrada De Navidad Decorativa De Ceramica 26cm</t>
  </si>
  <si>
    <t>MLC3215472364</t>
  </si>
  <si>
    <t>NH67941</t>
  </si>
  <si>
    <t>Bandeja Redonda De Navidad Decorativa De Ceramica 31cm</t>
  </si>
  <si>
    <t>NH67942</t>
  </si>
  <si>
    <t>MLC3215036008</t>
  </si>
  <si>
    <t>Bandeja Redonda De Navidad Decorativa De Ceramica 26cm</t>
  </si>
  <si>
    <t>MLC3215472964</t>
  </si>
  <si>
    <t>NH67945</t>
  </si>
  <si>
    <t>Bandeja Rectangular De Navidad Decorativa De Ceramica 33cm</t>
  </si>
  <si>
    <t>Bandeja Rectangular De Navidad Decorativa De Ceramica 32,5cm</t>
  </si>
  <si>
    <t>MLC3215473556</t>
  </si>
  <si>
    <t>NH67952</t>
  </si>
  <si>
    <t>MLC3215037224</t>
  </si>
  <si>
    <t>TH121581</t>
  </si>
  <si>
    <t>Servilletero De Navidad Decorativo De Ceramica 11,5cm</t>
  </si>
  <si>
    <t>MLC3215511730</t>
  </si>
  <si>
    <t>TH121588</t>
  </si>
  <si>
    <t>Plato De Navidad Decorativo De Ceramica Grande 31,5cm</t>
  </si>
  <si>
    <t>MLC3215511822</t>
  </si>
  <si>
    <t>TH121599</t>
  </si>
  <si>
    <t>Tetera De Navidad Decorativa De Ceramica 700ml</t>
  </si>
  <si>
    <t>MLC3215474142</t>
  </si>
  <si>
    <t>TH121609</t>
  </si>
  <si>
    <t>MLC1726540139</t>
  </si>
  <si>
    <t>un x Caja Maestra</t>
  </si>
  <si>
    <t>710837 Caja Completa Megajet</t>
  </si>
  <si>
    <t>710837 Pack 4 Megajets</t>
  </si>
  <si>
    <t>710843 Pack 5 Superjets</t>
  </si>
  <si>
    <t>710842 Blister 10 figuras</t>
  </si>
  <si>
    <t>710841 Starterpack Comic</t>
  </si>
  <si>
    <t>710838 Pack 10 Twopack Serie 4</t>
  </si>
  <si>
    <t>710840 Pack 10 Sobres One pack serie 4</t>
  </si>
  <si>
    <t>0659525122935</t>
  </si>
  <si>
    <t>0781718786164</t>
  </si>
  <si>
    <t>0745853432478</t>
  </si>
  <si>
    <t>0659525123055</t>
  </si>
  <si>
    <t>0745853478834</t>
  </si>
  <si>
    <t>0745853432485</t>
  </si>
  <si>
    <t>0799192118128</t>
  </si>
  <si>
    <t>0737186857875</t>
  </si>
  <si>
    <t>MLC3284432666</t>
  </si>
  <si>
    <t>NH67943</t>
  </si>
  <si>
    <t>Frasco De Almacenaje Navideño Ceramica 3,5 L Decorativo</t>
  </si>
  <si>
    <t>MLC3284380788</t>
  </si>
  <si>
    <t>NH67948</t>
  </si>
  <si>
    <t>Lechero Navideño Lechero De Navidad Ceramica 1 Litro</t>
  </si>
  <si>
    <t>MLC1738017115</t>
  </si>
  <si>
    <t>NH67949</t>
  </si>
  <si>
    <t>Jarra Navideña Jarra Decorativa De Navidad 2l Ceramica</t>
  </si>
  <si>
    <t>MLC3287014280</t>
  </si>
  <si>
    <t>NH67951</t>
  </si>
  <si>
    <t>Caramelera Navideña Galletero Navideño Pascuero Ceramica</t>
  </si>
  <si>
    <t>MLC1737926667</t>
  </si>
  <si>
    <t>RS68952</t>
  </si>
  <si>
    <t>Estatua Dama De La Justicia Adorno Dama De La Justicia 35cm</t>
  </si>
  <si>
    <t>MLC1738018941</t>
  </si>
  <si>
    <t>SG29576</t>
  </si>
  <si>
    <t>Bola De Nieve Bola De Cristal Navideño Con Luces Led 14cm</t>
  </si>
  <si>
    <t>MLC3287016472</t>
  </si>
  <si>
    <t>SG29578</t>
  </si>
  <si>
    <t>Bola De Nieve Bola De Cristal Navideño Con Luces Led 15cm</t>
  </si>
  <si>
    <t>MLC1738058847</t>
  </si>
  <si>
    <t>TH121576</t>
  </si>
  <si>
    <t>Caramelera Navideña Galletero Navideño Pascuero Ceramica 21c</t>
  </si>
  <si>
    <t>MLC3288388902</t>
  </si>
  <si>
    <t>TH121583</t>
  </si>
  <si>
    <t>Tazon De Navidad 800 Ml De Ceramica Merry Christmas</t>
  </si>
  <si>
    <t>MLC3288067140</t>
  </si>
  <si>
    <t>TH121585</t>
  </si>
  <si>
    <t>Caramelera Navideña Galletero Navideño Pascuero Ceramica 18c</t>
  </si>
  <si>
    <t>MLC3288402500</t>
  </si>
  <si>
    <t>TH121590</t>
  </si>
  <si>
    <t>Caramelera Navideña Galletero Navideño Pascuero Ceramica 27c</t>
  </si>
  <si>
    <t>MLC3288441608</t>
  </si>
  <si>
    <t>TH121597</t>
  </si>
  <si>
    <t>Bandeja Rectangular Navideña 28cm Ceramica Decorativa</t>
  </si>
  <si>
    <t>MLC3288480604</t>
  </si>
  <si>
    <t>TH121605</t>
  </si>
  <si>
    <t>Caramelera Navideña Galletero Navideño Pascuero Ceramica 20c</t>
  </si>
  <si>
    <t>MLC3288558284</t>
  </si>
  <si>
    <t>XD89467</t>
  </si>
  <si>
    <t>Conjunto De Tazas Con Plato Navideño 6 Pzas 600ml</t>
  </si>
  <si>
    <t>MLC3288070090</t>
  </si>
  <si>
    <t>Dispositivo Inteligente Anti Pérdida Smart Tag Hoco iPhone</t>
  </si>
  <si>
    <t>MLC3288070092</t>
  </si>
  <si>
    <t>MLC3288508736</t>
  </si>
  <si>
    <t>Audifonos Inalambricos Para Niños Gato Bluetooth Hoco Ew46 Color Gris</t>
  </si>
  <si>
    <t>MLC3287021876</t>
  </si>
  <si>
    <t>MLC1738316623</t>
  </si>
  <si>
    <t>Audifonos Hoco Ew46 Tws In Ear Bluetooth Khaki Cat Amarillo</t>
  </si>
  <si>
    <t>MLC3288483108</t>
  </si>
  <si>
    <t>MLC3288534824</t>
  </si>
  <si>
    <t>6931474789235</t>
  </si>
  <si>
    <t>Audifonos Hoco Ew45 In Ear Bluetooth Tws Forest Cat Verde</t>
  </si>
  <si>
    <t>MLC3288405278</t>
  </si>
  <si>
    <t>MLC3288521626</t>
  </si>
  <si>
    <t>6942007614450</t>
  </si>
  <si>
    <t>Soporte De Celular Para Moto Hoco H31 Wild Wolf Negro</t>
  </si>
  <si>
    <t>MLC1738316643</t>
  </si>
  <si>
    <t>MLC3288070166</t>
  </si>
  <si>
    <t>6931474766229</t>
  </si>
  <si>
    <t>Soporte Porta Celular 360° De Rejilla Ventilacion Auto Coche</t>
  </si>
  <si>
    <t>MLC3288521668</t>
  </si>
  <si>
    <t>MLC3288521680</t>
  </si>
  <si>
    <t>6942007631792</t>
  </si>
  <si>
    <t>Audifono Inalambrico In-ear Hoco Ew77 Blanco</t>
  </si>
  <si>
    <t>MLC3288521682</t>
  </si>
  <si>
    <t>MLC3288431120</t>
  </si>
  <si>
    <t>6942007602358</t>
  </si>
  <si>
    <t>Hoco®j115 Mini Batería Portátil 5000mah Para iPhone/ Android Color Negro</t>
  </si>
  <si>
    <t>MLC3288070180</t>
  </si>
  <si>
    <t>MLC3288521702</t>
  </si>
  <si>
    <t>6942007602419</t>
  </si>
  <si>
    <t>Audifonos Hoco Eq5 Energy Anc Tws In Ear Bluetooth Negro</t>
  </si>
  <si>
    <t>MLC3288392442</t>
  </si>
  <si>
    <t>MLC3288397022</t>
  </si>
  <si>
    <t>6931474783561</t>
  </si>
  <si>
    <t>Cargador Portatil Hoco J100 10000mah Powerbank Negro</t>
  </si>
  <si>
    <t>MLC3288564952</t>
  </si>
  <si>
    <t>MLC3288435656</t>
  </si>
  <si>
    <t>6942007652100</t>
  </si>
  <si>
    <t>Powerbank De 80000mah 65w Con Linterna Pantalla Digital Fast Negro</t>
  </si>
  <si>
    <t>MLC3288409828</t>
  </si>
  <si>
    <t>MLC3288397062</t>
  </si>
  <si>
    <t>6942007639965</t>
  </si>
  <si>
    <t>Powerbank Carga Rapida 22.5w Hoco J142 100.000mah Linterna Negro</t>
  </si>
  <si>
    <t>MLC3288552316</t>
  </si>
  <si>
    <t>MLC3289741356</t>
  </si>
  <si>
    <t>6931474758514</t>
  </si>
  <si>
    <t>Soporte De Coche Para Smartphone Tipo Garra Con Ventosa</t>
  </si>
  <si>
    <t>MLC3288539476</t>
  </si>
  <si>
    <t>MLC1738648587</t>
  </si>
  <si>
    <t>6931474742568</t>
  </si>
  <si>
    <t>Soporte Para Auto Hoco Ca76 Para Tablero Porta Celular</t>
  </si>
  <si>
    <t>MLC3288422610</t>
  </si>
  <si>
    <t>MLC3288513340</t>
  </si>
  <si>
    <t>6942007619134</t>
  </si>
  <si>
    <t>Hoco Audifono Tws Con Cancelacion Ruido+enc Comp iPhone Eq16 Color Morado</t>
  </si>
  <si>
    <t>MLC3288409870</t>
  </si>
  <si>
    <t>MLC1738648611</t>
  </si>
  <si>
    <t>6931474784469</t>
  </si>
  <si>
    <t>Audifonos Hoco Es64 Easy Sound Sports In Ear Bluetooth Negro</t>
  </si>
  <si>
    <t>MLC3288422644</t>
  </si>
  <si>
    <t>MLC3288513352</t>
  </si>
  <si>
    <t>6942007619127</t>
  </si>
  <si>
    <t>Audifonos Hoco Eq16 Cancelacion Ruido+enc Color Azul Acero</t>
  </si>
  <si>
    <t>MLC1738648619</t>
  </si>
  <si>
    <t>MLC3288074778</t>
  </si>
  <si>
    <t>6931474780041</t>
  </si>
  <si>
    <t>Audífonos Deportivos Conducción Ósea Aérea Bluetooth Hoco 8h Negro</t>
  </si>
  <si>
    <t>MLC3288539538</t>
  </si>
  <si>
    <t>MLC3295825624</t>
  </si>
  <si>
    <t>Bandeja Rectangular De Navidad Decorativa De Ceramica 32cm</t>
  </si>
  <si>
    <t>GAMA</t>
  </si>
  <si>
    <t>MLC3309264656</t>
  </si>
  <si>
    <t>WBCSC0000000042</t>
  </si>
  <si>
    <t>Balanza Digital Gama Negra Scg 430 Vidrio Templado Black Color Negro</t>
  </si>
  <si>
    <t>MLC1744573041</t>
  </si>
  <si>
    <t>MLC1744547453</t>
  </si>
  <si>
    <t>BECCP0000000492</t>
  </si>
  <si>
    <t>Cortapelos Clipper Gama Gm 562 Magnético 13 Piezas Color Azul</t>
  </si>
  <si>
    <t>MLC1744547455</t>
  </si>
  <si>
    <t>MLC1744534475</t>
  </si>
  <si>
    <t>BECHS0000001439</t>
  </si>
  <si>
    <t>Planchita De Pelo Gama Keration X-wide Digital 230ºc Color Dorado</t>
  </si>
  <si>
    <t>MLC3309044070</t>
  </si>
  <si>
    <t>MLC1744510619</t>
  </si>
  <si>
    <t>BECHD0000001633</t>
  </si>
  <si>
    <t>Secador De Pelo Gama Diamond St Bk 220 Ion 2300 Watts Color Negro</t>
  </si>
  <si>
    <t>MLC1744573095</t>
  </si>
  <si>
    <t>MLC1744325747</t>
  </si>
  <si>
    <t>BECDP0000000193</t>
  </si>
  <si>
    <t>Olla Cera Depilatoria Gama Dep 500 Cc Blanca</t>
  </si>
  <si>
    <t>MLC3309044110</t>
  </si>
  <si>
    <t>MLC1744560225</t>
  </si>
  <si>
    <t>BECHD0000002463</t>
  </si>
  <si>
    <t>Secador De Pelo Gama Mistral Ceramic Ion Nano Silver 2200w Color Negro</t>
  </si>
  <si>
    <t>MLC3309121804</t>
  </si>
  <si>
    <t>MLC1744325759</t>
  </si>
  <si>
    <t>BECHD0000001626</t>
  </si>
  <si>
    <t>Secador De Pelo Ga.ma Italy Eolic Travel</t>
  </si>
  <si>
    <t>MLC3309121820</t>
  </si>
  <si>
    <t>MLC1744560251</t>
  </si>
  <si>
    <t>BECHS0000001431</t>
  </si>
  <si>
    <t>Gama Alisador Elegance Keration Std Negro</t>
  </si>
  <si>
    <t>MLC3309264764</t>
  </si>
  <si>
    <t>MLC1744547589</t>
  </si>
  <si>
    <t>BECCP0000000445</t>
  </si>
  <si>
    <t>Cortapelo Clipper Multistyler Gama Gc 625 Inalámbrico Color Gris</t>
  </si>
  <si>
    <t>MLC3309044160</t>
  </si>
  <si>
    <t>MLC3308914704</t>
  </si>
  <si>
    <t>BECSH0000000168</t>
  </si>
  <si>
    <t>Máquina Afeitadora Braun Series 3 300s Roja</t>
  </si>
  <si>
    <t>MLC1744573161</t>
  </si>
  <si>
    <t>MLC1744510723</t>
  </si>
  <si>
    <t>HDCBR0000000480</t>
  </si>
  <si>
    <t>Cepillo Turbo Ion 2600 3 En 1 Gama</t>
  </si>
  <si>
    <t>MLC3309044210</t>
  </si>
  <si>
    <t>MLC3308914728</t>
  </si>
  <si>
    <t>BECSH0000000341</t>
  </si>
  <si>
    <t>Gama Afeitadora Femenina Tiny Go Usb Negro</t>
  </si>
  <si>
    <t>MLC1744510733</t>
  </si>
  <si>
    <t>MLC1744497811</t>
  </si>
  <si>
    <t>BECHS0000002663</t>
  </si>
  <si>
    <t>Plancha Alisadora Gama Alais Ceramic Shine Ion Nano Silver Color Negro</t>
  </si>
  <si>
    <t>MLC1744497809</t>
  </si>
  <si>
    <t>MLC3309264864</t>
  </si>
  <si>
    <t>BECHS0000000129</t>
  </si>
  <si>
    <t>Plancha De Cabello Mini Ga.ma Italy Cp1 Mini Ceramic Ion Negra</t>
  </si>
  <si>
    <t>MLC3309264862</t>
  </si>
  <si>
    <t>MLC1744512881</t>
  </si>
  <si>
    <t>KunaCacao50g</t>
  </si>
  <si>
    <t>Puffs Cereal Infantil Kuna Foods Sabor Cacao - 50g</t>
  </si>
  <si>
    <t>MLC1744587827</t>
  </si>
  <si>
    <t>MLC1745126649</t>
  </si>
  <si>
    <t>Gumis Piña</t>
  </si>
  <si>
    <t>Gomita Kuna Foods Snack Infantil Piña Con Fruta Sin Gluten 16 g 4 u</t>
  </si>
  <si>
    <t>MLC1745126651</t>
  </si>
  <si>
    <t>MLC3312900288</t>
  </si>
  <si>
    <t>Gumis Durazno</t>
  </si>
  <si>
    <t>Gumis Gomitas De Fruta Kuna Foods Durazno - 4 Unidades</t>
  </si>
  <si>
    <t>MLC3312952168</t>
  </si>
  <si>
    <t>MLC3312848852</t>
  </si>
  <si>
    <t>Gumis Berries</t>
  </si>
  <si>
    <t>Gumis Gomitas De Fruta Kuna Foods Berries - 4 Unidades</t>
  </si>
  <si>
    <t>MLC3312939340</t>
  </si>
  <si>
    <t>MLC1745126781</t>
  </si>
  <si>
    <t>Cookids Mani</t>
  </si>
  <si>
    <t>Galletas Saludables Cookids Maní Kuna Foods 30 Gr</t>
  </si>
  <si>
    <t>MLC3312952240</t>
  </si>
  <si>
    <t>MLC3312939382</t>
  </si>
  <si>
    <t>Cookids Frutilla</t>
  </si>
  <si>
    <t>Galletas Saludables Cookids Frutilla Kuna Foods 30 Gr</t>
  </si>
  <si>
    <t>MLC1745175667</t>
  </si>
  <si>
    <t>MLC3312848914</t>
  </si>
  <si>
    <t>Cookids Limon</t>
  </si>
  <si>
    <t>Galletas Saludables Cookids Limón Kuna Foods 30 Gr Sin Sello</t>
  </si>
  <si>
    <t>MLC1745126813</t>
  </si>
  <si>
    <t>MLC1745126873</t>
  </si>
  <si>
    <t>Cookids Cacao</t>
  </si>
  <si>
    <t>Galletas Saludables Cookids Cacao Kuna Foods 30 Gr</t>
  </si>
  <si>
    <t>MLC3312926490</t>
  </si>
  <si>
    <t>MLC1745175937</t>
  </si>
  <si>
    <t>Bombas Maní</t>
  </si>
  <si>
    <t>Cereal Kuna Snack Saludable Sufle Bombas Maní 100g</t>
  </si>
  <si>
    <t>MLC3312553178</t>
  </si>
  <si>
    <t>MLC3312862456</t>
  </si>
  <si>
    <t>Bombas Mediterraneas</t>
  </si>
  <si>
    <t>Cereal Kuna Snack Saludable Sufle Bombas Mediterranea 100g</t>
  </si>
  <si>
    <t>Cookids Tradicional</t>
  </si>
  <si>
    <t>MLC3312940368</t>
  </si>
  <si>
    <t>Galletas Saludables Cookids Para Niños De Kuna - Bolsa 30 Gr</t>
  </si>
  <si>
    <t>MLC1745321335</t>
  </si>
  <si>
    <t>Servilletero De Navidad Decorativo De Ceramica 11,5cm - Rojo</t>
  </si>
  <si>
    <t>MLC3314092756</t>
  </si>
  <si>
    <t>Bandeja Rectangular De Navidad Decorativa De Ceramica 32cm - Rojo</t>
  </si>
  <si>
    <t>MLC3314222342</t>
  </si>
  <si>
    <t>Bombonera De Navidad Caramelera De Ceramica 3l Pascuero - Rojo</t>
  </si>
  <si>
    <t>MLC3314184312</t>
  </si>
  <si>
    <t>Lechero Navideño Lechero De Navidad Ceramica 1 Litro - Rojo</t>
  </si>
  <si>
    <t>MLC3314324000</t>
  </si>
  <si>
    <t>Estatua Dama De La Justicia Adorno Dama De La Justicia 35cm - Dorado Oscuro</t>
  </si>
  <si>
    <t>MLC3314184428</t>
  </si>
  <si>
    <t>Bandeja Redonda Navideña Viejo Pascuero De Ceramica 33cm - Rojo</t>
  </si>
  <si>
    <t>MLC3314311740</t>
  </si>
  <si>
    <t>Caja Panera De Madera Con Tapa Enrollable Multiuso Grande - Madera - Pino</t>
  </si>
  <si>
    <t>MLC1745324801</t>
  </si>
  <si>
    <t>Bandeja Rectangular De Navidad Decorativa De Ceramica 33cm - Rojo</t>
  </si>
  <si>
    <t>MLC1745337031</t>
  </si>
  <si>
    <t>Bombonera De Navidad Caramelera De Navidad 3 Litros - Rojo</t>
  </si>
  <si>
    <t>MLC3314388344</t>
  </si>
  <si>
    <t>Tetera De Navidad Decorativa De Ceramica 700ml - Rojo</t>
  </si>
  <si>
    <t>MLC3313941568</t>
  </si>
  <si>
    <t>Jarra Navideña Jarra Decorativa De Navidad 2l Ceramica - Rojo</t>
  </si>
  <si>
    <t>MLC3313979920</t>
  </si>
  <si>
    <t>Bandeja Redonda De Navidad Decorativa De Ceramica 31cm - Rojo</t>
  </si>
  <si>
    <t>MLC3314363014</t>
  </si>
  <si>
    <t>Bandeja Redonda De Navidad Decorativa De Ceramica 26cm - Rojo</t>
  </si>
  <si>
    <t>MLC3314375806</t>
  </si>
  <si>
    <t>Bandeja Cuadrada De Navidad Decorativa De Ceramica 26cm - Rojo</t>
  </si>
  <si>
    <t>MLC3314018818</t>
  </si>
  <si>
    <t>Caramelera Navideña Galletero Navideño Pascuero Ceramica - Rojo</t>
  </si>
  <si>
    <t>MLC1745431389</t>
  </si>
  <si>
    <t>Bandeja Rectangular Decorativa Navidad Ceramica - Rojo</t>
  </si>
  <si>
    <t>MLC3314019222</t>
  </si>
  <si>
    <t>Bandeja Rectangular Navideña 28cm Ceramica Decorativa - Rojo</t>
  </si>
  <si>
    <t>MLC3314687064</t>
  </si>
  <si>
    <t>Caramelera Navideña Galletero Navideño Pascuero Ceramica 20c - Rojo</t>
  </si>
  <si>
    <t>MLC3314791410</t>
  </si>
  <si>
    <t>Tazon De Navidad 800 Ml De Ceramica Merry Christmas - Rojo</t>
  </si>
  <si>
    <t>MLC3313930262</t>
  </si>
  <si>
    <t>Caramelera Navideña Galletero Navideño Pascuero Ceramica 18c - Rojo</t>
  </si>
  <si>
    <t>MLC3314986278</t>
  </si>
  <si>
    <t>Bandeja Decorativa Navidad Viejo Pascuero Ceramica - Rojo</t>
  </si>
  <si>
    <t>MLC3314908462</t>
  </si>
  <si>
    <t>Caramelera Navideña Galletero Navideño Pascuero Ceramica 21c - Rojo</t>
  </si>
  <si>
    <t>MLC1745707631</t>
  </si>
  <si>
    <t>Frasco De Almacenaje Navideño Ceramica 3,5 L Decorativo - Rojo</t>
  </si>
  <si>
    <t>GDM150RG</t>
  </si>
  <si>
    <t>PD100RG</t>
  </si>
  <si>
    <t>VD100RG</t>
  </si>
  <si>
    <t>MLC1746216539</t>
  </si>
  <si>
    <t>HDRG</t>
  </si>
  <si>
    <t>Te Hibisco Detox Vitalidad 100 Gr Recarga Blends &amp; Tea</t>
  </si>
  <si>
    <t>MLC3330638216</t>
  </si>
  <si>
    <t>106498</t>
  </si>
  <si>
    <t>Pack 4 40cm Bandeja Antideslizante Garzon Restaurante</t>
  </si>
  <si>
    <t>MLC3330613240</t>
  </si>
  <si>
    <t>106499</t>
  </si>
  <si>
    <t>Pack 3 45cm Bandeja Antideslizante Garzon Restaurant Servir</t>
  </si>
  <si>
    <t>MLC3330499668</t>
  </si>
  <si>
    <t>MLC3330475496</t>
  </si>
  <si>
    <t>Creatina Monohidratada Micronizada 200 Mesh 60 Porciones</t>
  </si>
  <si>
    <t>CREATINA MONOHIDRATADA MICRONIZADA 200 MESH / ROSA</t>
  </si>
  <si>
    <t>799192588945</t>
  </si>
  <si>
    <t>Proteina Aisalada Vainilla 735g 21 Porciones Strive</t>
  </si>
  <si>
    <t>Pre Entreno Kicker 540g 30 Porciones Piña - Maracuya Strive</t>
  </si>
  <si>
    <t>MLC3330630142</t>
  </si>
  <si>
    <t>799192588853</t>
  </si>
  <si>
    <t>MLC3330477178</t>
  </si>
  <si>
    <t>799192588938</t>
  </si>
  <si>
    <t>Pre Entreno Kicker 540g 30 Porciones Frambuesa - Uva Strive</t>
  </si>
  <si>
    <t>LA LOBERIA</t>
  </si>
  <si>
    <t>MLC1754293429</t>
  </si>
  <si>
    <t>606110081443</t>
  </si>
  <si>
    <t>Jamon Serrano 100g - Español Premium - La Loberia</t>
  </si>
  <si>
    <t>MLC1754370449</t>
  </si>
  <si>
    <t>MLC3335646838</t>
  </si>
  <si>
    <t>2006126603000</t>
  </si>
  <si>
    <t>MLC1754447731</t>
  </si>
  <si>
    <t>Charqui Lobito La Loberia - 30g</t>
  </si>
  <si>
    <t>MLC1754448293</t>
  </si>
  <si>
    <t>606110081450</t>
  </si>
  <si>
    <t>Chorizo Chileno Premium 100 Grs Carne De Cerdo La Loberia</t>
  </si>
  <si>
    <t>MLC1754293977</t>
  </si>
  <si>
    <t>MLC1758551677</t>
  </si>
  <si>
    <t>WBCSC0000000035</t>
  </si>
  <si>
    <t>MLC1758539117</t>
  </si>
  <si>
    <t>Balanza Pesa Deluxe Scf 2000 Gama Imc Muscular Grasa Oseo Color Negro</t>
  </si>
  <si>
    <t>MLC3343573702</t>
  </si>
  <si>
    <t>HECTN0000000058</t>
  </si>
  <si>
    <t>MLC1758600183</t>
  </si>
  <si>
    <t>Gama Tensiometro Muñeca Bp2116 Neutro</t>
  </si>
  <si>
    <t>MLC1758551719</t>
  </si>
  <si>
    <t>MLC1758424729</t>
  </si>
  <si>
    <t>CCCSP0000000062</t>
  </si>
  <si>
    <t>Farmavita Hd Spray Smooth &amp; Protect</t>
  </si>
  <si>
    <t>MLC1758600211</t>
  </si>
  <si>
    <t>BECHD0000002382</t>
  </si>
  <si>
    <t>MLC1758361263</t>
  </si>
  <si>
    <t>Secador De Pelo Gama Brilliant Ceramic Ion Aqua Therapy Color Verde Claro</t>
  </si>
  <si>
    <t>MLC3343573790</t>
  </si>
  <si>
    <t>CCCSH0000000290</t>
  </si>
  <si>
    <t>MLC1758361293</t>
  </si>
  <si>
    <t>Amethyste Silver Shampoo 1000ml</t>
  </si>
  <si>
    <t>MLC1758489351</t>
  </si>
  <si>
    <t>BECHS0000000829</t>
  </si>
  <si>
    <t>MLC1758551827</t>
  </si>
  <si>
    <t>Plancha De Cabello Ga.ma Italy Red Ionix Hp</t>
  </si>
  <si>
    <t>MLC1758539281</t>
  </si>
  <si>
    <t>MLC1758424809</t>
  </si>
  <si>
    <t>CRCOX0000000060</t>
  </si>
  <si>
    <t>Crema Oxidante Suprema Color 1000 Ml - Farmavita Tono 20vol</t>
  </si>
  <si>
    <t>MLC1758361439</t>
  </si>
  <si>
    <t>MLC3343535904</t>
  </si>
  <si>
    <t>CRCOX0000000061</t>
  </si>
  <si>
    <t>Farmavita Oxidante Suprema Color 20v 60ml</t>
  </si>
  <si>
    <t>MLC3343450284</t>
  </si>
  <si>
    <t>BECHS0000002289</t>
  </si>
  <si>
    <t>MLC1758527247</t>
  </si>
  <si>
    <t>Gama Plancha Elegance Coconut Almond Color Blanco</t>
  </si>
  <si>
    <t>MLC3343536102</t>
  </si>
  <si>
    <t>MLC3343450388</t>
  </si>
  <si>
    <t>CCCSP0000000064</t>
  </si>
  <si>
    <t>Sow Must Hair Leave-in Regenerador Protector Térmico 150ml</t>
  </si>
  <si>
    <t>MLC1758527437</t>
  </si>
  <si>
    <t>MLC1758425143</t>
  </si>
  <si>
    <t>Gama Termómetro Ifr Xl-f03 Neutro</t>
  </si>
  <si>
    <t>HECTH0000000025</t>
  </si>
  <si>
    <t>MLC1758539925</t>
  </si>
  <si>
    <t>MLC1758477325</t>
  </si>
  <si>
    <t>CCCSH0000000287</t>
  </si>
  <si>
    <t>MLC3343503610</t>
  </si>
  <si>
    <t>Pre Entreno Kicker 540g 30 Porciones Frambuesa - Uva Strive Frambuesa - Uva</t>
  </si>
  <si>
    <t>MLC3343551410</t>
  </si>
  <si>
    <t>Proteina Aisalada Vainilla 735g 21 Porciones Strive Vainilla</t>
  </si>
  <si>
    <t>MLC1758591875</t>
  </si>
  <si>
    <t>Suplemento En Polvo Strive Creatina Monohidratada X 320g</t>
  </si>
  <si>
    <t>MLC3344359506</t>
  </si>
  <si>
    <t>CRCEM0081131464</t>
  </si>
  <si>
    <t>MLC1758923363</t>
  </si>
  <si>
    <t>Revelador Wella Color Touch Emulsión Color Touch 1,9% 6vol 120ml</t>
  </si>
  <si>
    <t>Amethyste Hydrate Shampoo 1000 Ml</t>
  </si>
  <si>
    <t>MLC1760755829</t>
  </si>
  <si>
    <t>Pre Entreno Kicker 540g 30 Porciones Piña - Maracuya Strive Piña - Maracuya</t>
  </si>
  <si>
    <t>gdm100</t>
  </si>
  <si>
    <t>HD100</t>
  </si>
  <si>
    <t>gdm200</t>
  </si>
  <si>
    <t>HD150</t>
  </si>
  <si>
    <t>afm50</t>
  </si>
  <si>
    <t>afm150</t>
  </si>
  <si>
    <t>afmrg</t>
  </si>
  <si>
    <t>A50</t>
  </si>
  <si>
    <t>A100</t>
  </si>
  <si>
    <t>A150</t>
  </si>
  <si>
    <t>A100RG</t>
  </si>
  <si>
    <t>hsp50</t>
  </si>
  <si>
    <t>hsp100</t>
  </si>
  <si>
    <t>hsp150</t>
  </si>
  <si>
    <t>HSPRG</t>
  </si>
  <si>
    <t>IN40</t>
  </si>
  <si>
    <t>IN60</t>
  </si>
  <si>
    <t>IN100</t>
  </si>
  <si>
    <t>IN35RG</t>
  </si>
  <si>
    <t>pink50</t>
  </si>
  <si>
    <t>PD100</t>
  </si>
  <si>
    <t>PD150</t>
  </si>
  <si>
    <t>RR50</t>
  </si>
  <si>
    <t>RR100</t>
  </si>
  <si>
    <t>RR150</t>
  </si>
  <si>
    <t>RR100RG</t>
  </si>
  <si>
    <t>SI60</t>
  </si>
  <si>
    <t>SI100</t>
  </si>
  <si>
    <t>SI35RG</t>
  </si>
  <si>
    <t>mtbluerg</t>
  </si>
  <si>
    <t>bch50</t>
  </si>
  <si>
    <t>BCH100</t>
  </si>
  <si>
    <t>BACH150</t>
  </si>
  <si>
    <t>BACH100RG</t>
  </si>
  <si>
    <t>BF50</t>
  </si>
  <si>
    <t>BF100</t>
  </si>
  <si>
    <t>BF100RG</t>
  </si>
  <si>
    <t>FE50</t>
  </si>
  <si>
    <t>FE100</t>
  </si>
  <si>
    <t>FE100RG</t>
  </si>
  <si>
    <t>Nc50</t>
  </si>
  <si>
    <t>NC100</t>
  </si>
  <si>
    <t>NC100RG</t>
  </si>
  <si>
    <t>NCH100</t>
  </si>
  <si>
    <t>NCH150</t>
  </si>
  <si>
    <t>NCH100RG</t>
  </si>
  <si>
    <t>OL50</t>
  </si>
  <si>
    <t>OL100</t>
  </si>
  <si>
    <t>OL150</t>
  </si>
  <si>
    <t>OL100RG</t>
  </si>
  <si>
    <t>OC50</t>
  </si>
  <si>
    <t>OC100</t>
  </si>
  <si>
    <t>OC100RG</t>
  </si>
  <si>
    <t>PR100</t>
  </si>
  <si>
    <t>PR150</t>
  </si>
  <si>
    <t>PR100RG</t>
  </si>
  <si>
    <t>PN100</t>
  </si>
  <si>
    <t>PN150</t>
  </si>
  <si>
    <t>PN100RG</t>
  </si>
  <si>
    <t>VD50</t>
  </si>
  <si>
    <t>VD100</t>
  </si>
  <si>
    <t>VD150</t>
  </si>
  <si>
    <t>VF100</t>
  </si>
  <si>
    <t>VF150</t>
  </si>
  <si>
    <t>VF100RG</t>
  </si>
  <si>
    <t>OC150</t>
  </si>
  <si>
    <t>MLC1765089819</t>
  </si>
  <si>
    <t>107373</t>
  </si>
  <si>
    <t>Set 2 Tazas Navideñas 400 Ml Con Cucharilla De Ceramica</t>
  </si>
  <si>
    <t>MLC1765051811</t>
  </si>
  <si>
    <t>NH67935</t>
  </si>
  <si>
    <t>Bombonera De Navidad Caramelera De Navidad 2.5 Litros</t>
  </si>
  <si>
    <t>MLC1764987263</t>
  </si>
  <si>
    <t>NH67939</t>
  </si>
  <si>
    <t>Bandeja Triple Navideña Viejito Pascuero</t>
  </si>
  <si>
    <t>MLC1764909625</t>
  </si>
  <si>
    <t>NH67944</t>
  </si>
  <si>
    <t>Tetera Decorativa Navideña Ceramica</t>
  </si>
  <si>
    <t>MLC3356134646</t>
  </si>
  <si>
    <t>TH121579</t>
  </si>
  <si>
    <t>Lechero Navideño De Ceramica 450 Ml</t>
  </si>
  <si>
    <t>MLC1765052453</t>
  </si>
  <si>
    <t>TH121580</t>
  </si>
  <si>
    <t>Servilletero Navideño De Ceramica</t>
  </si>
  <si>
    <t>MLC3355918292</t>
  </si>
  <si>
    <t>TH121582</t>
  </si>
  <si>
    <t>Pocillo Navideño De Ceramica Viejito</t>
  </si>
  <si>
    <t>MLC1765090943</t>
  </si>
  <si>
    <t>TH121584</t>
  </si>
  <si>
    <t>Frasco De Almacenaje Navideño De Ceramica</t>
  </si>
  <si>
    <t>MLC3356587176</t>
  </si>
  <si>
    <t>TH121586</t>
  </si>
  <si>
    <t>Pocillo Navideño De Ceramica Viejito Pascuero 450 Ml</t>
  </si>
  <si>
    <t>MLC3356135160</t>
  </si>
  <si>
    <t>TH121587</t>
  </si>
  <si>
    <t>Pocillo De Navidad 1 Litro Viejito Pascuero Triple</t>
  </si>
  <si>
    <t>MLC1765091121</t>
  </si>
  <si>
    <t>TH121589</t>
  </si>
  <si>
    <t>Lechero Navideño De Ceramica Viejito Pascuero 3</t>
  </si>
  <si>
    <t>MLC3356587408</t>
  </si>
  <si>
    <t>TH121593</t>
  </si>
  <si>
    <t>Lechero Navideño 450 Ml Ceramica</t>
  </si>
  <si>
    <t>MLC3355994114</t>
  </si>
  <si>
    <t>TH121594</t>
  </si>
  <si>
    <t>Bandeja Triple Navideña</t>
  </si>
  <si>
    <t>MLC3356677914</t>
  </si>
  <si>
    <t>TH121595</t>
  </si>
  <si>
    <t>Bandeja Doble Navideña</t>
  </si>
  <si>
    <t>MLC1764910759</t>
  </si>
  <si>
    <t>TH121596</t>
  </si>
  <si>
    <t>Bandeja Rectangular Navideña Viejo Pascuero 3</t>
  </si>
  <si>
    <t>MLC3356587742</t>
  </si>
  <si>
    <t>TH121598</t>
  </si>
  <si>
    <t>Salero Y Pimentero Navideño Viejito Pascuero</t>
  </si>
  <si>
    <t>MLC1765092081</t>
  </si>
  <si>
    <t>TH121601</t>
  </si>
  <si>
    <t>Pocillo Triple Navideño Viejo Pascuero 300 Ml</t>
  </si>
  <si>
    <t>MLC3355995388</t>
  </si>
  <si>
    <t>TH121602</t>
  </si>
  <si>
    <t>Pocillo Navideño De Ceramica Viejo Pascuero 4</t>
  </si>
  <si>
    <t>MLC3356679038</t>
  </si>
  <si>
    <t>TH121603</t>
  </si>
  <si>
    <t>Pocillo De Navidad Cuenco Ceramica Viejo Pascuero</t>
  </si>
  <si>
    <t>MLC3355829718</t>
  </si>
  <si>
    <t>TH121604</t>
  </si>
  <si>
    <t>Bombonera Navideña Viejo Pascuero Osito</t>
  </si>
  <si>
    <t>MLC1765104441</t>
  </si>
  <si>
    <t>TH121606</t>
  </si>
  <si>
    <t>Bombonera Navideña Viejo Pascuero Ceramica 7</t>
  </si>
  <si>
    <t>MLC1766323507</t>
  </si>
  <si>
    <t>Reloj De Cocina Análogo Grande Dorado Reloj De Pared 60cm - Dorado - Blanco</t>
  </si>
  <si>
    <t>MLC3362804440</t>
  </si>
  <si>
    <t>1364</t>
  </si>
  <si>
    <t>Sandwichera Thomas Th-952 750w, Capacidad Para 2 Panes Color Blanco</t>
  </si>
  <si>
    <t>MLC3362779668</t>
  </si>
  <si>
    <t>MLC1769022343</t>
  </si>
  <si>
    <t>Pocillo De Navidad Cuenco Ceramica Viejo Pascuero Rojo</t>
  </si>
  <si>
    <t>MLC1769054329</t>
  </si>
  <si>
    <t>Lechero Navideño De Ceramica Viejito Pascuero 3 Rojo</t>
  </si>
  <si>
    <t>MLC3366596834</t>
  </si>
  <si>
    <t>Pocillo De Navidad 1 Litro Viejito Pascuero Triple Rojo</t>
  </si>
  <si>
    <t>MLC3366674244</t>
  </si>
  <si>
    <t>MLC3366584606</t>
  </si>
  <si>
    <t>Candelabro O Porta Velas De Vidrio 14cm 2,5cm Diametro Transparente</t>
  </si>
  <si>
    <t>MLC3366559850</t>
  </si>
  <si>
    <t>Bombonera Navideña Viejo Pascuero Osito Rojo</t>
  </si>
  <si>
    <t>Frasco De Almacenaje Navideño De Ceramica Rojo</t>
  </si>
  <si>
    <t>MLC3366584750</t>
  </si>
  <si>
    <t>Lechero Navideño De Ceramica 450 Ml Rojo</t>
  </si>
  <si>
    <t>MLC3366948074</t>
  </si>
  <si>
    <t>Pocillo Navideño De Ceramica Viejito Pascuero 450 Ml Rojo</t>
  </si>
  <si>
    <t>Salero Y Pimentero Navideño Viejito Pascuero Rojo</t>
  </si>
  <si>
    <t>MLC3366846252</t>
  </si>
  <si>
    <t>MLC3366938210</t>
  </si>
  <si>
    <t>Bandeja Triple Navideña Rojo</t>
  </si>
  <si>
    <t>MLC3366888854</t>
  </si>
  <si>
    <t>Bandeja Rectangular Navideña Viejo Pascuero 3 Blanco</t>
  </si>
  <si>
    <t>MLC3367104564</t>
  </si>
  <si>
    <t>2 Tazas Navideñas 400 Ml Con Cucharilla De Ceramica Rojo Viejito Pascuero</t>
  </si>
  <si>
    <t>MLC3366903004</t>
  </si>
  <si>
    <t>Servilletero Navideño De Ceramica Rojo</t>
  </si>
  <si>
    <t>MLC3366890824</t>
  </si>
  <si>
    <t>Bandeja Doble Navideña Blanco</t>
  </si>
  <si>
    <t>MLC3367325594</t>
  </si>
  <si>
    <t>Bombonera Navideña Viejo Pascuero Ceramica 7 Rojo</t>
  </si>
  <si>
    <t>MLC3367378438</t>
  </si>
  <si>
    <t>Pocillo Navideño De Ceramica Viejo Pascuero 4 Rojo</t>
  </si>
  <si>
    <t>MLC1770059229</t>
  </si>
  <si>
    <t>6931474731753</t>
  </si>
  <si>
    <t>Manillar Hoco Ca73 Para Motocicleta, Soporte Para Vehículo, Negro/rojo</t>
  </si>
  <si>
    <t>MLC3369683590</t>
  </si>
  <si>
    <t>MLC1771396317</t>
  </si>
  <si>
    <t>Pocillo Triple Navideño Viejo Pascuero 300 Ml Ceramica Rojo</t>
  </si>
  <si>
    <t>MLC1771784939</t>
  </si>
  <si>
    <t>Bandeja Triple Navideña Viejito Pascuero 28,5cm Ceramica Rojo</t>
  </si>
  <si>
    <t>MLC1771974261</t>
  </si>
  <si>
    <t>Pocillo Navideño Viejito Pascuero 12cm Ceramica Navidad Rojo</t>
  </si>
  <si>
    <t>MLC3374268294</t>
  </si>
  <si>
    <t>Tetera Decorativa Navideña Viejo Pascuero 1,2 L Ceramica Rojo</t>
  </si>
  <si>
    <t>MLC1774136611</t>
  </si>
  <si>
    <t>Bombonera De Navidad Caramelera De Navidad 2.5 Litros Rojo</t>
  </si>
  <si>
    <t>Alma Cacao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</si>
</sst>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10" x14ac:knownFonts="1">
    <font>
      <sz val="10"/>
      <color rgb="FF000000"/>
      <name val="Arial"/>
      <scheme val="minor"/>
    </font>
    <font>
      <sz val="10"/>
      <name val="Arial"/>
      <family val="2"/>
    </font>
    <font>
      <sz val="10"/>
      <name val="Arial"/>
      <family val="2"/>
    </font>
    <font>
      <b/>
      <sz val="10"/>
      <name val="Arial"/>
      <family val="2"/>
    </font>
    <font>
      <b/>
      <sz val="10"/>
      <name val="Arial"/>
      <family val="2"/>
    </font>
    <font>
      <sz val="10"/>
      <color rgb="FF000000"/>
      <name val="Arial"/>
      <family val="2"/>
      <scheme val="minor"/>
    </font>
    <font>
      <b/>
      <sz val="10"/>
      <color rgb="FF000000"/>
      <name val="Arial"/>
      <family val="2"/>
      <scheme val="minor"/>
    </font>
    <font>
      <sz val="10"/>
      <color rgb="FF000000"/>
      <name val="Arial"/>
      <family val="2"/>
      <scheme val="minor"/>
    </font>
    <font>
      <u/>
      <sz val="10"/>
      <color theme="10"/>
      <name val="Arial"/>
      <family val="2"/>
      <scheme val="minor"/>
    </font>
    <font>
      <u/>
      <sz val="10"/>
      <color rgb="FF000000"/>
      <name val="Arial"/>
      <family val="2"/>
      <scheme val="minor"/>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1"/>
        <bgColor indexed="64"/>
      </patternFill>
    </fill>
  </fills>
  <borders count="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4">
    <xf numFmtId="0" fontId="0" fillId="0" borderId="0"/>
    <xf numFmtId="44" fontId="5" fillId="0" borderId="0" applyFont="0" applyFill="0" applyBorder="0" applyAlignment="0" applyProtection="0"/>
    <xf numFmtId="9" fontId="7" fillId="0" borderId="0" applyFont="0" applyFill="0" applyBorder="0" applyAlignment="0" applyProtection="0"/>
    <xf numFmtId="0" fontId="8" fillId="0" borderId="0" applyNumberFormat="0" applyFill="0" applyBorder="0" applyAlignment="0" applyProtection="0"/>
  </cellStyleXfs>
  <cellXfs count="55">
    <xf numFmtId="49" fontId="0" fillId="0" borderId="0" xfId="0" applyNumberFormat="1"/>
    <xf numFmtId="0" fontId="2" fillId="0" borderId="0" xfId="0" applyFont="1" applyProtection="1">
      <protection locked="0"/>
    </xf>
    <xf numFmtId="0" fontId="0" fillId="0" borderId="0" xfId="0"/>
    <xf numFmtId="0" fontId="1" fillId="0" borderId="2" xfId="0" applyFont="1" applyBorder="1" applyAlignment="1">
      <alignment horizontal="center" vertical="center"/>
    </xf>
    <xf numFmtId="0" fontId="1" fillId="0" borderId="2" xfId="0" applyFont="1" applyBorder="1" applyAlignment="1">
      <alignment horizontal="left" vertical="center"/>
    </xf>
    <xf numFmtId="164" fontId="1" fillId="0" borderId="2" xfId="1" applyNumberFormat="1" applyFont="1" applyFill="1" applyBorder="1" applyAlignment="1" applyProtection="1">
      <alignment horizontal="center" vertical="center"/>
      <protection locked="0"/>
    </xf>
    <xf numFmtId="0" fontId="1" fillId="0" borderId="2" xfId="0" applyFont="1" applyBorder="1" applyAlignment="1">
      <alignment horizontal="justify" vertical="center" wrapText="1"/>
    </xf>
    <xf numFmtId="164" fontId="1" fillId="0" borderId="2" xfId="1" applyNumberFormat="1" applyFont="1" applyFill="1" applyBorder="1" applyAlignment="1">
      <alignment horizontal="center" vertical="center"/>
    </xf>
    <xf numFmtId="0" fontId="1" fillId="0" borderId="2" xfId="0" applyFont="1" applyBorder="1" applyAlignment="1" applyProtection="1">
      <alignment horizontal="left" vertical="center"/>
      <protection locked="0"/>
    </xf>
    <xf numFmtId="0" fontId="3" fillId="2"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49" fontId="6" fillId="4" borderId="1" xfId="0" applyNumberFormat="1" applyFont="1" applyFill="1" applyBorder="1" applyAlignment="1">
      <alignment horizontal="center" vertical="center"/>
    </xf>
    <xf numFmtId="49" fontId="6" fillId="3" borderId="1" xfId="0" applyNumberFormat="1" applyFont="1" applyFill="1" applyBorder="1" applyAlignment="1">
      <alignment horizontal="center" vertical="center"/>
    </xf>
    <xf numFmtId="49" fontId="6" fillId="2" borderId="1" xfId="0" applyNumberFormat="1" applyFont="1" applyFill="1" applyBorder="1" applyAlignment="1">
      <alignment horizontal="center" vertical="center"/>
    </xf>
    <xf numFmtId="0" fontId="3" fillId="3" borderId="1" xfId="0" applyFont="1" applyFill="1" applyBorder="1" applyAlignment="1" applyProtection="1">
      <alignment horizontal="center" vertical="center"/>
      <protection locked="0"/>
    </xf>
    <xf numFmtId="164" fontId="5" fillId="0" borderId="2" xfId="0" applyNumberFormat="1" applyFont="1" applyBorder="1" applyAlignment="1">
      <alignment horizontal="center" vertical="center"/>
    </xf>
    <xf numFmtId="164" fontId="0" fillId="0" borderId="2" xfId="0" applyNumberFormat="1" applyBorder="1" applyAlignment="1">
      <alignment horizontal="center" vertical="center"/>
    </xf>
    <xf numFmtId="164" fontId="0" fillId="0" borderId="2" xfId="1" applyNumberFormat="1" applyFont="1" applyBorder="1" applyAlignment="1">
      <alignment horizontal="center" vertical="center"/>
    </xf>
    <xf numFmtId="10" fontId="0" fillId="0" borderId="2" xfId="0" applyNumberFormat="1" applyBorder="1" applyAlignment="1">
      <alignment horizontal="center" vertical="center"/>
    </xf>
    <xf numFmtId="9" fontId="1" fillId="0" borderId="2" xfId="0" applyNumberFormat="1" applyFont="1" applyBorder="1" applyAlignment="1">
      <alignment horizontal="center" vertical="center"/>
    </xf>
    <xf numFmtId="164" fontId="5" fillId="0" borderId="0" xfId="0" applyNumberFormat="1" applyFont="1" applyAlignment="1">
      <alignment horizontal="center" vertical="center"/>
    </xf>
    <xf numFmtId="164" fontId="0" fillId="0" borderId="0" xfId="0" applyNumberFormat="1" applyAlignment="1">
      <alignment horizontal="center" vertical="center"/>
    </xf>
    <xf numFmtId="164" fontId="0" fillId="0" borderId="0" xfId="1" applyNumberFormat="1" applyFont="1" applyFill="1" applyBorder="1" applyAlignment="1">
      <alignment horizontal="center" vertical="center"/>
    </xf>
    <xf numFmtId="164" fontId="1" fillId="0" borderId="0" xfId="1" applyNumberFormat="1" applyFont="1" applyFill="1" applyBorder="1" applyAlignment="1" applyProtection="1">
      <alignment horizontal="center" vertical="center"/>
      <protection locked="0"/>
    </xf>
    <xf numFmtId="49" fontId="5" fillId="0" borderId="0" xfId="0" applyNumberFormat="1" applyFont="1"/>
    <xf numFmtId="44" fontId="0" fillId="0" borderId="0" xfId="0" applyNumberFormat="1"/>
    <xf numFmtId="0" fontId="3" fillId="2" borderId="1"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3" xfId="0" applyFont="1" applyBorder="1" applyAlignment="1" applyProtection="1">
      <alignment horizontal="left" vertical="center"/>
      <protection locked="0"/>
    </xf>
    <xf numFmtId="164" fontId="1" fillId="0" borderId="3" xfId="1" applyNumberFormat="1" applyFont="1" applyFill="1" applyBorder="1" applyAlignment="1" applyProtection="1">
      <alignment horizontal="center" vertical="center"/>
      <protection locked="0"/>
    </xf>
    <xf numFmtId="9" fontId="1" fillId="0" borderId="3" xfId="0" applyNumberFormat="1" applyFont="1" applyBorder="1" applyAlignment="1">
      <alignment horizontal="center" vertical="center"/>
    </xf>
    <xf numFmtId="164" fontId="5" fillId="0" borderId="3" xfId="0" applyNumberFormat="1" applyFont="1" applyBorder="1" applyAlignment="1">
      <alignment horizontal="center" vertical="center"/>
    </xf>
    <xf numFmtId="164" fontId="0" fillId="0" borderId="3" xfId="0" applyNumberFormat="1" applyBorder="1" applyAlignment="1">
      <alignment horizontal="center" vertical="center"/>
    </xf>
    <xf numFmtId="164" fontId="0" fillId="0" borderId="3" xfId="1" applyNumberFormat="1" applyFont="1" applyBorder="1" applyAlignment="1">
      <alignment horizontal="center" vertical="center"/>
    </xf>
    <xf numFmtId="10" fontId="0" fillId="0" borderId="3" xfId="0" applyNumberFormat="1" applyBorder="1" applyAlignment="1">
      <alignment horizontal="center" vertical="center"/>
    </xf>
    <xf numFmtId="164" fontId="5" fillId="0" borderId="2" xfId="1" applyNumberFormat="1" applyFont="1" applyBorder="1" applyAlignment="1">
      <alignment horizontal="center" vertical="center"/>
    </xf>
    <xf numFmtId="164" fontId="5" fillId="0" borderId="3" xfId="1" applyNumberFormat="1" applyFont="1" applyBorder="1" applyAlignment="1">
      <alignment horizontal="center" vertical="center"/>
    </xf>
    <xf numFmtId="164" fontId="0" fillId="0" borderId="2" xfId="1" applyNumberFormat="1" applyFont="1" applyFill="1" applyBorder="1" applyAlignment="1">
      <alignment horizontal="center" vertical="center"/>
    </xf>
    <xf numFmtId="0" fontId="1" fillId="0" borderId="3" xfId="0" applyFont="1" applyBorder="1" applyAlignment="1">
      <alignment horizontal="center" vertical="center"/>
    </xf>
    <xf numFmtId="49" fontId="1" fillId="0" borderId="3" xfId="0" applyNumberFormat="1" applyFont="1" applyBorder="1" applyAlignment="1" applyProtection="1">
      <alignment horizontal="left" vertical="center"/>
      <protection locked="0"/>
    </xf>
    <xf numFmtId="49" fontId="8" fillId="0" borderId="2" xfId="3" applyNumberFormat="1" applyBorder="1" applyAlignment="1">
      <alignment vertical="center" wrapText="1"/>
    </xf>
    <xf numFmtId="9" fontId="1" fillId="0" borderId="3" xfId="2" applyFont="1" applyBorder="1" applyAlignment="1">
      <alignment horizontal="center" vertical="center"/>
    </xf>
    <xf numFmtId="49" fontId="6" fillId="5" borderId="1" xfId="0" applyNumberFormat="1" applyFont="1" applyFill="1" applyBorder="1" applyAlignment="1">
      <alignment horizontal="center" vertical="center"/>
    </xf>
    <xf numFmtId="1" fontId="0" fillId="0" borderId="2" xfId="0" applyNumberFormat="1" applyBorder="1" applyAlignment="1">
      <alignment horizontal="center" vertical="center"/>
    </xf>
    <xf numFmtId="1" fontId="0" fillId="0" borderId="3" xfId="0" applyNumberFormat="1" applyBorder="1" applyAlignment="1">
      <alignment horizontal="center" vertical="center"/>
    </xf>
    <xf numFmtId="0" fontId="1" fillId="0" borderId="0" xfId="0" applyFont="1" applyAlignment="1" applyProtection="1">
      <alignment horizontal="left" vertical="center"/>
      <protection locked="0"/>
    </xf>
    <xf numFmtId="1" fontId="9" fillId="0" borderId="3" xfId="0" applyNumberFormat="1" applyFont="1" applyBorder="1" applyAlignment="1">
      <alignment horizontal="center" vertical="center"/>
    </xf>
    <xf numFmtId="49" fontId="1" fillId="0" borderId="3" xfId="0" applyNumberFormat="1" applyFont="1" applyBorder="1" applyAlignment="1">
      <alignment horizontal="left" vertical="center"/>
    </xf>
    <xf numFmtId="49" fontId="1" fillId="0" borderId="3" xfId="3" applyNumberFormat="1" applyFont="1" applyBorder="1" applyAlignment="1" applyProtection="1">
      <alignment horizontal="left" vertical="center"/>
      <protection locked="0"/>
    </xf>
    <xf numFmtId="1" fontId="1" fillId="0" borderId="2" xfId="0" applyNumberFormat="1" applyFont="1" applyBorder="1" applyAlignment="1">
      <alignment horizontal="left" vertical="center"/>
    </xf>
    <xf numFmtId="1" fontId="2" fillId="0" borderId="0" xfId="0" applyNumberFormat="1" applyFont="1" applyProtection="1">
      <protection locked="0"/>
    </xf>
    <xf numFmtId="1" fontId="3" fillId="2" borderId="1" xfId="0" applyNumberFormat="1" applyFont="1" applyFill="1" applyBorder="1" applyAlignment="1" applyProtection="1">
      <alignment horizontal="center" vertical="center" wrapText="1"/>
      <protection locked="0"/>
    </xf>
    <xf numFmtId="1" fontId="1" fillId="0" borderId="3" xfId="0" applyNumberFormat="1" applyFont="1" applyBorder="1" applyAlignment="1">
      <alignment horizontal="left" vertical="center"/>
    </xf>
    <xf numFmtId="1" fontId="1" fillId="0" borderId="3" xfId="0" quotePrefix="1" applyNumberFormat="1" applyFont="1" applyBorder="1" applyAlignment="1">
      <alignment horizontal="left" vertical="center"/>
    </xf>
    <xf numFmtId="1" fontId="0" fillId="0" borderId="0" xfId="0" applyNumberFormat="1"/>
  </cellXfs>
  <cellStyles count="4">
    <cellStyle name="Hipervínculo" xfId="3" builtinId="8"/>
    <cellStyle name="Moneda" xfId="1" builtinId="4"/>
    <cellStyle name="Normal" xfId="0" builtinId="0"/>
    <cellStyle name="Porcentaje" xfId="2" builtinId="5"/>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4" formatCode="0.0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64" formatCode="_(&quot;$&quot;* #,##0_);_(&quot;$&quot;* \(#,##0\);_(&quot;$&quot;* &quot;-&quot;??_);_(@_)"/>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scheme val="minor"/>
      </font>
      <numFmt numFmtId="164" formatCode="_(&quot;$&quot;* #,##0_);_(&quot;$&quot;* \(#,##0\);_(&quot;$&quot;* &quot;-&quot;??_);_(@_)"/>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_(&quot;$&quot;* #,##0_);_(&quot;$&quot;* \(#,##0\);_(&quot;$&quot;* &quot;-&quot;??_);_(@_)"/>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minor"/>
      </font>
      <numFmt numFmtId="164" formatCode="_(&quot;$&quot;* #,##0_);_(&quot;$&quot;* \(#,##0\);_(&quot;$&quot;* &quot;-&quot;??_);_(@_)"/>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minor"/>
      </font>
      <numFmt numFmtId="164" formatCode="_(&quot;$&quot;* #,##0_);_(&quot;$&quot;* \(#,##0\);_(&quot;$&quot;* &quot;-&quot;??_);_(@_)"/>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family val="2"/>
        <scheme val="none"/>
      </font>
      <numFmt numFmtId="13"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family val="2"/>
        <scheme val="none"/>
      </font>
      <numFmt numFmtId="164" formatCode="_(&quot;$&quot;* #,##0_);_(&quot;$&quot;* \(#,##0\);_(&quot;$&quot;* &quot;-&quot;??_);_(@_)"/>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0"/>
        <color auto="1"/>
        <name val="Arial"/>
        <family val="2"/>
        <scheme val="none"/>
      </font>
      <numFmt numFmtId="1" formatCode="0"/>
      <alignment horizontal="left" vertical="center" textRotation="0" wrapText="0" indent="0" justifyLastLine="0" shrinkToFit="0" readingOrder="0"/>
      <border diagonalUp="0" diagonalDown="0">
        <left style="thin">
          <color auto="1"/>
        </left>
        <right style="thin">
          <color auto="1"/>
        </right>
        <top style="thin">
          <color auto="1"/>
        </top>
        <bottom/>
      </border>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bottom style="thin">
          <color auto="1"/>
        </bottom>
      </border>
    </dxf>
    <dxf>
      <font>
        <b/>
        <i val="0"/>
        <strike val="0"/>
        <condense val="0"/>
        <extend val="0"/>
        <outline val="0"/>
        <shadow val="0"/>
        <u val="none"/>
        <vertAlign val="baseline"/>
        <sz val="10"/>
        <color rgb="FF000000"/>
        <name val="Arial"/>
        <family val="2"/>
        <scheme val="minor"/>
      </font>
      <numFmt numFmtId="30" formatCode="@"/>
      <fill>
        <patternFill patternType="solid">
          <fgColor indexed="64"/>
          <bgColor theme="6"/>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MERCADO%20LIBRE\PROVEEDORES\GAMA\productos%20(1).xlsx" TargetMode="External"/><Relationship Id="rId1" Type="http://schemas.openxmlformats.org/officeDocument/2006/relationships/externalLinkPath" Target="PROVEEDORES/GAMA/productos%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E:\MERCADO%20LIBRE\10%2012%20nov%20(NAVIDAD%203)\Medidas%20y%20Costos.xlsx" TargetMode="External"/><Relationship Id="rId1" Type="http://schemas.openxmlformats.org/officeDocument/2006/relationships/externalLinkPath" Target="10%2012%20nov%20(NAVIDAD%203)/Medidas%20y%20Cost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ductos"/>
    </sheetNames>
    <sheetDataSet>
      <sheetData sheetId="0">
        <row r="2">
          <cell r="A2" t="str">
            <v>WBCSC0000000042</v>
          </cell>
          <cell r="B2" t="str">
            <v>BAL GA.MA NEG SCG -430 PUTUMAYO CHI</v>
          </cell>
          <cell r="C2">
            <v>2</v>
          </cell>
          <cell r="D2">
            <v>12090</v>
          </cell>
          <cell r="E2">
            <v>6045</v>
          </cell>
        </row>
        <row r="3">
          <cell r="A3" t="str">
            <v>BECCP0000000492</v>
          </cell>
          <cell r="B3" t="str">
            <v>CORT GA.MA GM562 13 ACC CHI</v>
          </cell>
          <cell r="C3">
            <v>2</v>
          </cell>
          <cell r="D3">
            <v>16490</v>
          </cell>
          <cell r="E3">
            <v>8245</v>
          </cell>
        </row>
        <row r="4">
          <cell r="A4" t="str">
            <v>BECHS0000001439</v>
          </cell>
          <cell r="B4" t="str">
            <v>PLA GA.MA XWIDE DIKERATION CHI</v>
          </cell>
          <cell r="C4">
            <v>2</v>
          </cell>
          <cell r="D4">
            <v>43990</v>
          </cell>
          <cell r="E4">
            <v>21995</v>
          </cell>
        </row>
        <row r="5">
          <cell r="A5" t="str">
            <v>BECDP0000000193</v>
          </cell>
          <cell r="B5" t="str">
            <v>OLLA DE CERA DE DEPILACIÓN 500 CC</v>
          </cell>
          <cell r="C5">
            <v>2</v>
          </cell>
          <cell r="D5">
            <v>21990</v>
          </cell>
          <cell r="E5">
            <v>10995</v>
          </cell>
        </row>
        <row r="6">
          <cell r="A6" t="str">
            <v>WBCSC0000000035</v>
          </cell>
          <cell r="B6" t="str">
            <v>BAL GA.MA BAÑO SCF-2000</v>
          </cell>
          <cell r="C6">
            <v>2</v>
          </cell>
          <cell r="D6">
            <v>16490</v>
          </cell>
          <cell r="E6">
            <v>8245</v>
          </cell>
        </row>
        <row r="7">
          <cell r="A7" t="str">
            <v>BECHS0000001431</v>
          </cell>
          <cell r="B7" t="str">
            <v>PLA GA.MA ELEGANCE KERATION CHI</v>
          </cell>
          <cell r="C7">
            <v>2</v>
          </cell>
          <cell r="D7">
            <v>36290</v>
          </cell>
          <cell r="E7">
            <v>18145</v>
          </cell>
        </row>
        <row r="8">
          <cell r="A8" t="str">
            <v>CCCSH0000000683</v>
          </cell>
          <cell r="B8" t="str">
            <v>TENSIONVITA ANETINSTE SILVER SHAMPOO 1000ML</v>
          </cell>
          <cell r="C8">
            <v>2</v>
          </cell>
          <cell r="D8">
            <v>16490</v>
          </cell>
          <cell r="E8">
            <v>8245</v>
          </cell>
        </row>
        <row r="9">
          <cell r="A9" t="str">
            <v>CCCSP0000000062</v>
          </cell>
          <cell r="B9" t="str">
            <v>HD LIFE STYLE SMOOTH &amp; PROTECT SPRAY 300ML</v>
          </cell>
          <cell r="C9">
            <v>2</v>
          </cell>
          <cell r="D9">
            <v>14290</v>
          </cell>
          <cell r="E9">
            <v>7145</v>
          </cell>
        </row>
        <row r="10">
          <cell r="A10" t="str">
            <v>BECHD0000002382</v>
          </cell>
          <cell r="B10" t="str">
            <v>SEC GA.MA BRILLIANT AQUA THERAPY CHI</v>
          </cell>
          <cell r="C10">
            <v>2</v>
          </cell>
          <cell r="D10">
            <v>21990</v>
          </cell>
          <cell r="E10">
            <v>10995</v>
          </cell>
        </row>
        <row r="11">
          <cell r="A11" t="str">
            <v>CCCSH0000000290</v>
          </cell>
          <cell r="B11" t="str">
            <v>HECTORIANO ANETINSTE SILVER SHAMPOO 1000ML</v>
          </cell>
          <cell r="C11">
            <v>2</v>
          </cell>
          <cell r="D11">
            <v>18140</v>
          </cell>
          <cell r="E11">
            <v>9070</v>
          </cell>
        </row>
        <row r="12">
          <cell r="A12" t="str">
            <v>HDCBR0000000480</v>
          </cell>
          <cell r="B12" t="str">
            <v>CEP MODEL GA.MATI 2600 R STYL CHI</v>
          </cell>
          <cell r="C12">
            <v>2</v>
          </cell>
          <cell r="D12">
            <v>76990</v>
          </cell>
          <cell r="E12">
            <v>38495</v>
          </cell>
        </row>
        <row r="13">
          <cell r="A13" t="str">
            <v>BECHS0000000929</v>
          </cell>
          <cell r="B13" t="str">
            <v>UNIVERSAL DIFFUSER CHI</v>
          </cell>
          <cell r="C13">
            <v>2</v>
          </cell>
          <cell r="D13">
            <v>12090</v>
          </cell>
          <cell r="E13">
            <v>6045</v>
          </cell>
        </row>
        <row r="14">
          <cell r="A14" t="str">
            <v>CRCOX0000000060</v>
          </cell>
          <cell r="B14" t="str">
            <v>SUPREMA COLOR GR DEVELOPER 20VOL 1000ML</v>
          </cell>
          <cell r="C14">
            <v>2</v>
          </cell>
          <cell r="D14">
            <v>5160</v>
          </cell>
          <cell r="E14">
            <v>2580</v>
          </cell>
        </row>
        <row r="15">
          <cell r="A15" t="str">
            <v>CRCOX0000000061</v>
          </cell>
          <cell r="B15" t="str">
            <v>SUPREMA COLOR CR. DEVELOPER 20VOL 60ML</v>
          </cell>
          <cell r="C15">
            <v>2</v>
          </cell>
          <cell r="D15">
            <v>716</v>
          </cell>
          <cell r="E15">
            <v>358</v>
          </cell>
        </row>
        <row r="16">
          <cell r="A16" t="str">
            <v>BECHS0000002289</v>
          </cell>
          <cell r="B16" t="str">
            <v>PLA GA.MA ELEGANCE COCONUTALMONDSTCHI</v>
          </cell>
          <cell r="C16">
            <v>2</v>
          </cell>
          <cell r="D16">
            <v>27490</v>
          </cell>
          <cell r="E16">
            <v>13745</v>
          </cell>
        </row>
        <row r="17">
          <cell r="A17" t="str">
            <v>CCCSP0000000064</v>
          </cell>
          <cell r="B17" t="str">
            <v>SOW H2O LEAVE IN 150 ML</v>
          </cell>
          <cell r="C17">
            <v>2</v>
          </cell>
          <cell r="D17">
            <v>17992</v>
          </cell>
          <cell r="E17">
            <v>8996</v>
          </cell>
        </row>
        <row r="18">
          <cell r="A18" t="str">
            <v>RECTH0000000025</v>
          </cell>
          <cell r="B18" t="str">
            <v>TERMOMETRO IFR GA.MA XL-F03</v>
          </cell>
          <cell r="C18">
            <v>2</v>
          </cell>
          <cell r="D18">
            <v>14290</v>
          </cell>
          <cell r="E18">
            <v>7145</v>
          </cell>
        </row>
        <row r="19">
          <cell r="A19" t="str">
            <v>CRCEM008113146A</v>
          </cell>
          <cell r="B19" t="str">
            <v>EMULSION 1200M. 1.9% 6 VOL</v>
          </cell>
          <cell r="C19">
            <v>2</v>
          </cell>
          <cell r="D19">
            <v>3400</v>
          </cell>
          <cell r="E19">
            <v>1700</v>
          </cell>
        </row>
        <row r="20">
          <cell r="A20" t="str">
            <v>CCCSH0000000287</v>
          </cell>
          <cell r="B20" t="str">
            <v>AMETHYSTE HYDRATE SHAMPOO 1000ML</v>
          </cell>
          <cell r="C20">
            <v>2</v>
          </cell>
          <cell r="D20">
            <v>18140</v>
          </cell>
          <cell r="E20">
            <v>9070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s>
    <sheetDataSet>
      <sheetData sheetId="0">
        <row r="2">
          <cell r="D2">
            <v>107373</v>
          </cell>
          <cell r="E2" t="str">
            <v>12x9,5x8,5</v>
          </cell>
          <cell r="F2">
            <v>1848</v>
          </cell>
        </row>
        <row r="3">
          <cell r="D3">
            <v>788416</v>
          </cell>
          <cell r="F3">
            <v>29250</v>
          </cell>
        </row>
        <row r="4">
          <cell r="D4" t="str">
            <v>NH67935</v>
          </cell>
          <cell r="E4" t="str">
            <v>20x15x28</v>
          </cell>
          <cell r="F4">
            <v>7200</v>
          </cell>
        </row>
        <row r="5">
          <cell r="D5" t="str">
            <v>NH67939</v>
          </cell>
          <cell r="E5" t="str">
            <v>15,5x28,5x4</v>
          </cell>
          <cell r="F5">
            <v>2925</v>
          </cell>
        </row>
        <row r="6">
          <cell r="D6" t="str">
            <v>NH67944</v>
          </cell>
          <cell r="E6" t="str">
            <v>20x11x13</v>
          </cell>
          <cell r="F6">
            <v>4050</v>
          </cell>
        </row>
        <row r="7">
          <cell r="D7" t="str">
            <v>TH121579</v>
          </cell>
          <cell r="E7" t="str">
            <v>14x8,5x10</v>
          </cell>
          <cell r="F7">
            <v>1620</v>
          </cell>
        </row>
        <row r="8">
          <cell r="D8" t="str">
            <v>TH121580</v>
          </cell>
          <cell r="E8" t="str">
            <v>12x5x7.5</v>
          </cell>
          <cell r="F8">
            <v>1350</v>
          </cell>
        </row>
        <row r="9">
          <cell r="D9" t="str">
            <v>TH121582</v>
          </cell>
          <cell r="E9" t="str">
            <v>11x12x8</v>
          </cell>
          <cell r="F9">
            <v>1350</v>
          </cell>
        </row>
        <row r="10">
          <cell r="D10" t="str">
            <v>TH121584</v>
          </cell>
          <cell r="E10" t="str">
            <v>12x12x20</v>
          </cell>
          <cell r="F10">
            <v>2700</v>
          </cell>
        </row>
        <row r="11">
          <cell r="D11" t="str">
            <v>TH121586</v>
          </cell>
          <cell r="E11" t="str">
            <v>15,5x16x12</v>
          </cell>
          <cell r="F11">
            <v>2700</v>
          </cell>
        </row>
        <row r="12">
          <cell r="D12" t="str">
            <v>TH121587</v>
          </cell>
          <cell r="E12" t="str">
            <v>18x18x9,5</v>
          </cell>
          <cell r="F12">
            <v>2700</v>
          </cell>
        </row>
        <row r="13">
          <cell r="D13" t="str">
            <v>TH121589</v>
          </cell>
          <cell r="E13" t="str">
            <v>22x12x20</v>
          </cell>
          <cell r="F13">
            <v>5400</v>
          </cell>
        </row>
        <row r="14">
          <cell r="D14" t="str">
            <v>TH121593</v>
          </cell>
          <cell r="E14" t="str">
            <v>15x8x15,5</v>
          </cell>
          <cell r="F14">
            <v>1980</v>
          </cell>
        </row>
        <row r="15">
          <cell r="D15" t="str">
            <v>TH121594</v>
          </cell>
          <cell r="E15" t="str">
            <v>37,5x15,5x3,5</v>
          </cell>
          <cell r="F15">
            <v>3150</v>
          </cell>
        </row>
        <row r="16">
          <cell r="D16" t="str">
            <v>TH121595</v>
          </cell>
          <cell r="E16" t="str">
            <v>26x16x4</v>
          </cell>
          <cell r="F16">
            <v>2700</v>
          </cell>
        </row>
        <row r="17">
          <cell r="D17" t="str">
            <v>TH121596</v>
          </cell>
          <cell r="E17" t="str">
            <v>38x19x3,5</v>
          </cell>
          <cell r="F17">
            <v>4500</v>
          </cell>
        </row>
        <row r="18">
          <cell r="D18" t="str">
            <v>TH121598</v>
          </cell>
          <cell r="E18" t="str">
            <v>12x6x8,5</v>
          </cell>
          <cell r="F18">
            <v>1620</v>
          </cell>
        </row>
        <row r="19">
          <cell r="D19" t="str">
            <v>TH121601</v>
          </cell>
          <cell r="E19" t="str">
            <v>22x22x12</v>
          </cell>
          <cell r="F19">
            <v>3150</v>
          </cell>
        </row>
        <row r="20">
          <cell r="D20" t="str">
            <v>TH121602</v>
          </cell>
          <cell r="E20" t="str">
            <v>26x27x17</v>
          </cell>
          <cell r="F20">
            <v>6300</v>
          </cell>
        </row>
        <row r="21">
          <cell r="D21" t="str">
            <v>TH121603</v>
          </cell>
          <cell r="E21" t="str">
            <v>15,5x16x12</v>
          </cell>
          <cell r="F21">
            <v>2475</v>
          </cell>
        </row>
        <row r="22">
          <cell r="D22" t="str">
            <v>TH121604</v>
          </cell>
          <cell r="E22" t="str">
            <v>19x18x27</v>
          </cell>
          <cell r="F22">
            <v>5850</v>
          </cell>
        </row>
        <row r="23">
          <cell r="D23" t="str">
            <v>TH121606</v>
          </cell>
          <cell r="E23" t="str">
            <v>18x18x30</v>
          </cell>
          <cell r="F23">
            <v>6300</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D19639-C19E-4A76-810B-71E6EAC72649}" name="Tabla1" displayName="Tabla1" ref="A2:M860" totalsRowShown="0" headerRowDxfId="21" headerRowBorderDxfId="20" tableBorderDxfId="19" totalsRowBorderDxfId="18">
  <autoFilter ref="A2:M860" xr:uid="{16D19639-C19E-4A76-810B-71E6EAC72649}"/>
  <sortState xmlns:xlrd2="http://schemas.microsoft.com/office/spreadsheetml/2017/richdata2" ref="A3:M658">
    <sortCondition ref="A2:A658"/>
  </sortState>
  <tableColumns count="13">
    <tableColumn id="1" xr3:uid="{81399972-02CC-46B4-861A-03840A6AB359}" name="Proveedor" dataDxfId="17"/>
    <tableColumn id="2" xr3:uid="{10816C2E-A034-4ADF-BA2C-29218DD900D3}" name="Número de publicación" dataDxfId="16"/>
    <tableColumn id="17" xr3:uid="{D53D09AB-4E1F-4227-9D1D-0809C64E9595}" name="SKU" dataDxfId="15"/>
    <tableColumn id="3" xr3:uid="{386859D5-CD99-4018-A39A-F38FC5465765}" name="Título" dataDxfId="14"/>
    <tableColumn id="4" xr3:uid="{E51D5F6A-2064-49FC-A4FC-FB2CA721065A}" name="Precio" dataDxfId="13" dataCellStyle="Moneda"/>
    <tableColumn id="5" xr3:uid="{8D519D52-AD28-4FDE-BF48-0FF57A9D19CC}" name="Comision %" dataDxfId="12"/>
    <tableColumn id="6" xr3:uid="{D113E68E-E562-4424-9C4A-6BA8B36E3DFB}" name="Comision $" dataDxfId="11">
      <calculatedColumnFormula>E3*F3</calculatedColumnFormula>
    </tableColumn>
    <tableColumn id="7" xr3:uid="{46992298-7CD4-4534-9694-8B899AF5B030}" name="Envio" dataDxfId="10"/>
    <tableColumn id="8" xr3:uid="{5E0B3191-5E79-49C3-BB6C-0F1554BAA84B}" name="Ingreso" dataDxfId="9">
      <calculatedColumnFormula>E3-G3-H3</calculatedColumnFormula>
    </tableColumn>
    <tableColumn id="9" xr3:uid="{D20FCCDA-AAD8-4566-B4B4-E1EBCE197DA5}" name="Costo" dataDxfId="8" dataCellStyle="Moneda"/>
    <tableColumn id="10" xr3:uid="{B53B7DFD-7376-4850-A8C6-31A36256A606}" name="Utilidad" dataDxfId="7">
      <calculatedColumnFormula>I3-J3</calculatedColumnFormula>
    </tableColumn>
    <tableColumn id="11" xr3:uid="{0B684A1F-624E-470C-A5EC-6BE5BCC72DC3}" name="Rentabilidad" dataDxfId="6">
      <calculatedColumnFormula>K3/J3</calculatedColumnFormula>
    </tableColumn>
    <tableColumn id="12" xr3:uid="{0A7318FA-4AC9-4578-8274-80323F01E575}" name="un x Caja Maestra" dataDxfId="5">
      <calculatedColumnFormula>K3/E3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mercadolibre.cl/syi/core/modify?itemId=MLC3287021876&amp;callback_url=https%3A%2F%2Fwww.mercadolibre.cl%2Fpublicaciones%2Flistado%3Ffilters%3DOMNI_ACTIVE%257COMNI_INACTIVE%257CCHANNEL_NO_PROXIMITY_AND_NO_MP_MERCHANTS%26page%3D1%26sort%3DCREATE_LAST" TargetMode="External"/><Relationship Id="rId2" Type="http://schemas.openxmlformats.org/officeDocument/2006/relationships/hyperlink" Target="https://articulo.mercadolibre.cl/MLC-1669011133-hervidor-thomas-th-4340-17-litros-color-blanco-_JM" TargetMode="External"/><Relationship Id="rId1" Type="http://schemas.openxmlformats.org/officeDocument/2006/relationships/hyperlink" Target="https://articulo.mercadolibre.cl/MLC-1669011133-hervidor-thomas-th-4340-17-litros-color-blanco-_JM"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9.140625" defaultRowHeight="12.75" x14ac:dyDescent="0.2"/>
  <sheetData>
    <row r="1" spans="1:1" x14ac:dyDescent="0.2">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60"/>
  <sheetViews>
    <sheetView tabSelected="1" topLeftCell="C2" zoomScale="70" zoomScaleNormal="70" workbookViewId="0">
      <pane ySplit="1" topLeftCell="A113" activePane="bottomLeft" state="frozen"/>
      <selection activeCell="A2" sqref="A2"/>
      <selection pane="bottomLeft" activeCell="D97" sqref="D97"/>
    </sheetView>
  </sheetViews>
  <sheetFormatPr baseColWidth="10" defaultColWidth="9.140625" defaultRowHeight="12.75" x14ac:dyDescent="0.2"/>
  <cols>
    <col min="1" max="1" width="17.7109375" style="2" bestFit="1" customWidth="1"/>
    <col min="2" max="2" width="24.140625" customWidth="1"/>
    <col min="3" max="3" width="24.140625" style="54" customWidth="1"/>
    <col min="4" max="4" width="72.85546875" customWidth="1"/>
    <col min="5" max="5" width="14.140625" customWidth="1"/>
    <col min="6" max="6" width="15.42578125" customWidth="1"/>
    <col min="7" max="7" width="13.140625" style="2" customWidth="1"/>
    <col min="8" max="8" width="8" style="2" customWidth="1"/>
    <col min="9" max="9" width="9.7109375" style="2" customWidth="1"/>
    <col min="10" max="10" width="18.85546875" style="2" bestFit="1" customWidth="1"/>
    <col min="11" max="11" width="9.7109375" style="2" customWidth="1"/>
    <col min="12" max="12" width="14.28515625" style="2" customWidth="1"/>
    <col min="13" max="13" width="23" style="2" bestFit="1" customWidth="1"/>
    <col min="14" max="16384" width="9.140625" style="2"/>
  </cols>
  <sheetData>
    <row r="1" spans="1:13" customFormat="1" ht="0" hidden="1" customHeight="1" x14ac:dyDescent="0.2">
      <c r="B1" s="1" t="s">
        <v>1</v>
      </c>
      <c r="C1" s="50"/>
      <c r="D1" s="1" t="s">
        <v>3</v>
      </c>
      <c r="E1" s="1" t="s">
        <v>5</v>
      </c>
      <c r="F1" s="1" t="s">
        <v>7</v>
      </c>
    </row>
    <row r="2" spans="1:13" customFormat="1" ht="38.1" customHeight="1" x14ac:dyDescent="0.2">
      <c r="A2" s="26" t="s">
        <v>537</v>
      </c>
      <c r="B2" s="9" t="s">
        <v>2</v>
      </c>
      <c r="C2" s="51" t="s">
        <v>746</v>
      </c>
      <c r="D2" s="9" t="s">
        <v>4</v>
      </c>
      <c r="E2" s="10" t="s">
        <v>6</v>
      </c>
      <c r="F2" s="14" t="s">
        <v>482</v>
      </c>
      <c r="G2" s="14" t="s">
        <v>481</v>
      </c>
      <c r="H2" s="14" t="s">
        <v>484</v>
      </c>
      <c r="I2" s="11" t="s">
        <v>477</v>
      </c>
      <c r="J2" s="12" t="s">
        <v>478</v>
      </c>
      <c r="K2" s="11" t="s">
        <v>479</v>
      </c>
      <c r="L2" s="11" t="s">
        <v>480</v>
      </c>
      <c r="M2" s="42" t="s">
        <v>1481</v>
      </c>
    </row>
    <row r="3" spans="1:13" ht="50.1" customHeight="1" x14ac:dyDescent="0.2">
      <c r="A3" s="4" t="s">
        <v>550</v>
      </c>
      <c r="B3" s="4" t="s">
        <v>461</v>
      </c>
      <c r="C3" s="49">
        <v>745853477929</v>
      </c>
      <c r="D3" s="8" t="s">
        <v>462</v>
      </c>
      <c r="E3" s="5">
        <v>28990</v>
      </c>
      <c r="F3" s="3" t="s">
        <v>476</v>
      </c>
      <c r="G3" s="15">
        <f>IF(F3&gt;"15%",E3*F3,IF(E3&gt;=19990,F3*E3,IF(E3&gt;=9990,F3*E3+1000,F3*E3+700)))</f>
        <v>2899</v>
      </c>
      <c r="H3" s="15">
        <v>3100</v>
      </c>
      <c r="I3" s="16">
        <f>E3-G3-H3</f>
        <v>22991</v>
      </c>
      <c r="J3" s="17">
        <v>12977</v>
      </c>
      <c r="K3" s="16">
        <f>I3-J3</f>
        <v>10014</v>
      </c>
      <c r="L3" s="18">
        <f>K3/J3</f>
        <v>0.77167295985204598</v>
      </c>
      <c r="M3" s="43">
        <v>1</v>
      </c>
    </row>
    <row r="4" spans="1:13" ht="50.1" customHeight="1" x14ac:dyDescent="0.2">
      <c r="A4" s="4" t="s">
        <v>550</v>
      </c>
      <c r="B4" s="4" t="s">
        <v>536</v>
      </c>
      <c r="C4" s="49">
        <v>745853477929</v>
      </c>
      <c r="D4" s="8" t="s">
        <v>462</v>
      </c>
      <c r="E4" s="5">
        <v>19738</v>
      </c>
      <c r="F4" s="19">
        <v>0.15</v>
      </c>
      <c r="G4" s="15">
        <f>E4*F4</f>
        <v>2960.7</v>
      </c>
      <c r="H4" s="15">
        <v>0</v>
      </c>
      <c r="I4" s="16">
        <f>E4-G4-H4</f>
        <v>16777.3</v>
      </c>
      <c r="J4" s="17">
        <v>12977</v>
      </c>
      <c r="K4" s="16">
        <f>I4-J4</f>
        <v>3800.2999999999993</v>
      </c>
      <c r="L4" s="18">
        <f>K4/J4</f>
        <v>0.29284888649148488</v>
      </c>
      <c r="M4" s="43">
        <v>1</v>
      </c>
    </row>
    <row r="5" spans="1:13" ht="50.1" customHeight="1" x14ac:dyDescent="0.2">
      <c r="A5" s="4" t="s">
        <v>550</v>
      </c>
      <c r="B5" s="4" t="s">
        <v>981</v>
      </c>
      <c r="C5" s="49" t="s">
        <v>982</v>
      </c>
      <c r="D5" s="8" t="s">
        <v>983</v>
      </c>
      <c r="E5" s="5"/>
      <c r="F5" s="19"/>
      <c r="G5" s="15">
        <f>E5*F5</f>
        <v>0</v>
      </c>
      <c r="H5" s="15"/>
      <c r="I5" s="16">
        <f>E5-G5-H5</f>
        <v>0</v>
      </c>
      <c r="J5" s="35">
        <v>12977</v>
      </c>
      <c r="K5" s="16">
        <f>I5-J5</f>
        <v>-12977</v>
      </c>
      <c r="L5" s="18">
        <f>K5/J5</f>
        <v>-1</v>
      </c>
      <c r="M5" s="43">
        <v>1</v>
      </c>
    </row>
    <row r="6" spans="1:13" ht="50.1" customHeight="1" x14ac:dyDescent="0.2">
      <c r="A6" s="4" t="s">
        <v>550</v>
      </c>
      <c r="B6" s="4" t="s">
        <v>984</v>
      </c>
      <c r="C6" s="49" t="s">
        <v>2033</v>
      </c>
      <c r="D6" s="8" t="s">
        <v>985</v>
      </c>
      <c r="E6" s="5"/>
      <c r="F6" s="19"/>
      <c r="G6" s="15">
        <f>E6*F6</f>
        <v>0</v>
      </c>
      <c r="H6" s="15"/>
      <c r="I6" s="16">
        <f>E6-G6-H6</f>
        <v>0</v>
      </c>
      <c r="J6" s="35">
        <v>12977</v>
      </c>
      <c r="K6" s="16">
        <f>I6-J6</f>
        <v>-12977</v>
      </c>
      <c r="L6" s="18">
        <f>K6/J6</f>
        <v>-1</v>
      </c>
      <c r="M6" s="43">
        <v>1</v>
      </c>
    </row>
    <row r="7" spans="1:13" ht="50.1" customHeight="1" x14ac:dyDescent="0.2">
      <c r="A7" s="4" t="s">
        <v>550</v>
      </c>
      <c r="B7" s="4" t="s">
        <v>1480</v>
      </c>
      <c r="C7" s="49" t="s">
        <v>982</v>
      </c>
      <c r="D7" s="8" t="s">
        <v>983</v>
      </c>
      <c r="E7" s="5"/>
      <c r="F7" s="19"/>
      <c r="G7" s="15"/>
      <c r="H7" s="15"/>
      <c r="I7" s="16"/>
      <c r="J7" s="35">
        <v>12977</v>
      </c>
      <c r="K7" s="16"/>
      <c r="L7" s="18"/>
      <c r="M7" s="43">
        <v>1</v>
      </c>
    </row>
    <row r="8" spans="1:13" ht="50.1" customHeight="1" x14ac:dyDescent="0.2">
      <c r="A8" s="4" t="s">
        <v>552</v>
      </c>
      <c r="B8" s="4" t="s">
        <v>452</v>
      </c>
      <c r="C8" s="49" t="s">
        <v>1852</v>
      </c>
      <c r="D8" s="8" t="s">
        <v>453</v>
      </c>
      <c r="E8" s="5">
        <v>11990</v>
      </c>
      <c r="F8" s="3" t="s">
        <v>476</v>
      </c>
      <c r="G8" s="15">
        <f>IF(F8&gt;"15%",E8*F8,IF(E8&gt;=19990,F8*E8,IF(E8&gt;=9990,F8*E8+1000,F8*E8+700)))</f>
        <v>2199</v>
      </c>
      <c r="H8" s="15">
        <f>IF(E8&gt;=19990,"ACTIVAR",0)</f>
        <v>0</v>
      </c>
      <c r="I8" s="16">
        <f t="shared" ref="I8:I37" si="0">E8-G8-H8</f>
        <v>9791</v>
      </c>
      <c r="J8" s="17">
        <v>8033</v>
      </c>
      <c r="K8" s="16">
        <f t="shared" ref="K8:K37" si="1">I8-J8</f>
        <v>1758</v>
      </c>
      <c r="L8" s="18">
        <f t="shared" ref="L8:L37" si="2">K8/J8</f>
        <v>0.2188472550728246</v>
      </c>
      <c r="M8" s="43">
        <v>1</v>
      </c>
    </row>
    <row r="9" spans="1:13" ht="50.1" customHeight="1" x14ac:dyDescent="0.2">
      <c r="A9" s="4" t="s">
        <v>552</v>
      </c>
      <c r="B9" s="4" t="s">
        <v>465</v>
      </c>
      <c r="C9" s="49" t="s">
        <v>1853</v>
      </c>
      <c r="D9" s="8" t="s">
        <v>466</v>
      </c>
      <c r="E9" s="5">
        <v>11990</v>
      </c>
      <c r="F9" s="19">
        <v>0.15</v>
      </c>
      <c r="G9" s="15">
        <f t="shared" ref="G9:G40" si="3">E9*F9</f>
        <v>1798.5</v>
      </c>
      <c r="H9" s="15">
        <f>IF(E9&gt;=19990,"ACTIVAR",0)</f>
        <v>0</v>
      </c>
      <c r="I9" s="16">
        <f t="shared" si="0"/>
        <v>10191.5</v>
      </c>
      <c r="J9" s="17">
        <v>8033</v>
      </c>
      <c r="K9" s="16">
        <f t="shared" si="1"/>
        <v>2158.5</v>
      </c>
      <c r="L9" s="18">
        <f t="shared" si="2"/>
        <v>0.2687040956056268</v>
      </c>
      <c r="M9" s="43">
        <v>1</v>
      </c>
    </row>
    <row r="10" spans="1:13" ht="50.1" customHeight="1" x14ac:dyDescent="0.2">
      <c r="A10" s="4" t="s">
        <v>552</v>
      </c>
      <c r="B10" s="4" t="s">
        <v>615</v>
      </c>
      <c r="C10" s="49" t="s">
        <v>1854</v>
      </c>
      <c r="D10" s="8" t="s">
        <v>616</v>
      </c>
      <c r="E10" s="5">
        <v>19980</v>
      </c>
      <c r="F10" s="19">
        <v>0.15</v>
      </c>
      <c r="G10" s="15">
        <f t="shared" si="3"/>
        <v>2997</v>
      </c>
      <c r="H10" s="15">
        <f>IF(E10&gt;=19990,"ACTIVAR",0)</f>
        <v>0</v>
      </c>
      <c r="I10" s="16">
        <f t="shared" si="0"/>
        <v>16983</v>
      </c>
      <c r="J10" s="35">
        <v>12053.51</v>
      </c>
      <c r="K10" s="16">
        <f t="shared" si="1"/>
        <v>4929.49</v>
      </c>
      <c r="L10" s="18">
        <f t="shared" si="2"/>
        <v>0.40896718051422365</v>
      </c>
      <c r="M10" s="43">
        <v>1</v>
      </c>
    </row>
    <row r="11" spans="1:13" ht="50.1" customHeight="1" x14ac:dyDescent="0.2">
      <c r="A11" s="4" t="s">
        <v>552</v>
      </c>
      <c r="B11" s="4" t="s">
        <v>686</v>
      </c>
      <c r="C11" s="49" t="s">
        <v>1855</v>
      </c>
      <c r="D11" s="8" t="s">
        <v>694</v>
      </c>
      <c r="E11" s="5"/>
      <c r="F11" s="19"/>
      <c r="G11" s="15">
        <f t="shared" si="3"/>
        <v>0</v>
      </c>
      <c r="H11" s="15"/>
      <c r="I11" s="16">
        <f t="shared" si="0"/>
        <v>0</v>
      </c>
      <c r="J11" s="35">
        <v>10043</v>
      </c>
      <c r="K11" s="16">
        <f t="shared" si="1"/>
        <v>-10043</v>
      </c>
      <c r="L11" s="18">
        <f t="shared" si="2"/>
        <v>-1</v>
      </c>
      <c r="M11" s="43">
        <v>1</v>
      </c>
    </row>
    <row r="12" spans="1:13" ht="50.1" customHeight="1" x14ac:dyDescent="0.2">
      <c r="A12" s="4" t="s">
        <v>552</v>
      </c>
      <c r="B12" s="4" t="s">
        <v>1119</v>
      </c>
      <c r="C12" s="49" t="s">
        <v>1755</v>
      </c>
      <c r="D12" s="8" t="s">
        <v>1120</v>
      </c>
      <c r="E12" s="5"/>
      <c r="F12" s="19"/>
      <c r="G12" s="15">
        <f t="shared" si="3"/>
        <v>0</v>
      </c>
      <c r="H12" s="15"/>
      <c r="I12" s="16">
        <f t="shared" si="0"/>
        <v>0</v>
      </c>
      <c r="J12" s="35">
        <v>8033</v>
      </c>
      <c r="K12" s="16">
        <f t="shared" si="1"/>
        <v>-8033</v>
      </c>
      <c r="L12" s="18">
        <f t="shared" si="2"/>
        <v>-1</v>
      </c>
      <c r="M12" s="43">
        <v>1</v>
      </c>
    </row>
    <row r="13" spans="1:13" ht="50.1" customHeight="1" x14ac:dyDescent="0.2">
      <c r="A13" s="4" t="s">
        <v>552</v>
      </c>
      <c r="B13" s="4" t="s">
        <v>1121</v>
      </c>
      <c r="C13" s="49" t="s">
        <v>1856</v>
      </c>
      <c r="D13" s="8" t="s">
        <v>1236</v>
      </c>
      <c r="E13" s="5"/>
      <c r="F13" s="19"/>
      <c r="G13" s="15">
        <f t="shared" si="3"/>
        <v>0</v>
      </c>
      <c r="H13" s="15"/>
      <c r="I13" s="16">
        <f t="shared" si="0"/>
        <v>0</v>
      </c>
      <c r="J13" s="35">
        <v>6024</v>
      </c>
      <c r="K13" s="16">
        <f t="shared" si="1"/>
        <v>-6024</v>
      </c>
      <c r="L13" s="18">
        <f t="shared" si="2"/>
        <v>-1</v>
      </c>
      <c r="M13" s="43">
        <v>1</v>
      </c>
    </row>
    <row r="14" spans="1:13" ht="50.1" customHeight="1" x14ac:dyDescent="0.2">
      <c r="A14" s="4" t="s">
        <v>552</v>
      </c>
      <c r="B14" s="4" t="s">
        <v>1122</v>
      </c>
      <c r="C14" s="49" t="s">
        <v>1857</v>
      </c>
      <c r="D14" s="8" t="s">
        <v>1237</v>
      </c>
      <c r="E14" s="5"/>
      <c r="F14" s="19"/>
      <c r="G14" s="15">
        <f t="shared" si="3"/>
        <v>0</v>
      </c>
      <c r="H14" s="15"/>
      <c r="I14" s="16">
        <f t="shared" si="0"/>
        <v>0</v>
      </c>
      <c r="J14" s="35">
        <v>10042</v>
      </c>
      <c r="K14" s="16">
        <f t="shared" si="1"/>
        <v>-10042</v>
      </c>
      <c r="L14" s="18">
        <f t="shared" si="2"/>
        <v>-1</v>
      </c>
      <c r="M14" s="43">
        <v>1</v>
      </c>
    </row>
    <row r="15" spans="1:13" ht="50.1" customHeight="1" x14ac:dyDescent="0.2">
      <c r="A15" s="4" t="s">
        <v>552</v>
      </c>
      <c r="B15" s="4" t="s">
        <v>1123</v>
      </c>
      <c r="C15" s="49" t="s">
        <v>1858</v>
      </c>
      <c r="D15" s="8" t="s">
        <v>1238</v>
      </c>
      <c r="E15" s="5"/>
      <c r="F15" s="19"/>
      <c r="G15" s="15">
        <f t="shared" si="3"/>
        <v>0</v>
      </c>
      <c r="H15" s="15"/>
      <c r="I15" s="16">
        <f t="shared" si="0"/>
        <v>0</v>
      </c>
      <c r="J15" s="35">
        <v>6694</v>
      </c>
      <c r="K15" s="16">
        <f t="shared" si="1"/>
        <v>-6694</v>
      </c>
      <c r="L15" s="18">
        <f t="shared" si="2"/>
        <v>-1</v>
      </c>
      <c r="M15" s="43">
        <v>1</v>
      </c>
    </row>
    <row r="16" spans="1:13" ht="50.1" customHeight="1" x14ac:dyDescent="0.2">
      <c r="A16" s="4" t="s">
        <v>552</v>
      </c>
      <c r="B16" s="4" t="s">
        <v>1124</v>
      </c>
      <c r="C16" s="49" t="s">
        <v>1859</v>
      </c>
      <c r="D16" s="8" t="s">
        <v>1239</v>
      </c>
      <c r="E16" s="5"/>
      <c r="F16" s="19"/>
      <c r="G16" s="15">
        <f t="shared" si="3"/>
        <v>0</v>
      </c>
      <c r="H16" s="15"/>
      <c r="I16" s="16">
        <f t="shared" si="0"/>
        <v>0</v>
      </c>
      <c r="J16" s="35">
        <v>5354</v>
      </c>
      <c r="K16" s="16">
        <f t="shared" si="1"/>
        <v>-5354</v>
      </c>
      <c r="L16" s="18">
        <f t="shared" si="2"/>
        <v>-1</v>
      </c>
      <c r="M16" s="43">
        <v>1</v>
      </c>
    </row>
    <row r="17" spans="1:13" ht="50.1" customHeight="1" x14ac:dyDescent="0.2">
      <c r="A17" s="4" t="s">
        <v>552</v>
      </c>
      <c r="B17" s="4" t="s">
        <v>1125</v>
      </c>
      <c r="C17" s="49" t="s">
        <v>1860</v>
      </c>
      <c r="D17" s="8" t="s">
        <v>1240</v>
      </c>
      <c r="E17" s="5"/>
      <c r="F17" s="19"/>
      <c r="G17" s="15">
        <f t="shared" si="3"/>
        <v>0</v>
      </c>
      <c r="H17" s="15"/>
      <c r="I17" s="16">
        <f t="shared" si="0"/>
        <v>0</v>
      </c>
      <c r="J17" s="35">
        <v>8033</v>
      </c>
      <c r="K17" s="16">
        <f t="shared" si="1"/>
        <v>-8033</v>
      </c>
      <c r="L17" s="18">
        <f t="shared" si="2"/>
        <v>-1</v>
      </c>
      <c r="M17" s="43">
        <v>1</v>
      </c>
    </row>
    <row r="18" spans="1:13" ht="50.1" customHeight="1" x14ac:dyDescent="0.2">
      <c r="A18" s="4" t="s">
        <v>552</v>
      </c>
      <c r="B18" s="4" t="s">
        <v>1126</v>
      </c>
      <c r="C18" s="49" t="s">
        <v>1861</v>
      </c>
      <c r="D18" s="8" t="s">
        <v>1241</v>
      </c>
      <c r="E18" s="5"/>
      <c r="F18" s="19"/>
      <c r="G18" s="15">
        <f t="shared" si="3"/>
        <v>0</v>
      </c>
      <c r="H18" s="15"/>
      <c r="I18" s="16">
        <f t="shared" si="0"/>
        <v>0</v>
      </c>
      <c r="J18" s="35">
        <v>10042</v>
      </c>
      <c r="K18" s="16">
        <f t="shared" si="1"/>
        <v>-10042</v>
      </c>
      <c r="L18" s="18">
        <f t="shared" si="2"/>
        <v>-1</v>
      </c>
      <c r="M18" s="43">
        <v>1</v>
      </c>
    </row>
    <row r="19" spans="1:13" ht="50.1" customHeight="1" x14ac:dyDescent="0.2">
      <c r="A19" s="4" t="s">
        <v>552</v>
      </c>
      <c r="B19" s="4" t="s">
        <v>1127</v>
      </c>
      <c r="C19" s="49" t="s">
        <v>1862</v>
      </c>
      <c r="D19" s="8" t="s">
        <v>1242</v>
      </c>
      <c r="E19" s="5"/>
      <c r="F19" s="19"/>
      <c r="G19" s="15">
        <f t="shared" si="3"/>
        <v>0</v>
      </c>
      <c r="H19" s="15"/>
      <c r="I19" s="16">
        <f t="shared" si="0"/>
        <v>0</v>
      </c>
      <c r="J19" s="35">
        <v>6694</v>
      </c>
      <c r="K19" s="16">
        <f t="shared" si="1"/>
        <v>-6694</v>
      </c>
      <c r="L19" s="18">
        <f t="shared" si="2"/>
        <v>-1</v>
      </c>
      <c r="M19" s="43">
        <v>1</v>
      </c>
    </row>
    <row r="20" spans="1:13" ht="50.1" customHeight="1" x14ac:dyDescent="0.2">
      <c r="A20" s="4" t="s">
        <v>552</v>
      </c>
      <c r="B20" s="4" t="s">
        <v>1128</v>
      </c>
      <c r="C20" s="49" t="s">
        <v>1863</v>
      </c>
      <c r="D20" s="8" t="s">
        <v>1243</v>
      </c>
      <c r="E20" s="5"/>
      <c r="F20" s="19"/>
      <c r="G20" s="15">
        <f t="shared" si="3"/>
        <v>0</v>
      </c>
      <c r="H20" s="15"/>
      <c r="I20" s="16">
        <f t="shared" si="0"/>
        <v>0</v>
      </c>
      <c r="J20" s="35">
        <v>5354</v>
      </c>
      <c r="K20" s="16">
        <f t="shared" si="1"/>
        <v>-5354</v>
      </c>
      <c r="L20" s="18">
        <f t="shared" si="2"/>
        <v>-1</v>
      </c>
      <c r="M20" s="43">
        <v>1</v>
      </c>
    </row>
    <row r="21" spans="1:13" ht="50.1" customHeight="1" x14ac:dyDescent="0.2">
      <c r="A21" s="4" t="s">
        <v>552</v>
      </c>
      <c r="B21" s="4" t="s">
        <v>1129</v>
      </c>
      <c r="C21" s="49" t="s">
        <v>1864</v>
      </c>
      <c r="D21" s="8" t="s">
        <v>1244</v>
      </c>
      <c r="E21" s="5"/>
      <c r="F21" s="19"/>
      <c r="G21" s="15">
        <f t="shared" si="3"/>
        <v>0</v>
      </c>
      <c r="H21" s="15"/>
      <c r="I21" s="16">
        <f t="shared" si="0"/>
        <v>0</v>
      </c>
      <c r="J21" s="35">
        <v>8033</v>
      </c>
      <c r="K21" s="16">
        <f t="shared" si="1"/>
        <v>-8033</v>
      </c>
      <c r="L21" s="18">
        <f t="shared" si="2"/>
        <v>-1</v>
      </c>
      <c r="M21" s="43">
        <v>1</v>
      </c>
    </row>
    <row r="22" spans="1:13" ht="50.1" customHeight="1" x14ac:dyDescent="0.2">
      <c r="A22" s="4" t="s">
        <v>552</v>
      </c>
      <c r="B22" s="4" t="s">
        <v>1130</v>
      </c>
      <c r="C22" s="49" t="s">
        <v>1865</v>
      </c>
      <c r="D22" s="8" t="s">
        <v>1245</v>
      </c>
      <c r="E22" s="5"/>
      <c r="F22" s="19"/>
      <c r="G22" s="15">
        <f t="shared" si="3"/>
        <v>0</v>
      </c>
      <c r="H22" s="15"/>
      <c r="I22" s="16">
        <f t="shared" si="0"/>
        <v>0</v>
      </c>
      <c r="J22" s="35">
        <v>10042</v>
      </c>
      <c r="K22" s="16">
        <f t="shared" si="1"/>
        <v>-10042</v>
      </c>
      <c r="L22" s="18">
        <f t="shared" si="2"/>
        <v>-1</v>
      </c>
      <c r="M22" s="43">
        <v>1</v>
      </c>
    </row>
    <row r="23" spans="1:13" ht="50.1" customHeight="1" x14ac:dyDescent="0.2">
      <c r="A23" s="4" t="s">
        <v>552</v>
      </c>
      <c r="B23" s="4" t="s">
        <v>1131</v>
      </c>
      <c r="C23" s="49" t="s">
        <v>1866</v>
      </c>
      <c r="D23" s="8" t="s">
        <v>1246</v>
      </c>
      <c r="E23" s="5"/>
      <c r="F23" s="19"/>
      <c r="G23" s="15">
        <f t="shared" si="3"/>
        <v>0</v>
      </c>
      <c r="H23" s="15"/>
      <c r="I23" s="16">
        <f t="shared" si="0"/>
        <v>0</v>
      </c>
      <c r="J23" s="35">
        <v>6694</v>
      </c>
      <c r="K23" s="16">
        <f t="shared" si="1"/>
        <v>-6694</v>
      </c>
      <c r="L23" s="18">
        <f t="shared" si="2"/>
        <v>-1</v>
      </c>
      <c r="M23" s="43">
        <v>1</v>
      </c>
    </row>
    <row r="24" spans="1:13" ht="50.1" customHeight="1" x14ac:dyDescent="0.2">
      <c r="A24" s="4" t="s">
        <v>552</v>
      </c>
      <c r="B24" s="4" t="s">
        <v>1133</v>
      </c>
      <c r="C24" s="49" t="s">
        <v>1867</v>
      </c>
      <c r="D24" s="8" t="s">
        <v>1247</v>
      </c>
      <c r="E24" s="5"/>
      <c r="F24" s="19"/>
      <c r="G24" s="15">
        <f t="shared" si="3"/>
        <v>0</v>
      </c>
      <c r="H24" s="15"/>
      <c r="I24" s="16">
        <f t="shared" si="0"/>
        <v>0</v>
      </c>
      <c r="J24" s="35">
        <v>6693</v>
      </c>
      <c r="K24" s="16">
        <f t="shared" si="1"/>
        <v>-6693</v>
      </c>
      <c r="L24" s="18">
        <f t="shared" si="2"/>
        <v>-1</v>
      </c>
      <c r="M24" s="43">
        <v>1</v>
      </c>
    </row>
    <row r="25" spans="1:13" ht="50.1" customHeight="1" x14ac:dyDescent="0.2">
      <c r="A25" s="4" t="s">
        <v>552</v>
      </c>
      <c r="B25" s="4" t="s">
        <v>1132</v>
      </c>
      <c r="C25" s="49" t="s">
        <v>1868</v>
      </c>
      <c r="D25" s="8" t="s">
        <v>1248</v>
      </c>
      <c r="E25" s="5"/>
      <c r="F25" s="19"/>
      <c r="G25" s="15">
        <f t="shared" si="3"/>
        <v>0</v>
      </c>
      <c r="H25" s="15"/>
      <c r="I25" s="16">
        <f t="shared" si="0"/>
        <v>0</v>
      </c>
      <c r="J25" s="35">
        <v>8704</v>
      </c>
      <c r="K25" s="16">
        <f t="shared" si="1"/>
        <v>-8704</v>
      </c>
      <c r="L25" s="18">
        <f t="shared" si="2"/>
        <v>-1</v>
      </c>
      <c r="M25" s="43">
        <v>1</v>
      </c>
    </row>
    <row r="26" spans="1:13" ht="50.1" customHeight="1" x14ac:dyDescent="0.2">
      <c r="A26" s="4" t="s">
        <v>552</v>
      </c>
      <c r="B26" s="4" t="s">
        <v>1134</v>
      </c>
      <c r="C26" s="49" t="s">
        <v>1869</v>
      </c>
      <c r="D26" s="8" t="s">
        <v>1249</v>
      </c>
      <c r="E26" s="5"/>
      <c r="F26" s="19"/>
      <c r="G26" s="15">
        <f t="shared" si="3"/>
        <v>0</v>
      </c>
      <c r="H26" s="15"/>
      <c r="I26" s="16">
        <f t="shared" si="0"/>
        <v>0</v>
      </c>
      <c r="J26" s="35">
        <v>10714</v>
      </c>
      <c r="K26" s="16">
        <f t="shared" si="1"/>
        <v>-10714</v>
      </c>
      <c r="L26" s="18">
        <f t="shared" si="2"/>
        <v>-1</v>
      </c>
      <c r="M26" s="43">
        <v>1</v>
      </c>
    </row>
    <row r="27" spans="1:13" ht="50.1" customHeight="1" x14ac:dyDescent="0.2">
      <c r="A27" s="4" t="s">
        <v>552</v>
      </c>
      <c r="B27" s="4" t="s">
        <v>1135</v>
      </c>
      <c r="C27" s="49" t="s">
        <v>1870</v>
      </c>
      <c r="D27" s="8" t="s">
        <v>1136</v>
      </c>
      <c r="E27" s="5"/>
      <c r="F27" s="19"/>
      <c r="G27" s="15">
        <f t="shared" si="3"/>
        <v>0</v>
      </c>
      <c r="H27" s="15"/>
      <c r="I27" s="16">
        <f t="shared" si="0"/>
        <v>0</v>
      </c>
      <c r="J27" s="35">
        <v>5354</v>
      </c>
      <c r="K27" s="16">
        <f t="shared" si="1"/>
        <v>-5354</v>
      </c>
      <c r="L27" s="18">
        <f t="shared" si="2"/>
        <v>-1</v>
      </c>
      <c r="M27" s="43">
        <v>1</v>
      </c>
    </row>
    <row r="28" spans="1:13" ht="50.1" customHeight="1" x14ac:dyDescent="0.2">
      <c r="A28" s="4" t="s">
        <v>552</v>
      </c>
      <c r="B28" s="4" t="s">
        <v>1137</v>
      </c>
      <c r="C28" s="49" t="s">
        <v>1871</v>
      </c>
      <c r="D28" s="8" t="s">
        <v>1138</v>
      </c>
      <c r="E28" s="5"/>
      <c r="F28" s="19"/>
      <c r="G28" s="15">
        <f t="shared" si="3"/>
        <v>0</v>
      </c>
      <c r="H28" s="15"/>
      <c r="I28" s="16">
        <f t="shared" si="0"/>
        <v>0</v>
      </c>
      <c r="J28" s="35">
        <v>5354</v>
      </c>
      <c r="K28" s="16">
        <f t="shared" si="1"/>
        <v>-5354</v>
      </c>
      <c r="L28" s="18">
        <f t="shared" si="2"/>
        <v>-1</v>
      </c>
      <c r="M28" s="43">
        <v>1</v>
      </c>
    </row>
    <row r="29" spans="1:13" ht="50.1" customHeight="1" x14ac:dyDescent="0.2">
      <c r="A29" s="4" t="s">
        <v>552</v>
      </c>
      <c r="B29" s="4" t="s">
        <v>1139</v>
      </c>
      <c r="C29" s="49" t="s">
        <v>1872</v>
      </c>
      <c r="D29" s="8" t="s">
        <v>1140</v>
      </c>
      <c r="E29" s="5"/>
      <c r="F29" s="19"/>
      <c r="G29" s="15">
        <f t="shared" si="3"/>
        <v>0</v>
      </c>
      <c r="H29" s="15"/>
      <c r="I29" s="16">
        <f t="shared" si="0"/>
        <v>0</v>
      </c>
      <c r="J29" s="35">
        <v>8033</v>
      </c>
      <c r="K29" s="16">
        <f t="shared" si="1"/>
        <v>-8033</v>
      </c>
      <c r="L29" s="18">
        <f t="shared" si="2"/>
        <v>-1</v>
      </c>
      <c r="M29" s="43">
        <v>1</v>
      </c>
    </row>
    <row r="30" spans="1:13" ht="50.1" customHeight="1" x14ac:dyDescent="0.2">
      <c r="A30" s="4" t="s">
        <v>552</v>
      </c>
      <c r="B30" s="4" t="s">
        <v>1141</v>
      </c>
      <c r="C30" s="49" t="s">
        <v>1873</v>
      </c>
      <c r="D30" s="8" t="s">
        <v>1142</v>
      </c>
      <c r="E30" s="5"/>
      <c r="F30" s="19"/>
      <c r="G30" s="15">
        <f t="shared" si="3"/>
        <v>0</v>
      </c>
      <c r="H30" s="15"/>
      <c r="I30" s="16">
        <f t="shared" si="0"/>
        <v>0</v>
      </c>
      <c r="J30" s="35">
        <v>10042</v>
      </c>
      <c r="K30" s="16">
        <f t="shared" si="1"/>
        <v>-10042</v>
      </c>
      <c r="L30" s="18">
        <f t="shared" si="2"/>
        <v>-1</v>
      </c>
      <c r="M30" s="43">
        <v>1</v>
      </c>
    </row>
    <row r="31" spans="1:13" ht="50.1" customHeight="1" x14ac:dyDescent="0.2">
      <c r="A31" s="4" t="s">
        <v>552</v>
      </c>
      <c r="B31" s="4" t="s">
        <v>1143</v>
      </c>
      <c r="C31" s="49" t="s">
        <v>1756</v>
      </c>
      <c r="D31" s="8" t="s">
        <v>1144</v>
      </c>
      <c r="E31" s="5"/>
      <c r="F31" s="19"/>
      <c r="G31" s="15">
        <f t="shared" si="3"/>
        <v>0</v>
      </c>
      <c r="H31" s="15"/>
      <c r="I31" s="16">
        <f t="shared" si="0"/>
        <v>0</v>
      </c>
      <c r="J31" s="35">
        <v>6694</v>
      </c>
      <c r="K31" s="16">
        <f t="shared" si="1"/>
        <v>-6694</v>
      </c>
      <c r="L31" s="18">
        <f t="shared" si="2"/>
        <v>-1</v>
      </c>
      <c r="M31" s="43">
        <v>1</v>
      </c>
    </row>
    <row r="32" spans="1:13" ht="50.1" customHeight="1" x14ac:dyDescent="0.2">
      <c r="A32" s="4" t="s">
        <v>552</v>
      </c>
      <c r="B32" s="4" t="s">
        <v>1145</v>
      </c>
      <c r="C32" s="49" t="s">
        <v>1874</v>
      </c>
      <c r="D32" s="8" t="s">
        <v>1146</v>
      </c>
      <c r="E32" s="5"/>
      <c r="F32" s="19"/>
      <c r="G32" s="15">
        <f t="shared" si="3"/>
        <v>0</v>
      </c>
      <c r="H32" s="15"/>
      <c r="I32" s="16">
        <f t="shared" si="0"/>
        <v>0</v>
      </c>
      <c r="J32" s="35">
        <v>5354</v>
      </c>
      <c r="K32" s="16">
        <f t="shared" si="1"/>
        <v>-5354</v>
      </c>
      <c r="L32" s="18">
        <f t="shared" si="2"/>
        <v>-1</v>
      </c>
      <c r="M32" s="43">
        <v>1</v>
      </c>
    </row>
    <row r="33" spans="1:13" ht="50.1" customHeight="1" x14ac:dyDescent="0.2">
      <c r="A33" s="4" t="s">
        <v>552</v>
      </c>
      <c r="B33" s="4" t="s">
        <v>1147</v>
      </c>
      <c r="C33" s="49" t="s">
        <v>1875</v>
      </c>
      <c r="D33" s="8" t="s">
        <v>1148</v>
      </c>
      <c r="E33" s="5"/>
      <c r="F33" s="19"/>
      <c r="G33" s="15">
        <f t="shared" si="3"/>
        <v>0</v>
      </c>
      <c r="H33" s="15"/>
      <c r="I33" s="16">
        <f t="shared" si="0"/>
        <v>0</v>
      </c>
      <c r="J33" s="35">
        <v>8033</v>
      </c>
      <c r="K33" s="16">
        <f t="shared" si="1"/>
        <v>-8033</v>
      </c>
      <c r="L33" s="18">
        <f t="shared" si="2"/>
        <v>-1</v>
      </c>
      <c r="M33" s="43">
        <v>1</v>
      </c>
    </row>
    <row r="34" spans="1:13" ht="50.1" customHeight="1" x14ac:dyDescent="0.2">
      <c r="A34" s="4" t="s">
        <v>552</v>
      </c>
      <c r="B34" s="4" t="s">
        <v>1149</v>
      </c>
      <c r="C34" s="49" t="s">
        <v>1876</v>
      </c>
      <c r="D34" s="8" t="s">
        <v>1150</v>
      </c>
      <c r="E34" s="5"/>
      <c r="F34" s="19"/>
      <c r="G34" s="15">
        <f t="shared" si="3"/>
        <v>0</v>
      </c>
      <c r="H34" s="15"/>
      <c r="I34" s="16">
        <f t="shared" si="0"/>
        <v>0</v>
      </c>
      <c r="J34" s="35">
        <v>10042</v>
      </c>
      <c r="K34" s="16">
        <f t="shared" si="1"/>
        <v>-10042</v>
      </c>
      <c r="L34" s="18">
        <f t="shared" si="2"/>
        <v>-1</v>
      </c>
      <c r="M34" s="43">
        <v>1</v>
      </c>
    </row>
    <row r="35" spans="1:13" ht="50.1" customHeight="1" x14ac:dyDescent="0.2">
      <c r="A35" s="4" t="s">
        <v>552</v>
      </c>
      <c r="B35" s="4" t="s">
        <v>1151</v>
      </c>
      <c r="C35" s="49" t="s">
        <v>1877</v>
      </c>
      <c r="D35" s="8" t="s">
        <v>1152</v>
      </c>
      <c r="E35" s="5"/>
      <c r="F35" s="19"/>
      <c r="G35" s="15">
        <f t="shared" si="3"/>
        <v>0</v>
      </c>
      <c r="H35" s="15"/>
      <c r="I35" s="16">
        <f t="shared" si="0"/>
        <v>0</v>
      </c>
      <c r="J35" s="35">
        <v>6694</v>
      </c>
      <c r="K35" s="16">
        <f t="shared" si="1"/>
        <v>-6694</v>
      </c>
      <c r="L35" s="18">
        <f t="shared" si="2"/>
        <v>-1</v>
      </c>
      <c r="M35" s="43">
        <v>1</v>
      </c>
    </row>
    <row r="36" spans="1:13" ht="50.1" customHeight="1" x14ac:dyDescent="0.2">
      <c r="A36" s="4" t="s">
        <v>552</v>
      </c>
      <c r="B36" s="4" t="s">
        <v>1153</v>
      </c>
      <c r="C36" s="49" t="s">
        <v>1878</v>
      </c>
      <c r="D36" s="8" t="s">
        <v>1154</v>
      </c>
      <c r="E36" s="5"/>
      <c r="F36" s="19"/>
      <c r="G36" s="15">
        <f t="shared" si="3"/>
        <v>0</v>
      </c>
      <c r="H36" s="15"/>
      <c r="I36" s="16">
        <f t="shared" si="0"/>
        <v>0</v>
      </c>
      <c r="J36" s="35">
        <v>8704</v>
      </c>
      <c r="K36" s="16">
        <f t="shared" si="1"/>
        <v>-8704</v>
      </c>
      <c r="L36" s="18">
        <f t="shared" si="2"/>
        <v>-1</v>
      </c>
      <c r="M36" s="43">
        <v>1</v>
      </c>
    </row>
    <row r="37" spans="1:13" ht="50.1" customHeight="1" x14ac:dyDescent="0.2">
      <c r="A37" s="4" t="s">
        <v>552</v>
      </c>
      <c r="B37" s="4" t="s">
        <v>1155</v>
      </c>
      <c r="C37" s="49" t="s">
        <v>1879</v>
      </c>
      <c r="D37" s="8" t="s">
        <v>1156</v>
      </c>
      <c r="E37" s="5"/>
      <c r="F37" s="19"/>
      <c r="G37" s="15">
        <f t="shared" si="3"/>
        <v>0</v>
      </c>
      <c r="H37" s="15"/>
      <c r="I37" s="16">
        <f t="shared" si="0"/>
        <v>0</v>
      </c>
      <c r="J37" s="35">
        <v>10714</v>
      </c>
      <c r="K37" s="16">
        <f t="shared" si="1"/>
        <v>-10714</v>
      </c>
      <c r="L37" s="18">
        <f t="shared" si="2"/>
        <v>-1</v>
      </c>
      <c r="M37" s="43">
        <v>1</v>
      </c>
    </row>
    <row r="38" spans="1:13" ht="50.1" customHeight="1" x14ac:dyDescent="0.2">
      <c r="A38" s="4" t="s">
        <v>552</v>
      </c>
      <c r="B38" s="4" t="s">
        <v>1157</v>
      </c>
      <c r="C38" s="49" t="s">
        <v>1880</v>
      </c>
      <c r="D38" s="8" t="s">
        <v>1158</v>
      </c>
      <c r="E38" s="5"/>
      <c r="F38" s="19"/>
      <c r="G38" s="15">
        <f t="shared" si="3"/>
        <v>0</v>
      </c>
      <c r="H38" s="15"/>
      <c r="I38" s="16">
        <f t="shared" ref="I38:I69" si="4">E38-G38-H38</f>
        <v>0</v>
      </c>
      <c r="J38" s="35">
        <v>5354</v>
      </c>
      <c r="K38" s="16">
        <f t="shared" ref="K38:K69" si="5">I38-J38</f>
        <v>-5354</v>
      </c>
      <c r="L38" s="18">
        <f t="shared" ref="L38:L69" si="6">K38/J38</f>
        <v>-1</v>
      </c>
      <c r="M38" s="43">
        <v>1</v>
      </c>
    </row>
    <row r="39" spans="1:13" ht="50.1" customHeight="1" x14ac:dyDescent="0.2">
      <c r="A39" s="4" t="s">
        <v>552</v>
      </c>
      <c r="B39" s="4" t="s">
        <v>1159</v>
      </c>
      <c r="C39" s="49" t="s">
        <v>1881</v>
      </c>
      <c r="D39" s="8" t="s">
        <v>1160</v>
      </c>
      <c r="E39" s="5"/>
      <c r="F39" s="19"/>
      <c r="G39" s="15">
        <f t="shared" si="3"/>
        <v>0</v>
      </c>
      <c r="H39" s="15"/>
      <c r="I39" s="16">
        <f t="shared" si="4"/>
        <v>0</v>
      </c>
      <c r="J39" s="35">
        <v>6694</v>
      </c>
      <c r="K39" s="16">
        <f t="shared" si="5"/>
        <v>-6694</v>
      </c>
      <c r="L39" s="18">
        <f t="shared" si="6"/>
        <v>-1</v>
      </c>
      <c r="M39" s="43">
        <v>1</v>
      </c>
    </row>
    <row r="40" spans="1:13" ht="50.1" customHeight="1" x14ac:dyDescent="0.2">
      <c r="A40" s="4" t="s">
        <v>552</v>
      </c>
      <c r="B40" s="4" t="s">
        <v>1161</v>
      </c>
      <c r="C40" s="49" t="s">
        <v>1882</v>
      </c>
      <c r="D40" s="8" t="s">
        <v>1162</v>
      </c>
      <c r="E40" s="5"/>
      <c r="F40" s="19"/>
      <c r="G40" s="15">
        <f t="shared" si="3"/>
        <v>0</v>
      </c>
      <c r="H40" s="15"/>
      <c r="I40" s="16">
        <f t="shared" si="4"/>
        <v>0</v>
      </c>
      <c r="J40" s="35">
        <v>4683</v>
      </c>
      <c r="K40" s="16">
        <f t="shared" si="5"/>
        <v>-4683</v>
      </c>
      <c r="L40" s="18">
        <f t="shared" si="6"/>
        <v>-1</v>
      </c>
      <c r="M40" s="43">
        <v>1</v>
      </c>
    </row>
    <row r="41" spans="1:13" ht="50.1" customHeight="1" x14ac:dyDescent="0.2">
      <c r="A41" s="4" t="s">
        <v>552</v>
      </c>
      <c r="B41" s="4" t="s">
        <v>1163</v>
      </c>
      <c r="C41" s="49" t="s">
        <v>1883</v>
      </c>
      <c r="D41" s="8" t="s">
        <v>1164</v>
      </c>
      <c r="E41" s="5"/>
      <c r="F41" s="19"/>
      <c r="G41" s="15">
        <f t="shared" ref="G41:G72" si="7">E41*F41</f>
        <v>0</v>
      </c>
      <c r="H41" s="15"/>
      <c r="I41" s="16">
        <f t="shared" si="4"/>
        <v>0</v>
      </c>
      <c r="J41" s="35">
        <v>6694</v>
      </c>
      <c r="K41" s="16">
        <f t="shared" si="5"/>
        <v>-6694</v>
      </c>
      <c r="L41" s="18">
        <f t="shared" si="6"/>
        <v>-1</v>
      </c>
      <c r="M41" s="43">
        <v>1</v>
      </c>
    </row>
    <row r="42" spans="1:13" ht="50.1" customHeight="1" x14ac:dyDescent="0.2">
      <c r="A42" s="4" t="s">
        <v>552</v>
      </c>
      <c r="B42" s="4" t="s">
        <v>1165</v>
      </c>
      <c r="C42" s="49" t="s">
        <v>1884</v>
      </c>
      <c r="D42" s="8" t="s">
        <v>1166</v>
      </c>
      <c r="E42" s="5"/>
      <c r="F42" s="19"/>
      <c r="G42" s="15">
        <f t="shared" si="7"/>
        <v>0</v>
      </c>
      <c r="H42" s="15"/>
      <c r="I42" s="16">
        <f t="shared" si="4"/>
        <v>0</v>
      </c>
      <c r="J42" s="35">
        <v>8033</v>
      </c>
      <c r="K42" s="16">
        <f t="shared" si="5"/>
        <v>-8033</v>
      </c>
      <c r="L42" s="18">
        <f t="shared" si="6"/>
        <v>-1</v>
      </c>
      <c r="M42" s="43">
        <v>1</v>
      </c>
    </row>
    <row r="43" spans="1:13" ht="50.1" customHeight="1" x14ac:dyDescent="0.2">
      <c r="A43" s="4" t="s">
        <v>552</v>
      </c>
      <c r="B43" s="4" t="s">
        <v>1167</v>
      </c>
      <c r="C43" s="49" t="s">
        <v>1885</v>
      </c>
      <c r="D43" s="8" t="s">
        <v>1168</v>
      </c>
      <c r="E43" s="5"/>
      <c r="F43" s="19"/>
      <c r="G43" s="15">
        <f t="shared" si="7"/>
        <v>0</v>
      </c>
      <c r="H43" s="15"/>
      <c r="I43" s="16">
        <f t="shared" si="4"/>
        <v>0</v>
      </c>
      <c r="J43" s="35">
        <v>4683</v>
      </c>
      <c r="K43" s="16">
        <f t="shared" si="5"/>
        <v>-4683</v>
      </c>
      <c r="L43" s="18">
        <f t="shared" si="6"/>
        <v>-1</v>
      </c>
      <c r="M43" s="43">
        <v>1</v>
      </c>
    </row>
    <row r="44" spans="1:13" ht="50.1" customHeight="1" x14ac:dyDescent="0.2">
      <c r="A44" s="4" t="s">
        <v>552</v>
      </c>
      <c r="B44" s="4" t="s">
        <v>1169</v>
      </c>
      <c r="C44" s="49" t="s">
        <v>1886</v>
      </c>
      <c r="D44" s="8" t="s">
        <v>1170</v>
      </c>
      <c r="E44" s="5"/>
      <c r="F44" s="19"/>
      <c r="G44" s="15">
        <f t="shared" si="7"/>
        <v>0</v>
      </c>
      <c r="H44" s="15"/>
      <c r="I44" s="16">
        <f t="shared" si="4"/>
        <v>0</v>
      </c>
      <c r="J44" s="35">
        <v>4683</v>
      </c>
      <c r="K44" s="16">
        <f t="shared" si="5"/>
        <v>-4683</v>
      </c>
      <c r="L44" s="18">
        <f t="shared" si="6"/>
        <v>-1</v>
      </c>
      <c r="M44" s="43">
        <v>1</v>
      </c>
    </row>
    <row r="45" spans="1:13" ht="50.1" customHeight="1" x14ac:dyDescent="0.2">
      <c r="A45" s="4" t="s">
        <v>552</v>
      </c>
      <c r="B45" s="4" t="s">
        <v>1171</v>
      </c>
      <c r="C45" s="49" t="s">
        <v>1887</v>
      </c>
      <c r="D45" s="8" t="s">
        <v>1172</v>
      </c>
      <c r="E45" s="5"/>
      <c r="F45" s="19"/>
      <c r="G45" s="15">
        <f t="shared" si="7"/>
        <v>0</v>
      </c>
      <c r="H45" s="15"/>
      <c r="I45" s="16">
        <f t="shared" si="4"/>
        <v>0</v>
      </c>
      <c r="J45" s="35">
        <v>6694</v>
      </c>
      <c r="K45" s="16">
        <f t="shared" si="5"/>
        <v>-6694</v>
      </c>
      <c r="L45" s="18">
        <f t="shared" si="6"/>
        <v>-1</v>
      </c>
      <c r="M45" s="43">
        <v>1</v>
      </c>
    </row>
    <row r="46" spans="1:13" ht="50.1" customHeight="1" x14ac:dyDescent="0.2">
      <c r="A46" s="4" t="s">
        <v>552</v>
      </c>
      <c r="B46" s="4" t="s">
        <v>1173</v>
      </c>
      <c r="C46" s="49" t="s">
        <v>1888</v>
      </c>
      <c r="D46" s="8" t="s">
        <v>1174</v>
      </c>
      <c r="E46" s="5"/>
      <c r="F46" s="19"/>
      <c r="G46" s="15">
        <f t="shared" si="7"/>
        <v>0</v>
      </c>
      <c r="H46" s="15"/>
      <c r="I46" s="16">
        <f t="shared" si="4"/>
        <v>0</v>
      </c>
      <c r="J46" s="35">
        <v>4683</v>
      </c>
      <c r="K46" s="16">
        <f t="shared" si="5"/>
        <v>-4683</v>
      </c>
      <c r="L46" s="18">
        <f t="shared" si="6"/>
        <v>-1</v>
      </c>
      <c r="M46" s="43">
        <v>1</v>
      </c>
    </row>
    <row r="47" spans="1:13" ht="50.1" customHeight="1" x14ac:dyDescent="0.2">
      <c r="A47" s="4" t="s">
        <v>552</v>
      </c>
      <c r="B47" s="4" t="s">
        <v>1175</v>
      </c>
      <c r="C47" s="49" t="s">
        <v>1889</v>
      </c>
      <c r="D47" s="8" t="s">
        <v>1176</v>
      </c>
      <c r="E47" s="5"/>
      <c r="F47" s="19"/>
      <c r="G47" s="15">
        <f t="shared" si="7"/>
        <v>0</v>
      </c>
      <c r="H47" s="15"/>
      <c r="I47" s="16">
        <f t="shared" si="4"/>
        <v>0</v>
      </c>
      <c r="J47" s="35">
        <v>5354</v>
      </c>
      <c r="K47" s="16">
        <f t="shared" si="5"/>
        <v>-5354</v>
      </c>
      <c r="L47" s="18">
        <f t="shared" si="6"/>
        <v>-1</v>
      </c>
      <c r="M47" s="43">
        <v>1</v>
      </c>
    </row>
    <row r="48" spans="1:13" ht="50.1" customHeight="1" x14ac:dyDescent="0.2">
      <c r="A48" s="4" t="s">
        <v>552</v>
      </c>
      <c r="B48" s="4" t="s">
        <v>1177</v>
      </c>
      <c r="C48" s="49" t="s">
        <v>1890</v>
      </c>
      <c r="D48" s="8" t="s">
        <v>1178</v>
      </c>
      <c r="E48" s="5"/>
      <c r="F48" s="19"/>
      <c r="G48" s="15">
        <f t="shared" si="7"/>
        <v>0</v>
      </c>
      <c r="H48" s="15"/>
      <c r="I48" s="16">
        <f t="shared" si="4"/>
        <v>0</v>
      </c>
      <c r="J48" s="35">
        <v>8033</v>
      </c>
      <c r="K48" s="16">
        <f t="shared" si="5"/>
        <v>-8033</v>
      </c>
      <c r="L48" s="18">
        <f t="shared" si="6"/>
        <v>-1</v>
      </c>
      <c r="M48" s="43">
        <v>1</v>
      </c>
    </row>
    <row r="49" spans="1:13" ht="50.1" customHeight="1" x14ac:dyDescent="0.2">
      <c r="A49" s="4" t="s">
        <v>552</v>
      </c>
      <c r="B49" s="4" t="s">
        <v>1179</v>
      </c>
      <c r="C49" s="49" t="s">
        <v>1891</v>
      </c>
      <c r="D49" s="8" t="s">
        <v>1180</v>
      </c>
      <c r="E49" s="5"/>
      <c r="F49" s="19"/>
      <c r="G49" s="15">
        <f t="shared" si="7"/>
        <v>0</v>
      </c>
      <c r="H49" s="15"/>
      <c r="I49" s="16">
        <f t="shared" si="4"/>
        <v>0</v>
      </c>
      <c r="J49" s="35">
        <v>6694</v>
      </c>
      <c r="K49" s="16">
        <f t="shared" si="5"/>
        <v>-6694</v>
      </c>
      <c r="L49" s="18">
        <f t="shared" si="6"/>
        <v>-1</v>
      </c>
      <c r="M49" s="43">
        <v>1</v>
      </c>
    </row>
    <row r="50" spans="1:13" ht="50.1" customHeight="1" x14ac:dyDescent="0.2">
      <c r="A50" s="4" t="s">
        <v>552</v>
      </c>
      <c r="B50" s="4" t="s">
        <v>1181</v>
      </c>
      <c r="C50" s="49" t="s">
        <v>1892</v>
      </c>
      <c r="D50" s="8" t="s">
        <v>1182</v>
      </c>
      <c r="E50" s="5"/>
      <c r="F50" s="19"/>
      <c r="G50" s="15">
        <f t="shared" si="7"/>
        <v>0</v>
      </c>
      <c r="H50" s="15"/>
      <c r="I50" s="16">
        <f t="shared" si="4"/>
        <v>0</v>
      </c>
      <c r="J50" s="35">
        <v>4683</v>
      </c>
      <c r="K50" s="16">
        <f t="shared" si="5"/>
        <v>-4683</v>
      </c>
      <c r="L50" s="18">
        <f t="shared" si="6"/>
        <v>-1</v>
      </c>
      <c r="M50" s="43">
        <v>1</v>
      </c>
    </row>
    <row r="51" spans="1:13" ht="50.1" customHeight="1" x14ac:dyDescent="0.2">
      <c r="A51" s="4" t="s">
        <v>552</v>
      </c>
      <c r="B51" s="4" t="s">
        <v>1183</v>
      </c>
      <c r="C51" s="49" t="s">
        <v>1893</v>
      </c>
      <c r="D51" s="8" t="s">
        <v>1184</v>
      </c>
      <c r="E51" s="5"/>
      <c r="F51" s="19"/>
      <c r="G51" s="15">
        <f t="shared" si="7"/>
        <v>0</v>
      </c>
      <c r="H51" s="15"/>
      <c r="I51" s="16">
        <f t="shared" si="4"/>
        <v>0</v>
      </c>
      <c r="J51" s="35">
        <v>6694</v>
      </c>
      <c r="K51" s="16">
        <f t="shared" si="5"/>
        <v>-6694</v>
      </c>
      <c r="L51" s="18">
        <f t="shared" si="6"/>
        <v>-1</v>
      </c>
      <c r="M51" s="43">
        <v>1</v>
      </c>
    </row>
    <row r="52" spans="1:13" ht="50.1" customHeight="1" x14ac:dyDescent="0.2">
      <c r="A52" s="4" t="s">
        <v>552</v>
      </c>
      <c r="B52" s="4" t="s">
        <v>1185</v>
      </c>
      <c r="C52" s="49" t="s">
        <v>1894</v>
      </c>
      <c r="D52" s="8" t="s">
        <v>1186</v>
      </c>
      <c r="E52" s="5"/>
      <c r="F52" s="19"/>
      <c r="G52" s="15">
        <f t="shared" si="7"/>
        <v>0</v>
      </c>
      <c r="H52" s="15"/>
      <c r="I52" s="16">
        <f t="shared" si="4"/>
        <v>0</v>
      </c>
      <c r="J52" s="35">
        <v>4683</v>
      </c>
      <c r="K52" s="16">
        <f t="shared" si="5"/>
        <v>-4683</v>
      </c>
      <c r="L52" s="18">
        <f t="shared" si="6"/>
        <v>-1</v>
      </c>
      <c r="M52" s="43">
        <v>1</v>
      </c>
    </row>
    <row r="53" spans="1:13" ht="50.1" customHeight="1" x14ac:dyDescent="0.2">
      <c r="A53" s="4" t="s">
        <v>552</v>
      </c>
      <c r="B53" s="4" t="s">
        <v>1187</v>
      </c>
      <c r="C53" s="49" t="s">
        <v>1895</v>
      </c>
      <c r="D53" s="8" t="s">
        <v>1188</v>
      </c>
      <c r="E53" s="5"/>
      <c r="F53" s="19"/>
      <c r="G53" s="15">
        <f t="shared" si="7"/>
        <v>0</v>
      </c>
      <c r="H53" s="15"/>
      <c r="I53" s="16">
        <f t="shared" si="4"/>
        <v>0</v>
      </c>
      <c r="J53" s="35">
        <v>6694</v>
      </c>
      <c r="K53" s="16">
        <f t="shared" si="5"/>
        <v>-6694</v>
      </c>
      <c r="L53" s="18">
        <f t="shared" si="6"/>
        <v>-1</v>
      </c>
      <c r="M53" s="43">
        <v>1</v>
      </c>
    </row>
    <row r="54" spans="1:13" ht="50.1" customHeight="1" x14ac:dyDescent="0.2">
      <c r="A54" s="4" t="s">
        <v>552</v>
      </c>
      <c r="B54" s="4" t="s">
        <v>1189</v>
      </c>
      <c r="C54" s="49" t="s">
        <v>1896</v>
      </c>
      <c r="D54" s="8" t="s">
        <v>1190</v>
      </c>
      <c r="E54" s="5"/>
      <c r="F54" s="19"/>
      <c r="G54" s="15">
        <f t="shared" si="7"/>
        <v>0</v>
      </c>
      <c r="H54" s="15"/>
      <c r="I54" s="16">
        <f t="shared" si="4"/>
        <v>0</v>
      </c>
      <c r="J54" s="35">
        <v>8033</v>
      </c>
      <c r="K54" s="16">
        <f t="shared" si="5"/>
        <v>-8033</v>
      </c>
      <c r="L54" s="18">
        <f t="shared" si="6"/>
        <v>-1</v>
      </c>
      <c r="M54" s="43">
        <v>1</v>
      </c>
    </row>
    <row r="55" spans="1:13" ht="50.1" customHeight="1" x14ac:dyDescent="0.2">
      <c r="A55" s="4" t="s">
        <v>552</v>
      </c>
      <c r="B55" s="4" t="s">
        <v>1191</v>
      </c>
      <c r="C55" s="49" t="s">
        <v>1897</v>
      </c>
      <c r="D55" s="8" t="s">
        <v>1192</v>
      </c>
      <c r="E55" s="5"/>
      <c r="F55" s="19"/>
      <c r="G55" s="15">
        <f t="shared" si="7"/>
        <v>0</v>
      </c>
      <c r="H55" s="15"/>
      <c r="I55" s="16">
        <f t="shared" si="4"/>
        <v>0</v>
      </c>
      <c r="J55" s="35">
        <v>4683</v>
      </c>
      <c r="K55" s="16">
        <f t="shared" si="5"/>
        <v>-4683</v>
      </c>
      <c r="L55" s="18">
        <f t="shared" si="6"/>
        <v>-1</v>
      </c>
      <c r="M55" s="43">
        <v>1</v>
      </c>
    </row>
    <row r="56" spans="1:13" ht="50.1" customHeight="1" x14ac:dyDescent="0.2">
      <c r="A56" s="4" t="s">
        <v>552</v>
      </c>
      <c r="B56" s="4" t="s">
        <v>1193</v>
      </c>
      <c r="C56" s="49" t="s">
        <v>1898</v>
      </c>
      <c r="D56" s="8" t="s">
        <v>1194</v>
      </c>
      <c r="E56" s="5"/>
      <c r="F56" s="19"/>
      <c r="G56" s="15">
        <f t="shared" si="7"/>
        <v>0</v>
      </c>
      <c r="H56" s="15"/>
      <c r="I56" s="16">
        <f t="shared" si="4"/>
        <v>0</v>
      </c>
      <c r="J56" s="35">
        <v>4683</v>
      </c>
      <c r="K56" s="16">
        <f t="shared" si="5"/>
        <v>-4683</v>
      </c>
      <c r="L56" s="18">
        <f t="shared" si="6"/>
        <v>-1</v>
      </c>
      <c r="M56" s="43">
        <v>1</v>
      </c>
    </row>
    <row r="57" spans="1:13" ht="50.1" customHeight="1" x14ac:dyDescent="0.2">
      <c r="A57" s="4" t="s">
        <v>552</v>
      </c>
      <c r="B57" s="4" t="s">
        <v>1195</v>
      </c>
      <c r="C57" s="49" t="s">
        <v>1899</v>
      </c>
      <c r="D57" s="8" t="s">
        <v>1196</v>
      </c>
      <c r="E57" s="5"/>
      <c r="F57" s="19"/>
      <c r="G57" s="15">
        <f t="shared" si="7"/>
        <v>0</v>
      </c>
      <c r="H57" s="15"/>
      <c r="I57" s="16">
        <f t="shared" si="4"/>
        <v>0</v>
      </c>
      <c r="J57" s="35">
        <v>6694</v>
      </c>
      <c r="K57" s="16">
        <f t="shared" si="5"/>
        <v>-6694</v>
      </c>
      <c r="L57" s="18">
        <f t="shared" si="6"/>
        <v>-1</v>
      </c>
      <c r="M57" s="43">
        <v>1</v>
      </c>
    </row>
    <row r="58" spans="1:13" ht="50.1" customHeight="1" x14ac:dyDescent="0.2">
      <c r="A58" s="4" t="s">
        <v>552</v>
      </c>
      <c r="B58" s="4" t="s">
        <v>1197</v>
      </c>
      <c r="C58" s="49" t="s">
        <v>1900</v>
      </c>
      <c r="D58" s="8" t="s">
        <v>1198</v>
      </c>
      <c r="E58" s="5"/>
      <c r="F58" s="19"/>
      <c r="G58" s="15">
        <f t="shared" si="7"/>
        <v>0</v>
      </c>
      <c r="H58" s="15"/>
      <c r="I58" s="16">
        <f t="shared" si="4"/>
        <v>0</v>
      </c>
      <c r="J58" s="35">
        <v>8033</v>
      </c>
      <c r="K58" s="16">
        <f t="shared" si="5"/>
        <v>-8033</v>
      </c>
      <c r="L58" s="18">
        <f t="shared" si="6"/>
        <v>-1</v>
      </c>
      <c r="M58" s="43">
        <v>1</v>
      </c>
    </row>
    <row r="59" spans="1:13" ht="50.1" customHeight="1" x14ac:dyDescent="0.2">
      <c r="A59" s="4" t="s">
        <v>552</v>
      </c>
      <c r="B59" s="4" t="s">
        <v>1199</v>
      </c>
      <c r="C59" s="49" t="s">
        <v>1901</v>
      </c>
      <c r="D59" s="8" t="s">
        <v>1200</v>
      </c>
      <c r="E59" s="5"/>
      <c r="F59" s="19"/>
      <c r="G59" s="15">
        <f t="shared" si="7"/>
        <v>0</v>
      </c>
      <c r="H59" s="15"/>
      <c r="I59" s="16">
        <f t="shared" si="4"/>
        <v>0</v>
      </c>
      <c r="J59" s="35">
        <v>4683</v>
      </c>
      <c r="K59" s="16">
        <f t="shared" si="5"/>
        <v>-4683</v>
      </c>
      <c r="L59" s="18">
        <f t="shared" si="6"/>
        <v>-1</v>
      </c>
      <c r="M59" s="43">
        <v>1</v>
      </c>
    </row>
    <row r="60" spans="1:13" ht="50.1" customHeight="1" x14ac:dyDescent="0.2">
      <c r="A60" s="4" t="s">
        <v>552</v>
      </c>
      <c r="B60" s="4" t="s">
        <v>1201</v>
      </c>
      <c r="C60" s="49" t="s">
        <v>1902</v>
      </c>
      <c r="D60" s="8" t="s">
        <v>1202</v>
      </c>
      <c r="E60" s="5"/>
      <c r="F60" s="19"/>
      <c r="G60" s="15">
        <f t="shared" si="7"/>
        <v>0</v>
      </c>
      <c r="H60" s="15"/>
      <c r="I60" s="16">
        <f t="shared" si="4"/>
        <v>0</v>
      </c>
      <c r="J60" s="35">
        <v>4683</v>
      </c>
      <c r="K60" s="16">
        <f t="shared" si="5"/>
        <v>-4683</v>
      </c>
      <c r="L60" s="18">
        <f t="shared" si="6"/>
        <v>-1</v>
      </c>
      <c r="M60" s="43">
        <v>1</v>
      </c>
    </row>
    <row r="61" spans="1:13" ht="50.1" customHeight="1" x14ac:dyDescent="0.2">
      <c r="A61" s="4" t="s">
        <v>552</v>
      </c>
      <c r="B61" s="4" t="s">
        <v>1203</v>
      </c>
      <c r="C61" s="49" t="s">
        <v>1903</v>
      </c>
      <c r="D61" s="8" t="s">
        <v>1204</v>
      </c>
      <c r="E61" s="5"/>
      <c r="F61" s="19"/>
      <c r="G61" s="15">
        <f t="shared" si="7"/>
        <v>0</v>
      </c>
      <c r="H61" s="15"/>
      <c r="I61" s="16">
        <f t="shared" si="4"/>
        <v>0</v>
      </c>
      <c r="J61" s="35">
        <v>6694</v>
      </c>
      <c r="K61" s="16">
        <f t="shared" si="5"/>
        <v>-6694</v>
      </c>
      <c r="L61" s="18">
        <f t="shared" si="6"/>
        <v>-1</v>
      </c>
      <c r="M61" s="43">
        <v>1</v>
      </c>
    </row>
    <row r="62" spans="1:13" ht="50.1" customHeight="1" x14ac:dyDescent="0.2">
      <c r="A62" s="4" t="s">
        <v>552</v>
      </c>
      <c r="B62" s="4" t="s">
        <v>1205</v>
      </c>
      <c r="C62" s="49" t="s">
        <v>1904</v>
      </c>
      <c r="D62" s="8" t="s">
        <v>1206</v>
      </c>
      <c r="E62" s="5"/>
      <c r="F62" s="19"/>
      <c r="G62" s="15">
        <f t="shared" si="7"/>
        <v>0</v>
      </c>
      <c r="H62" s="15"/>
      <c r="I62" s="16">
        <f t="shared" si="4"/>
        <v>0</v>
      </c>
      <c r="J62" s="35">
        <v>4683</v>
      </c>
      <c r="K62" s="16">
        <f t="shared" si="5"/>
        <v>-4683</v>
      </c>
      <c r="L62" s="18">
        <f t="shared" si="6"/>
        <v>-1</v>
      </c>
      <c r="M62" s="43">
        <v>1</v>
      </c>
    </row>
    <row r="63" spans="1:13" ht="50.1" customHeight="1" x14ac:dyDescent="0.2">
      <c r="A63" s="4" t="s">
        <v>552</v>
      </c>
      <c r="B63" s="4" t="s">
        <v>1207</v>
      </c>
      <c r="C63" s="49" t="s">
        <v>1905</v>
      </c>
      <c r="D63" s="8" t="s">
        <v>1208</v>
      </c>
      <c r="E63" s="5"/>
      <c r="F63" s="19"/>
      <c r="G63" s="15">
        <f t="shared" si="7"/>
        <v>0</v>
      </c>
      <c r="H63" s="15"/>
      <c r="I63" s="16">
        <f t="shared" si="4"/>
        <v>0</v>
      </c>
      <c r="J63" s="35">
        <v>6694</v>
      </c>
      <c r="K63" s="16">
        <f t="shared" si="5"/>
        <v>-6694</v>
      </c>
      <c r="L63" s="18">
        <f t="shared" si="6"/>
        <v>-1</v>
      </c>
      <c r="M63" s="43">
        <v>1</v>
      </c>
    </row>
    <row r="64" spans="1:13" ht="50.1" customHeight="1" x14ac:dyDescent="0.2">
      <c r="A64" s="4" t="s">
        <v>552</v>
      </c>
      <c r="B64" s="4" t="s">
        <v>1209</v>
      </c>
      <c r="C64" s="49" t="s">
        <v>1906</v>
      </c>
      <c r="D64" s="8" t="s">
        <v>1210</v>
      </c>
      <c r="E64" s="5"/>
      <c r="F64" s="19"/>
      <c r="G64" s="15">
        <f t="shared" si="7"/>
        <v>0</v>
      </c>
      <c r="H64" s="15"/>
      <c r="I64" s="16">
        <f t="shared" si="4"/>
        <v>0</v>
      </c>
      <c r="J64" s="35">
        <v>8033</v>
      </c>
      <c r="K64" s="16">
        <f t="shared" si="5"/>
        <v>-8033</v>
      </c>
      <c r="L64" s="18">
        <f t="shared" si="6"/>
        <v>-1</v>
      </c>
      <c r="M64" s="43">
        <v>1</v>
      </c>
    </row>
    <row r="65" spans="1:13" ht="50.1" customHeight="1" x14ac:dyDescent="0.2">
      <c r="A65" s="4" t="s">
        <v>552</v>
      </c>
      <c r="B65" s="4" t="s">
        <v>1211</v>
      </c>
      <c r="C65" s="49" t="s">
        <v>1907</v>
      </c>
      <c r="D65" s="8" t="s">
        <v>1212</v>
      </c>
      <c r="E65" s="5"/>
      <c r="F65" s="19"/>
      <c r="G65" s="15">
        <f t="shared" si="7"/>
        <v>0</v>
      </c>
      <c r="H65" s="15"/>
      <c r="I65" s="16">
        <f t="shared" si="4"/>
        <v>0</v>
      </c>
      <c r="J65" s="35">
        <v>4683</v>
      </c>
      <c r="K65" s="16">
        <f t="shared" si="5"/>
        <v>-4683</v>
      </c>
      <c r="L65" s="18">
        <f t="shared" si="6"/>
        <v>-1</v>
      </c>
      <c r="M65" s="43">
        <v>1</v>
      </c>
    </row>
    <row r="66" spans="1:13" ht="50.1" customHeight="1" x14ac:dyDescent="0.2">
      <c r="A66" s="4" t="s">
        <v>552</v>
      </c>
      <c r="B66" s="4" t="s">
        <v>1213</v>
      </c>
      <c r="C66" s="49" t="s">
        <v>1908</v>
      </c>
      <c r="D66" s="8" t="s">
        <v>1214</v>
      </c>
      <c r="E66" s="5"/>
      <c r="F66" s="19"/>
      <c r="G66" s="15">
        <f t="shared" si="7"/>
        <v>0</v>
      </c>
      <c r="H66" s="15"/>
      <c r="I66" s="16">
        <f t="shared" si="4"/>
        <v>0</v>
      </c>
      <c r="J66" s="35">
        <v>6944</v>
      </c>
      <c r="K66" s="16">
        <f t="shared" si="5"/>
        <v>-6944</v>
      </c>
      <c r="L66" s="18">
        <f t="shared" si="6"/>
        <v>-1</v>
      </c>
      <c r="M66" s="43">
        <v>1</v>
      </c>
    </row>
    <row r="67" spans="1:13" ht="50.1" customHeight="1" x14ac:dyDescent="0.2">
      <c r="A67" s="4" t="s">
        <v>552</v>
      </c>
      <c r="B67" s="4" t="s">
        <v>1215</v>
      </c>
      <c r="C67" s="49" t="s">
        <v>1909</v>
      </c>
      <c r="D67" s="8" t="s">
        <v>1216</v>
      </c>
      <c r="E67" s="5"/>
      <c r="F67" s="19"/>
      <c r="G67" s="15">
        <f t="shared" si="7"/>
        <v>0</v>
      </c>
      <c r="H67" s="15"/>
      <c r="I67" s="16">
        <f t="shared" si="4"/>
        <v>0</v>
      </c>
      <c r="J67" s="35">
        <v>8033</v>
      </c>
      <c r="K67" s="16">
        <f t="shared" si="5"/>
        <v>-8033</v>
      </c>
      <c r="L67" s="18">
        <f t="shared" si="6"/>
        <v>-1</v>
      </c>
      <c r="M67" s="43">
        <v>1</v>
      </c>
    </row>
    <row r="68" spans="1:13" ht="50.1" customHeight="1" x14ac:dyDescent="0.2">
      <c r="A68" s="4" t="s">
        <v>552</v>
      </c>
      <c r="B68" s="4" t="s">
        <v>1217</v>
      </c>
      <c r="C68" s="49" t="s">
        <v>1910</v>
      </c>
      <c r="D68" s="8" t="s">
        <v>1218</v>
      </c>
      <c r="E68" s="5"/>
      <c r="F68" s="19"/>
      <c r="G68" s="15">
        <f t="shared" si="7"/>
        <v>0</v>
      </c>
      <c r="H68" s="15"/>
      <c r="I68" s="16">
        <f t="shared" si="4"/>
        <v>0</v>
      </c>
      <c r="J68" s="35">
        <v>4683</v>
      </c>
      <c r="K68" s="16">
        <f t="shared" si="5"/>
        <v>-4683</v>
      </c>
      <c r="L68" s="18">
        <f t="shared" si="6"/>
        <v>-1</v>
      </c>
      <c r="M68" s="43">
        <v>1</v>
      </c>
    </row>
    <row r="69" spans="1:13" ht="50.1" customHeight="1" x14ac:dyDescent="0.2">
      <c r="A69" s="4" t="s">
        <v>552</v>
      </c>
      <c r="B69" s="4" t="s">
        <v>1219</v>
      </c>
      <c r="C69" s="49" t="s">
        <v>1911</v>
      </c>
      <c r="D69" s="8" t="s">
        <v>1220</v>
      </c>
      <c r="E69" s="5"/>
      <c r="F69" s="19"/>
      <c r="G69" s="15">
        <f t="shared" si="7"/>
        <v>0</v>
      </c>
      <c r="H69" s="15"/>
      <c r="I69" s="16">
        <f t="shared" si="4"/>
        <v>0</v>
      </c>
      <c r="J69" s="35">
        <v>4683</v>
      </c>
      <c r="K69" s="16">
        <f t="shared" si="5"/>
        <v>-4683</v>
      </c>
      <c r="L69" s="18">
        <f t="shared" si="6"/>
        <v>-1</v>
      </c>
      <c r="M69" s="43">
        <v>1</v>
      </c>
    </row>
    <row r="70" spans="1:13" ht="50.1" customHeight="1" x14ac:dyDescent="0.2">
      <c r="A70" s="4" t="s">
        <v>552</v>
      </c>
      <c r="B70" s="4" t="s">
        <v>1221</v>
      </c>
      <c r="C70" s="49" t="s">
        <v>1912</v>
      </c>
      <c r="D70" s="8" t="s">
        <v>1222</v>
      </c>
      <c r="E70" s="5"/>
      <c r="F70" s="19"/>
      <c r="G70" s="15">
        <f t="shared" si="7"/>
        <v>0</v>
      </c>
      <c r="H70" s="15"/>
      <c r="I70" s="16">
        <f t="shared" ref="I70:I76" si="8">E70-G70-H70</f>
        <v>0</v>
      </c>
      <c r="J70" s="35">
        <v>6694</v>
      </c>
      <c r="K70" s="16">
        <f t="shared" ref="K70:K76" si="9">I70-J70</f>
        <v>-6694</v>
      </c>
      <c r="L70" s="18">
        <f t="shared" ref="L70:L76" si="10">K70/J70</f>
        <v>-1</v>
      </c>
      <c r="M70" s="43">
        <v>1</v>
      </c>
    </row>
    <row r="71" spans="1:13" ht="50.1" customHeight="1" x14ac:dyDescent="0.2">
      <c r="A71" s="4" t="s">
        <v>552</v>
      </c>
      <c r="B71" s="4" t="s">
        <v>1223</v>
      </c>
      <c r="C71" s="49" t="s">
        <v>1913</v>
      </c>
      <c r="D71" s="8" t="s">
        <v>1224</v>
      </c>
      <c r="E71" s="5"/>
      <c r="F71" s="19"/>
      <c r="G71" s="15">
        <f t="shared" si="7"/>
        <v>0</v>
      </c>
      <c r="H71" s="15"/>
      <c r="I71" s="16">
        <f t="shared" si="8"/>
        <v>0</v>
      </c>
      <c r="J71" s="35">
        <v>8033</v>
      </c>
      <c r="K71" s="16">
        <f t="shared" si="9"/>
        <v>-8033</v>
      </c>
      <c r="L71" s="18">
        <f t="shared" si="10"/>
        <v>-1</v>
      </c>
      <c r="M71" s="43">
        <v>1</v>
      </c>
    </row>
    <row r="72" spans="1:13" ht="50.1" customHeight="1" x14ac:dyDescent="0.2">
      <c r="A72" s="4" t="s">
        <v>552</v>
      </c>
      <c r="B72" s="4" t="s">
        <v>1225</v>
      </c>
      <c r="C72" s="49" t="s">
        <v>1757</v>
      </c>
      <c r="D72" s="8" t="s">
        <v>1226</v>
      </c>
      <c r="E72" s="5"/>
      <c r="F72" s="19"/>
      <c r="G72" s="15">
        <f t="shared" si="7"/>
        <v>0</v>
      </c>
      <c r="H72" s="15"/>
      <c r="I72" s="16">
        <f t="shared" si="8"/>
        <v>0</v>
      </c>
      <c r="J72" s="35">
        <v>4683</v>
      </c>
      <c r="K72" s="16">
        <f t="shared" si="9"/>
        <v>-4683</v>
      </c>
      <c r="L72" s="18">
        <f t="shared" si="10"/>
        <v>-1</v>
      </c>
      <c r="M72" s="43">
        <v>1</v>
      </c>
    </row>
    <row r="73" spans="1:13" ht="50.1" customHeight="1" x14ac:dyDescent="0.2">
      <c r="A73" s="4" t="s">
        <v>552</v>
      </c>
      <c r="B73" s="4" t="s">
        <v>1227</v>
      </c>
      <c r="C73" s="49" t="s">
        <v>1914</v>
      </c>
      <c r="D73" s="8" t="s">
        <v>1228</v>
      </c>
      <c r="E73" s="5"/>
      <c r="F73" s="19"/>
      <c r="G73" s="15">
        <f t="shared" ref="G73:G76" si="11">E73*F73</f>
        <v>0</v>
      </c>
      <c r="H73" s="15"/>
      <c r="I73" s="16">
        <f t="shared" si="8"/>
        <v>0</v>
      </c>
      <c r="J73" s="35">
        <v>6694</v>
      </c>
      <c r="K73" s="16">
        <f t="shared" si="9"/>
        <v>-6694</v>
      </c>
      <c r="L73" s="18">
        <f t="shared" si="10"/>
        <v>-1</v>
      </c>
      <c r="M73" s="43">
        <v>1</v>
      </c>
    </row>
    <row r="74" spans="1:13" ht="50.1" customHeight="1" x14ac:dyDescent="0.2">
      <c r="A74" s="4" t="s">
        <v>552</v>
      </c>
      <c r="B74" s="4" t="s">
        <v>1229</v>
      </c>
      <c r="C74" s="49" t="s">
        <v>1915</v>
      </c>
      <c r="D74" s="8" t="s">
        <v>1230</v>
      </c>
      <c r="E74" s="5"/>
      <c r="F74" s="19"/>
      <c r="G74" s="15">
        <f t="shared" si="11"/>
        <v>0</v>
      </c>
      <c r="H74" s="15"/>
      <c r="I74" s="16">
        <f t="shared" si="8"/>
        <v>0</v>
      </c>
      <c r="J74" s="35">
        <v>8033</v>
      </c>
      <c r="K74" s="16">
        <f t="shared" si="9"/>
        <v>-8033</v>
      </c>
      <c r="L74" s="18">
        <f t="shared" si="10"/>
        <v>-1</v>
      </c>
      <c r="M74" s="43">
        <v>1</v>
      </c>
    </row>
    <row r="75" spans="1:13" ht="50.1" customHeight="1" x14ac:dyDescent="0.2">
      <c r="A75" s="4" t="s">
        <v>552</v>
      </c>
      <c r="B75" s="4" t="s">
        <v>1231</v>
      </c>
      <c r="C75" s="49" t="s">
        <v>1916</v>
      </c>
      <c r="D75" s="8" t="s">
        <v>1232</v>
      </c>
      <c r="E75" s="5"/>
      <c r="F75" s="19"/>
      <c r="G75" s="15">
        <f t="shared" si="11"/>
        <v>0</v>
      </c>
      <c r="H75" s="15"/>
      <c r="I75" s="16">
        <f t="shared" si="8"/>
        <v>0</v>
      </c>
      <c r="J75" s="35">
        <v>4683</v>
      </c>
      <c r="K75" s="16">
        <f t="shared" si="9"/>
        <v>-4683</v>
      </c>
      <c r="L75" s="18">
        <f t="shared" si="10"/>
        <v>-1</v>
      </c>
      <c r="M75" s="43">
        <v>1</v>
      </c>
    </row>
    <row r="76" spans="1:13" ht="50.1" customHeight="1" x14ac:dyDescent="0.2">
      <c r="A76" s="4" t="s">
        <v>552</v>
      </c>
      <c r="B76" s="4" t="s">
        <v>1250</v>
      </c>
      <c r="C76" s="49" t="s">
        <v>1855</v>
      </c>
      <c r="D76" s="8" t="s">
        <v>694</v>
      </c>
      <c r="E76" s="5"/>
      <c r="F76" s="19"/>
      <c r="G76" s="15">
        <f t="shared" si="11"/>
        <v>0</v>
      </c>
      <c r="H76" s="15"/>
      <c r="I76" s="16">
        <f t="shared" si="8"/>
        <v>0</v>
      </c>
      <c r="J76" s="35">
        <v>10043</v>
      </c>
      <c r="K76" s="16">
        <f t="shared" si="9"/>
        <v>-10043</v>
      </c>
      <c r="L76" s="18">
        <f t="shared" si="10"/>
        <v>-1</v>
      </c>
      <c r="M76" s="43">
        <v>1</v>
      </c>
    </row>
    <row r="77" spans="1:13" ht="50.1" customHeight="1" x14ac:dyDescent="0.2">
      <c r="A77" s="4" t="s">
        <v>552</v>
      </c>
      <c r="B77" s="4" t="s">
        <v>1432</v>
      </c>
      <c r="C77" s="49" t="s">
        <v>1917</v>
      </c>
      <c r="D77" s="8" t="s">
        <v>1433</v>
      </c>
      <c r="E77" s="5"/>
      <c r="F77" s="19"/>
      <c r="G77" s="15"/>
      <c r="H77" s="15"/>
      <c r="I77" s="16"/>
      <c r="J77" s="35">
        <v>8033</v>
      </c>
      <c r="K77" s="16"/>
      <c r="L77" s="18"/>
      <c r="M77" s="43">
        <v>1</v>
      </c>
    </row>
    <row r="78" spans="1:13" ht="50.1" customHeight="1" x14ac:dyDescent="0.2">
      <c r="A78" s="4" t="s">
        <v>541</v>
      </c>
      <c r="B78" s="4" t="s">
        <v>22</v>
      </c>
      <c r="C78" s="49" t="s">
        <v>747</v>
      </c>
      <c r="D78" s="4" t="s">
        <v>23</v>
      </c>
      <c r="E78" s="5">
        <v>13721</v>
      </c>
      <c r="F78" s="3" t="s">
        <v>468</v>
      </c>
      <c r="G78" s="15">
        <f>IF(F78&gt;"15%",E78*F78,IF(E78&gt;=19990,F78*E78,IF(E78&gt;=9990,F78*E78+1000,F78*E78+700)))</f>
        <v>2195.36</v>
      </c>
      <c r="H78" s="15">
        <f>IF(E78&gt;=19990,"ACTIVAR",0)</f>
        <v>0</v>
      </c>
      <c r="I78" s="16">
        <f t="shared" ref="I78:I90" si="12">E78-G78-H78</f>
        <v>11525.64</v>
      </c>
      <c r="J78" s="17">
        <v>6941</v>
      </c>
      <c r="K78" s="16">
        <f t="shared" ref="K78:K90" si="13">I78-J78</f>
        <v>4584.6399999999994</v>
      </c>
      <c r="L78" s="18">
        <f t="shared" ref="L78:L90" si="14">K78/J78</f>
        <v>0.66051577582480903</v>
      </c>
      <c r="M78" s="43">
        <v>1</v>
      </c>
    </row>
    <row r="79" spans="1:13" ht="50.1" customHeight="1" x14ac:dyDescent="0.2">
      <c r="A79" s="4" t="s">
        <v>541</v>
      </c>
      <c r="B79" s="4" t="s">
        <v>44</v>
      </c>
      <c r="C79" s="49">
        <v>710763</v>
      </c>
      <c r="D79" s="4" t="s">
        <v>45</v>
      </c>
      <c r="E79" s="5">
        <v>24240</v>
      </c>
      <c r="F79" s="3" t="s">
        <v>468</v>
      </c>
      <c r="G79" s="15">
        <f>IF(F79&gt;"15%",E79*F79,IF(E79&gt;=19990,F79*E79,IF(E79&gt;=9990,F79*E79+1000,F79*E79+700)))</f>
        <v>3878.4</v>
      </c>
      <c r="H79" s="15">
        <v>3100</v>
      </c>
      <c r="I79" s="16">
        <f t="shared" si="12"/>
        <v>17261.599999999999</v>
      </c>
      <c r="J79" s="17">
        <v>14500</v>
      </c>
      <c r="K79" s="16">
        <f t="shared" si="13"/>
        <v>2761.5999999999985</v>
      </c>
      <c r="L79" s="18">
        <f t="shared" si="14"/>
        <v>0.19045517241379301</v>
      </c>
      <c r="M79" s="43">
        <v>16</v>
      </c>
    </row>
    <row r="80" spans="1:13" ht="50.1" customHeight="1" x14ac:dyDescent="0.2">
      <c r="A80" s="4" t="s">
        <v>541</v>
      </c>
      <c r="B80" s="4" t="s">
        <v>103</v>
      </c>
      <c r="C80" s="49">
        <v>710798</v>
      </c>
      <c r="D80" s="4" t="s">
        <v>104</v>
      </c>
      <c r="E80" s="5">
        <v>7990</v>
      </c>
      <c r="F80" s="3" t="s">
        <v>468</v>
      </c>
      <c r="G80" s="15">
        <f>IF(F80&gt;"15%",E80*F80,IF(E80&gt;=19990,F80*E80,IF(E80&gt;=9990,F80*E80+1000,F80*E80+700)))</f>
        <v>1278.4000000000001</v>
      </c>
      <c r="H80" s="15">
        <f t="shared" ref="H80:H87" si="15">IF(E80&gt;=19990,"ACTIVAR",0)</f>
        <v>0</v>
      </c>
      <c r="I80" s="16">
        <f t="shared" si="12"/>
        <v>6711.6</v>
      </c>
      <c r="J80" s="17">
        <v>4665</v>
      </c>
      <c r="K80" s="16">
        <f t="shared" si="13"/>
        <v>2046.6000000000004</v>
      </c>
      <c r="L80" s="18">
        <f t="shared" si="14"/>
        <v>0.43871382636655959</v>
      </c>
      <c r="M80" s="43">
        <v>1</v>
      </c>
    </row>
    <row r="81" spans="1:13" ht="50.1" customHeight="1" x14ac:dyDescent="0.2">
      <c r="A81" s="4" t="s">
        <v>541</v>
      </c>
      <c r="B81" s="4" t="s">
        <v>159</v>
      </c>
      <c r="C81" s="49" t="s">
        <v>748</v>
      </c>
      <c r="D81" s="8" t="s">
        <v>160</v>
      </c>
      <c r="E81" s="5">
        <v>19980</v>
      </c>
      <c r="F81" s="3" t="s">
        <v>468</v>
      </c>
      <c r="G81" s="15">
        <f>IF(F81&gt;"15%",E81*F81,IF(E81&gt;=19990,F81*E81,IF(E81&gt;=9990,F81*E81+1000,F81*E81+700)))</f>
        <v>3196.8</v>
      </c>
      <c r="H81" s="15">
        <f t="shared" si="15"/>
        <v>0</v>
      </c>
      <c r="I81" s="16">
        <f t="shared" si="12"/>
        <v>16783.2</v>
      </c>
      <c r="J81" s="17">
        <v>11542</v>
      </c>
      <c r="K81" s="16">
        <f t="shared" si="13"/>
        <v>5241.2000000000007</v>
      </c>
      <c r="L81" s="18">
        <f t="shared" si="14"/>
        <v>0.45409807658984586</v>
      </c>
      <c r="M81" s="43">
        <v>24</v>
      </c>
    </row>
    <row r="82" spans="1:13" ht="50.1" customHeight="1" x14ac:dyDescent="0.2">
      <c r="A82" s="4" t="s">
        <v>541</v>
      </c>
      <c r="B82" s="4" t="s">
        <v>221</v>
      </c>
      <c r="C82" s="49" t="s">
        <v>749</v>
      </c>
      <c r="D82" s="4" t="s">
        <v>222</v>
      </c>
      <c r="E82" s="5">
        <v>10838</v>
      </c>
      <c r="F82" s="3" t="s">
        <v>468</v>
      </c>
      <c r="G82" s="15">
        <v>2758</v>
      </c>
      <c r="H82" s="15">
        <f t="shared" si="15"/>
        <v>0</v>
      </c>
      <c r="I82" s="16">
        <f t="shared" si="12"/>
        <v>8080</v>
      </c>
      <c r="J82" s="17">
        <v>5800</v>
      </c>
      <c r="K82" s="16">
        <f t="shared" si="13"/>
        <v>2280</v>
      </c>
      <c r="L82" s="18">
        <f t="shared" si="14"/>
        <v>0.39310344827586208</v>
      </c>
      <c r="M82" s="43">
        <v>40</v>
      </c>
    </row>
    <row r="83" spans="1:13" ht="50.1" customHeight="1" x14ac:dyDescent="0.2">
      <c r="A83" s="4" t="s">
        <v>541</v>
      </c>
      <c r="B83" s="4" t="s">
        <v>260</v>
      </c>
      <c r="C83" s="49">
        <v>710766</v>
      </c>
      <c r="D83" s="4" t="s">
        <v>261</v>
      </c>
      <c r="E83" s="5">
        <v>15980</v>
      </c>
      <c r="F83" s="3" t="s">
        <v>468</v>
      </c>
      <c r="G83" s="15">
        <f>IF(F83&gt;"15%",E83*F83,IF(E83&gt;=19990,F83*E83,IF(E83&gt;=9990,F83*E83+1000,F83*E83+700)))</f>
        <v>2556.8000000000002</v>
      </c>
      <c r="H83" s="15">
        <f t="shared" si="15"/>
        <v>0</v>
      </c>
      <c r="I83" s="16">
        <f t="shared" si="12"/>
        <v>13423.2</v>
      </c>
      <c r="J83" s="17">
        <v>12093.833333333334</v>
      </c>
      <c r="K83" s="16">
        <f t="shared" si="13"/>
        <v>1329.3666666666668</v>
      </c>
      <c r="L83" s="18">
        <f t="shared" si="14"/>
        <v>0.10992103413585437</v>
      </c>
      <c r="M83" s="43">
        <v>1</v>
      </c>
    </row>
    <row r="84" spans="1:13" ht="50.1" customHeight="1" x14ac:dyDescent="0.2">
      <c r="A84" s="4" t="s">
        <v>541</v>
      </c>
      <c r="B84" s="4" t="s">
        <v>274</v>
      </c>
      <c r="C84" s="49">
        <v>710765</v>
      </c>
      <c r="D84" s="4" t="s">
        <v>275</v>
      </c>
      <c r="E84" s="5">
        <v>11989</v>
      </c>
      <c r="F84" s="3" t="s">
        <v>468</v>
      </c>
      <c r="G84" s="15">
        <f>IF(F84&gt;"15%",E84*F84,IF(E84&gt;=19990,F84*E84,IF(E84&gt;=9990,F84*E84+1000,F84*E84+700)))</f>
        <v>1918.24</v>
      </c>
      <c r="H84" s="15">
        <f t="shared" si="15"/>
        <v>0</v>
      </c>
      <c r="I84" s="16">
        <f t="shared" si="12"/>
        <v>10070.76</v>
      </c>
      <c r="J84" s="17">
        <v>8792.8333333333339</v>
      </c>
      <c r="K84" s="16">
        <f t="shared" si="13"/>
        <v>1277.9266666666663</v>
      </c>
      <c r="L84" s="18">
        <f t="shared" si="14"/>
        <v>0.14533730121121363</v>
      </c>
      <c r="M84" s="43">
        <v>1</v>
      </c>
    </row>
    <row r="85" spans="1:13" ht="50.1" customHeight="1" x14ac:dyDescent="0.2">
      <c r="A85" s="4" t="s">
        <v>541</v>
      </c>
      <c r="B85" s="4" t="s">
        <v>281</v>
      </c>
      <c r="C85" s="49" t="s">
        <v>749</v>
      </c>
      <c r="D85" s="4" t="s">
        <v>282</v>
      </c>
      <c r="E85" s="5">
        <v>10525</v>
      </c>
      <c r="F85" s="3" t="s">
        <v>468</v>
      </c>
      <c r="G85" s="15">
        <f>Tabla1[[#This Row],[Precio]]*Tabla1[[#This Row],[Comision %]]+1000</f>
        <v>2684</v>
      </c>
      <c r="H85" s="15">
        <f t="shared" si="15"/>
        <v>0</v>
      </c>
      <c r="I85" s="16">
        <f t="shared" si="12"/>
        <v>7841</v>
      </c>
      <c r="J85" s="17">
        <v>5800</v>
      </c>
      <c r="K85" s="16">
        <f t="shared" si="13"/>
        <v>2041</v>
      </c>
      <c r="L85" s="18">
        <f t="shared" si="14"/>
        <v>0.35189655172413792</v>
      </c>
      <c r="M85" s="43">
        <v>40</v>
      </c>
    </row>
    <row r="86" spans="1:13" ht="50.1" customHeight="1" x14ac:dyDescent="0.2">
      <c r="A86" s="4" t="s">
        <v>541</v>
      </c>
      <c r="B86" s="4" t="s">
        <v>306</v>
      </c>
      <c r="C86" s="49">
        <v>710765</v>
      </c>
      <c r="D86" s="4" t="s">
        <v>307</v>
      </c>
      <c r="E86" s="5">
        <v>11989</v>
      </c>
      <c r="F86" s="3" t="s">
        <v>468</v>
      </c>
      <c r="G86" s="15">
        <f>IF(F86&gt;"15%",E86*F86,IF(E86&gt;=19990,F86*E86,IF(E86&gt;=9990,F86*E86+1000,F86*E86+700)))</f>
        <v>1918.24</v>
      </c>
      <c r="H86" s="15">
        <f t="shared" si="15"/>
        <v>0</v>
      </c>
      <c r="I86" s="16">
        <f t="shared" si="12"/>
        <v>10070.76</v>
      </c>
      <c r="J86" s="17">
        <v>8792.8333333333339</v>
      </c>
      <c r="K86" s="16">
        <f t="shared" si="13"/>
        <v>1277.9266666666663</v>
      </c>
      <c r="L86" s="18">
        <f t="shared" si="14"/>
        <v>0.14533730121121363</v>
      </c>
      <c r="M86" s="43">
        <v>1</v>
      </c>
    </row>
    <row r="87" spans="1:13" ht="50.1" customHeight="1" x14ac:dyDescent="0.2">
      <c r="A87" s="4" t="s">
        <v>541</v>
      </c>
      <c r="B87" s="4" t="s">
        <v>339</v>
      </c>
      <c r="C87" s="49" t="s">
        <v>750</v>
      </c>
      <c r="D87" s="8" t="s">
        <v>340</v>
      </c>
      <c r="E87" s="5">
        <v>9320</v>
      </c>
      <c r="F87" s="3" t="s">
        <v>468</v>
      </c>
      <c r="G87" s="15">
        <f>IF(F87&gt;"15%",E87*F87,IF(E87&gt;=19990,F87*E87,IF(E87&gt;=9990,F87*E87+1000,F87*E87+700)))</f>
        <v>1491.2</v>
      </c>
      <c r="H87" s="15">
        <f t="shared" si="15"/>
        <v>0</v>
      </c>
      <c r="I87" s="16">
        <f t="shared" si="12"/>
        <v>7828.8</v>
      </c>
      <c r="J87" s="17">
        <v>3521.5</v>
      </c>
      <c r="K87" s="16">
        <f t="shared" si="13"/>
        <v>4307.3</v>
      </c>
      <c r="L87" s="18">
        <f t="shared" si="14"/>
        <v>1.223143546784041</v>
      </c>
      <c r="M87" s="43">
        <v>1</v>
      </c>
    </row>
    <row r="88" spans="1:13" ht="50.1" customHeight="1" x14ac:dyDescent="0.2">
      <c r="A88" s="4" t="s">
        <v>541</v>
      </c>
      <c r="B88" s="4" t="s">
        <v>378</v>
      </c>
      <c r="C88" s="49">
        <v>710768</v>
      </c>
      <c r="D88" s="8" t="s">
        <v>379</v>
      </c>
      <c r="E88" s="5">
        <v>33311</v>
      </c>
      <c r="F88" s="3" t="s">
        <v>468</v>
      </c>
      <c r="G88" s="15">
        <f>IF(F88&gt;"15%",E88*F88,IF(E88&gt;=19990,F88*E88,IF(E88&gt;=9990,F88*E88+1000,F88*E88+700)))</f>
        <v>5329.76</v>
      </c>
      <c r="H88" s="15">
        <v>3150</v>
      </c>
      <c r="I88" s="16">
        <f t="shared" si="12"/>
        <v>24831.239999999998</v>
      </c>
      <c r="J88" s="17">
        <v>19278</v>
      </c>
      <c r="K88" s="16">
        <f t="shared" si="13"/>
        <v>5553.239999999998</v>
      </c>
      <c r="L88" s="18">
        <f t="shared" si="14"/>
        <v>0.28806100217864911</v>
      </c>
      <c r="M88" s="43">
        <v>1</v>
      </c>
    </row>
    <row r="89" spans="1:13" ht="50.1" customHeight="1" x14ac:dyDescent="0.2">
      <c r="A89" s="4" t="s">
        <v>541</v>
      </c>
      <c r="B89" s="4" t="s">
        <v>697</v>
      </c>
      <c r="C89" s="49" t="s">
        <v>748</v>
      </c>
      <c r="D89" s="8" t="s">
        <v>160</v>
      </c>
      <c r="E89" s="5">
        <v>19980</v>
      </c>
      <c r="F89" s="19">
        <v>0.16</v>
      </c>
      <c r="G89" s="15">
        <f>E89*F89+1000</f>
        <v>4196.8</v>
      </c>
      <c r="H89" s="15">
        <v>0</v>
      </c>
      <c r="I89" s="16">
        <f t="shared" si="12"/>
        <v>15783.2</v>
      </c>
      <c r="J89" s="17">
        <v>11542</v>
      </c>
      <c r="K89" s="16">
        <f t="shared" si="13"/>
        <v>4241.2000000000007</v>
      </c>
      <c r="L89" s="18">
        <f t="shared" si="14"/>
        <v>0.36745797955293719</v>
      </c>
      <c r="M89" s="43">
        <v>1</v>
      </c>
    </row>
    <row r="90" spans="1:13" ht="50.1" customHeight="1" x14ac:dyDescent="0.2">
      <c r="A90" s="4" t="s">
        <v>541</v>
      </c>
      <c r="B90" s="4" t="s">
        <v>701</v>
      </c>
      <c r="C90" s="49">
        <v>710763</v>
      </c>
      <c r="D90" s="8" t="s">
        <v>702</v>
      </c>
      <c r="E90" s="5"/>
      <c r="F90" s="19"/>
      <c r="G90" s="15">
        <f>E90*F90</f>
        <v>0</v>
      </c>
      <c r="H90" s="15"/>
      <c r="I90" s="16">
        <f t="shared" si="12"/>
        <v>0</v>
      </c>
      <c r="J90" s="35">
        <v>14500</v>
      </c>
      <c r="K90" s="16">
        <f t="shared" si="13"/>
        <v>-14500</v>
      </c>
      <c r="L90" s="18">
        <f t="shared" si="14"/>
        <v>-1</v>
      </c>
      <c r="M90" s="43">
        <v>16</v>
      </c>
    </row>
    <row r="91" spans="1:13" ht="50.1" customHeight="1" x14ac:dyDescent="0.2">
      <c r="A91" s="4" t="s">
        <v>541</v>
      </c>
      <c r="B91" s="4" t="s">
        <v>1253</v>
      </c>
      <c r="C91" s="49" t="s">
        <v>1482</v>
      </c>
      <c r="D91" s="8" t="s">
        <v>1277</v>
      </c>
      <c r="E91" s="5"/>
      <c r="F91" s="19"/>
      <c r="G91" s="15"/>
      <c r="H91" s="15"/>
      <c r="I91" s="16"/>
      <c r="J91" s="35">
        <v>14698</v>
      </c>
      <c r="K91" s="16"/>
      <c r="L91" s="18"/>
      <c r="M91" s="43">
        <v>6</v>
      </c>
    </row>
    <row r="92" spans="1:13" ht="50.1" customHeight="1" x14ac:dyDescent="0.2">
      <c r="A92" s="4" t="s">
        <v>541</v>
      </c>
      <c r="B92" s="4" t="s">
        <v>1254</v>
      </c>
      <c r="C92" s="49" t="s">
        <v>1482</v>
      </c>
      <c r="D92" s="8" t="s">
        <v>1276</v>
      </c>
      <c r="E92" s="5"/>
      <c r="F92" s="19"/>
      <c r="G92" s="15"/>
      <c r="H92" s="15"/>
      <c r="I92" s="16"/>
      <c r="J92" s="35">
        <v>14698</v>
      </c>
      <c r="K92" s="16"/>
      <c r="L92" s="18"/>
      <c r="M92" s="43">
        <v>6</v>
      </c>
    </row>
    <row r="93" spans="1:13" ht="50.1" customHeight="1" x14ac:dyDescent="0.2">
      <c r="A93" s="4" t="s">
        <v>541</v>
      </c>
      <c r="B93" s="4" t="s">
        <v>1255</v>
      </c>
      <c r="C93" s="49" t="s">
        <v>1483</v>
      </c>
      <c r="D93" s="8" t="s">
        <v>1275</v>
      </c>
      <c r="E93" s="5"/>
      <c r="F93" s="19"/>
      <c r="G93" s="15"/>
      <c r="H93" s="15"/>
      <c r="I93" s="16"/>
      <c r="J93" s="35">
        <v>7349</v>
      </c>
      <c r="K93" s="16"/>
      <c r="L93" s="18"/>
      <c r="M93" s="43">
        <v>12</v>
      </c>
    </row>
    <row r="94" spans="1:13" ht="50.1" customHeight="1" x14ac:dyDescent="0.2">
      <c r="A94" s="4" t="s">
        <v>541</v>
      </c>
      <c r="B94" s="4" t="s">
        <v>1256</v>
      </c>
      <c r="C94" s="49" t="s">
        <v>1484</v>
      </c>
      <c r="D94" s="8" t="s">
        <v>1274</v>
      </c>
      <c r="E94" s="5"/>
      <c r="F94" s="19"/>
      <c r="G94" s="15"/>
      <c r="H94" s="15"/>
      <c r="I94" s="16"/>
      <c r="J94" s="35">
        <v>9178</v>
      </c>
      <c r="K94" s="16"/>
      <c r="L94" s="18"/>
      <c r="M94" s="43">
        <v>38.4</v>
      </c>
    </row>
    <row r="95" spans="1:13" ht="50.1" customHeight="1" x14ac:dyDescent="0.2">
      <c r="A95" s="4" t="s">
        <v>541</v>
      </c>
      <c r="B95" s="4" t="s">
        <v>1257</v>
      </c>
      <c r="C95" s="49" t="s">
        <v>1330</v>
      </c>
      <c r="D95" s="8" t="s">
        <v>1273</v>
      </c>
      <c r="E95" s="5"/>
      <c r="F95" s="19"/>
      <c r="G95" s="15"/>
      <c r="H95" s="15"/>
      <c r="I95" s="16"/>
      <c r="J95" s="35">
        <v>6745</v>
      </c>
      <c r="K95" s="16"/>
      <c r="L95" s="18"/>
      <c r="M95" s="43">
        <v>6</v>
      </c>
    </row>
    <row r="96" spans="1:13" ht="50.1" customHeight="1" x14ac:dyDescent="0.2">
      <c r="A96" s="4" t="s">
        <v>541</v>
      </c>
      <c r="B96" s="4" t="s">
        <v>1258</v>
      </c>
      <c r="C96" s="49" t="s">
        <v>1485</v>
      </c>
      <c r="D96" s="8" t="s">
        <v>1272</v>
      </c>
      <c r="E96" s="5"/>
      <c r="F96" s="19"/>
      <c r="G96" s="15"/>
      <c r="H96" s="15"/>
      <c r="I96" s="16"/>
      <c r="J96" s="35">
        <v>9206</v>
      </c>
      <c r="K96" s="16"/>
      <c r="L96" s="18"/>
      <c r="M96" s="43">
        <v>6</v>
      </c>
    </row>
    <row r="97" spans="1:13" ht="50.1" customHeight="1" x14ac:dyDescent="0.2">
      <c r="A97" s="4" t="s">
        <v>541</v>
      </c>
      <c r="B97" s="4" t="s">
        <v>1259</v>
      </c>
      <c r="C97" s="49" t="s">
        <v>1486</v>
      </c>
      <c r="D97" s="8" t="s">
        <v>1271</v>
      </c>
      <c r="E97" s="5"/>
      <c r="F97" s="19"/>
      <c r="G97" s="15"/>
      <c r="H97" s="15"/>
      <c r="I97" s="16"/>
      <c r="J97" s="35">
        <v>4905</v>
      </c>
      <c r="K97" s="16"/>
      <c r="L97" s="18"/>
      <c r="M97" s="43">
        <v>12</v>
      </c>
    </row>
    <row r="98" spans="1:13" ht="50.1" customHeight="1" x14ac:dyDescent="0.2">
      <c r="A98" s="4" t="s">
        <v>541</v>
      </c>
      <c r="B98" s="4" t="s">
        <v>1260</v>
      </c>
      <c r="C98" s="49" t="s">
        <v>1486</v>
      </c>
      <c r="D98" s="8" t="s">
        <v>1270</v>
      </c>
      <c r="E98" s="5"/>
      <c r="F98" s="19"/>
      <c r="G98" s="15"/>
      <c r="H98" s="15"/>
      <c r="I98" s="16"/>
      <c r="J98" s="35">
        <v>4905</v>
      </c>
      <c r="K98" s="16"/>
      <c r="L98" s="18"/>
      <c r="M98" s="43">
        <v>12</v>
      </c>
    </row>
    <row r="99" spans="1:13" ht="50.1" customHeight="1" x14ac:dyDescent="0.2">
      <c r="A99" s="4" t="s">
        <v>541</v>
      </c>
      <c r="B99" s="4" t="s">
        <v>1261</v>
      </c>
      <c r="C99" s="49" t="s">
        <v>1487</v>
      </c>
      <c r="D99" s="8" t="s">
        <v>1269</v>
      </c>
      <c r="E99" s="5"/>
      <c r="F99" s="19"/>
      <c r="G99" s="15"/>
      <c r="H99" s="15"/>
      <c r="I99" s="16"/>
      <c r="J99" s="35">
        <v>12215</v>
      </c>
      <c r="K99" s="16"/>
      <c r="L99" s="18"/>
      <c r="M99" s="43">
        <v>24</v>
      </c>
    </row>
    <row r="100" spans="1:13" ht="50.1" customHeight="1" x14ac:dyDescent="0.2">
      <c r="A100" s="4" t="s">
        <v>541</v>
      </c>
      <c r="B100" s="4" t="s">
        <v>1262</v>
      </c>
      <c r="C100" s="49" t="s">
        <v>1263</v>
      </c>
      <c r="D100" s="8" t="s">
        <v>1268</v>
      </c>
      <c r="E100" s="5"/>
      <c r="F100" s="19"/>
      <c r="G100" s="15"/>
      <c r="H100" s="15"/>
      <c r="I100" s="16"/>
      <c r="J100" s="35">
        <v>15343</v>
      </c>
      <c r="K100" s="16"/>
      <c r="L100" s="18"/>
      <c r="M100" s="43">
        <v>16</v>
      </c>
    </row>
    <row r="101" spans="1:13" ht="50.1" customHeight="1" x14ac:dyDescent="0.2">
      <c r="A101" s="4" t="s">
        <v>541</v>
      </c>
      <c r="B101" s="4" t="s">
        <v>1264</v>
      </c>
      <c r="C101" s="49" t="s">
        <v>1263</v>
      </c>
      <c r="D101" s="8" t="s">
        <v>1267</v>
      </c>
      <c r="E101" s="5"/>
      <c r="F101" s="19"/>
      <c r="G101" s="15"/>
      <c r="H101" s="15"/>
      <c r="I101" s="16"/>
      <c r="J101" s="35">
        <v>15343</v>
      </c>
      <c r="K101" s="16"/>
      <c r="L101" s="18"/>
      <c r="M101" s="43">
        <v>16</v>
      </c>
    </row>
    <row r="102" spans="1:13" ht="50.1" customHeight="1" x14ac:dyDescent="0.2">
      <c r="A102" s="4" t="s">
        <v>541</v>
      </c>
      <c r="B102" s="4" t="s">
        <v>1265</v>
      </c>
      <c r="C102" s="49" t="s">
        <v>1488</v>
      </c>
      <c r="D102" s="8" t="s">
        <v>1266</v>
      </c>
      <c r="E102" s="5"/>
      <c r="F102" s="19"/>
      <c r="G102" s="15"/>
      <c r="H102" s="15"/>
      <c r="I102" s="16"/>
      <c r="J102" s="35">
        <v>6137</v>
      </c>
      <c r="K102" s="16"/>
      <c r="L102" s="18"/>
      <c r="M102" s="43">
        <v>40</v>
      </c>
    </row>
    <row r="103" spans="1:13" ht="50.1" customHeight="1" x14ac:dyDescent="0.2">
      <c r="A103" s="4" t="s">
        <v>541</v>
      </c>
      <c r="B103" s="4" t="s">
        <v>1328</v>
      </c>
      <c r="C103" s="49" t="s">
        <v>1330</v>
      </c>
      <c r="D103" s="8" t="s">
        <v>1273</v>
      </c>
      <c r="E103" s="5"/>
      <c r="F103" s="19"/>
      <c r="G103" s="15"/>
      <c r="H103" s="15"/>
      <c r="I103" s="16"/>
      <c r="J103" s="35">
        <v>6745</v>
      </c>
      <c r="K103" s="16"/>
      <c r="L103" s="18"/>
      <c r="M103" s="43">
        <v>6</v>
      </c>
    </row>
    <row r="104" spans="1:13" ht="50.1" customHeight="1" x14ac:dyDescent="0.2">
      <c r="A104" s="4" t="s">
        <v>989</v>
      </c>
      <c r="B104" s="4" t="s">
        <v>990</v>
      </c>
      <c r="C104" s="49">
        <v>1173</v>
      </c>
      <c r="D104" s="8" t="s">
        <v>991</v>
      </c>
      <c r="E104" s="5"/>
      <c r="F104" s="19"/>
      <c r="G104" s="15">
        <f t="shared" ref="G104:G131" si="16">E104*F104</f>
        <v>0</v>
      </c>
      <c r="H104" s="15"/>
      <c r="I104" s="16">
        <f t="shared" ref="I104:I131" si="17">E104-G104-H104</f>
        <v>0</v>
      </c>
      <c r="J104" s="35">
        <v>11893</v>
      </c>
      <c r="K104" s="16">
        <f t="shared" ref="K104:K131" si="18">I104-J104</f>
        <v>-11893</v>
      </c>
      <c r="L104" s="18">
        <f t="shared" ref="L104:L131" si="19">K104/J104</f>
        <v>-1</v>
      </c>
      <c r="M104" s="43">
        <v>6</v>
      </c>
    </row>
    <row r="105" spans="1:13" ht="50.1" customHeight="1" x14ac:dyDescent="0.2">
      <c r="A105" s="4" t="s">
        <v>989</v>
      </c>
      <c r="B105" s="4" t="s">
        <v>992</v>
      </c>
      <c r="C105" s="49">
        <v>1173</v>
      </c>
      <c r="D105" s="8" t="s">
        <v>991</v>
      </c>
      <c r="E105" s="5"/>
      <c r="F105" s="19"/>
      <c r="G105" s="15">
        <f t="shared" si="16"/>
        <v>0</v>
      </c>
      <c r="H105" s="15"/>
      <c r="I105" s="16">
        <f t="shared" si="17"/>
        <v>0</v>
      </c>
      <c r="J105" s="35">
        <v>11893</v>
      </c>
      <c r="K105" s="16">
        <f t="shared" si="18"/>
        <v>-11893</v>
      </c>
      <c r="L105" s="18">
        <f t="shared" si="19"/>
        <v>-1</v>
      </c>
      <c r="M105" s="43">
        <v>6</v>
      </c>
    </row>
    <row r="106" spans="1:13" ht="50.1" customHeight="1" x14ac:dyDescent="0.2">
      <c r="A106" s="4" t="s">
        <v>989</v>
      </c>
      <c r="B106" s="4" t="s">
        <v>993</v>
      </c>
      <c r="C106" s="49">
        <v>1120</v>
      </c>
      <c r="D106" s="40" t="s">
        <v>994</v>
      </c>
      <c r="E106" s="5"/>
      <c r="F106" s="19"/>
      <c r="G106" s="15">
        <f t="shared" si="16"/>
        <v>0</v>
      </c>
      <c r="H106" s="15"/>
      <c r="I106" s="16">
        <f t="shared" si="17"/>
        <v>0</v>
      </c>
      <c r="J106" s="35">
        <v>11893</v>
      </c>
      <c r="K106" s="16">
        <f t="shared" si="18"/>
        <v>-11893</v>
      </c>
      <c r="L106" s="18">
        <f t="shared" si="19"/>
        <v>-1</v>
      </c>
      <c r="M106" s="43">
        <v>6</v>
      </c>
    </row>
    <row r="107" spans="1:13" ht="50.1" customHeight="1" x14ac:dyDescent="0.2">
      <c r="A107" s="4" t="s">
        <v>989</v>
      </c>
      <c r="B107" s="4" t="s">
        <v>995</v>
      </c>
      <c r="C107" s="49">
        <v>1120</v>
      </c>
      <c r="D107" s="40" t="s">
        <v>994</v>
      </c>
      <c r="E107" s="5"/>
      <c r="F107" s="19"/>
      <c r="G107" s="15">
        <f t="shared" si="16"/>
        <v>0</v>
      </c>
      <c r="H107" s="15"/>
      <c r="I107" s="16">
        <f t="shared" si="17"/>
        <v>0</v>
      </c>
      <c r="J107" s="35">
        <v>11893</v>
      </c>
      <c r="K107" s="16">
        <f t="shared" si="18"/>
        <v>-11893</v>
      </c>
      <c r="L107" s="18">
        <f t="shared" si="19"/>
        <v>-1</v>
      </c>
      <c r="M107" s="43">
        <v>6</v>
      </c>
    </row>
    <row r="108" spans="1:13" ht="50.1" customHeight="1" x14ac:dyDescent="0.2">
      <c r="A108" s="4" t="s">
        <v>989</v>
      </c>
      <c r="B108" s="4" t="s">
        <v>996</v>
      </c>
      <c r="C108" s="49">
        <v>1408</v>
      </c>
      <c r="D108" s="8" t="s">
        <v>998</v>
      </c>
      <c r="E108" s="5"/>
      <c r="F108" s="19"/>
      <c r="G108" s="15">
        <f t="shared" si="16"/>
        <v>0</v>
      </c>
      <c r="H108" s="15"/>
      <c r="I108" s="16">
        <f t="shared" si="17"/>
        <v>0</v>
      </c>
      <c r="J108" s="35">
        <v>10494</v>
      </c>
      <c r="K108" s="16">
        <f t="shared" si="18"/>
        <v>-10494</v>
      </c>
      <c r="L108" s="18">
        <f t="shared" si="19"/>
        <v>-1</v>
      </c>
      <c r="M108" s="43">
        <v>10</v>
      </c>
    </row>
    <row r="109" spans="1:13" ht="50.1" customHeight="1" x14ac:dyDescent="0.2">
      <c r="A109" s="4" t="s">
        <v>989</v>
      </c>
      <c r="B109" s="4" t="s">
        <v>997</v>
      </c>
      <c r="C109" s="49">
        <v>1408</v>
      </c>
      <c r="D109" s="8" t="s">
        <v>998</v>
      </c>
      <c r="E109" s="5"/>
      <c r="F109" s="19"/>
      <c r="G109" s="15">
        <f t="shared" si="16"/>
        <v>0</v>
      </c>
      <c r="H109" s="15"/>
      <c r="I109" s="16">
        <f t="shared" si="17"/>
        <v>0</v>
      </c>
      <c r="J109" s="35">
        <v>10494</v>
      </c>
      <c r="K109" s="16">
        <f t="shared" si="18"/>
        <v>-10494</v>
      </c>
      <c r="L109" s="18">
        <f t="shared" si="19"/>
        <v>-1</v>
      </c>
      <c r="M109" s="43">
        <v>10</v>
      </c>
    </row>
    <row r="110" spans="1:13" ht="50.1" customHeight="1" x14ac:dyDescent="0.2">
      <c r="A110" s="4" t="s">
        <v>989</v>
      </c>
      <c r="B110" s="4" t="s">
        <v>999</v>
      </c>
      <c r="C110" s="49">
        <v>1234</v>
      </c>
      <c r="D110" s="8" t="s">
        <v>1001</v>
      </c>
      <c r="E110" s="5"/>
      <c r="F110" s="19"/>
      <c r="G110" s="15">
        <f t="shared" si="16"/>
        <v>0</v>
      </c>
      <c r="H110" s="15"/>
      <c r="I110" s="16">
        <f t="shared" si="17"/>
        <v>0</v>
      </c>
      <c r="J110" s="35">
        <v>11893</v>
      </c>
      <c r="K110" s="16">
        <f t="shared" si="18"/>
        <v>-11893</v>
      </c>
      <c r="L110" s="18">
        <f t="shared" si="19"/>
        <v>-1</v>
      </c>
      <c r="M110" s="43">
        <v>6</v>
      </c>
    </row>
    <row r="111" spans="1:13" ht="50.1" customHeight="1" x14ac:dyDescent="0.2">
      <c r="A111" s="4" t="s">
        <v>989</v>
      </c>
      <c r="B111" s="4" t="s">
        <v>1000</v>
      </c>
      <c r="C111" s="49">
        <v>1234</v>
      </c>
      <c r="D111" s="8" t="s">
        <v>1001</v>
      </c>
      <c r="E111" s="5"/>
      <c r="F111" s="19"/>
      <c r="G111" s="15">
        <f t="shared" si="16"/>
        <v>0</v>
      </c>
      <c r="H111" s="15"/>
      <c r="I111" s="16">
        <f t="shared" si="17"/>
        <v>0</v>
      </c>
      <c r="J111" s="35">
        <v>11893</v>
      </c>
      <c r="K111" s="16">
        <f t="shared" si="18"/>
        <v>-11893</v>
      </c>
      <c r="L111" s="18">
        <f t="shared" si="19"/>
        <v>-1</v>
      </c>
      <c r="M111" s="43">
        <v>6</v>
      </c>
    </row>
    <row r="112" spans="1:13" ht="50.1" customHeight="1" x14ac:dyDescent="0.2">
      <c r="A112" s="4" t="s">
        <v>989</v>
      </c>
      <c r="B112" s="4" t="s">
        <v>1002</v>
      </c>
      <c r="C112" s="49">
        <v>1283</v>
      </c>
      <c r="D112" s="8" t="s">
        <v>1003</v>
      </c>
      <c r="E112" s="5"/>
      <c r="F112" s="19"/>
      <c r="G112" s="15">
        <f t="shared" si="16"/>
        <v>0</v>
      </c>
      <c r="H112" s="15"/>
      <c r="I112" s="16">
        <f t="shared" si="17"/>
        <v>0</v>
      </c>
      <c r="J112" s="35">
        <v>11194</v>
      </c>
      <c r="K112" s="16">
        <f t="shared" si="18"/>
        <v>-11194</v>
      </c>
      <c r="L112" s="18">
        <f t="shared" si="19"/>
        <v>-1</v>
      </c>
      <c r="M112" s="43">
        <v>6</v>
      </c>
    </row>
    <row r="113" spans="1:15" ht="50.1" customHeight="1" x14ac:dyDescent="0.2">
      <c r="A113" s="4" t="s">
        <v>989</v>
      </c>
      <c r="B113" s="4" t="s">
        <v>1004</v>
      </c>
      <c r="C113" s="49">
        <v>1283</v>
      </c>
      <c r="D113" s="8" t="s">
        <v>1003</v>
      </c>
      <c r="E113" s="5"/>
      <c r="F113" s="19"/>
      <c r="G113" s="15">
        <f t="shared" si="16"/>
        <v>0</v>
      </c>
      <c r="H113" s="15"/>
      <c r="I113" s="16">
        <f t="shared" si="17"/>
        <v>0</v>
      </c>
      <c r="J113" s="35">
        <v>11194</v>
      </c>
      <c r="K113" s="16">
        <f t="shared" si="18"/>
        <v>-11194</v>
      </c>
      <c r="L113" s="18">
        <f t="shared" si="19"/>
        <v>-1</v>
      </c>
      <c r="M113" s="43">
        <v>6</v>
      </c>
    </row>
    <row r="114" spans="1:15" ht="50.1" customHeight="1" x14ac:dyDescent="0.2">
      <c r="A114" s="4" t="s">
        <v>989</v>
      </c>
      <c r="B114" s="4" t="s">
        <v>1006</v>
      </c>
      <c r="C114" s="49">
        <v>1432</v>
      </c>
      <c r="D114" s="8" t="s">
        <v>1007</v>
      </c>
      <c r="E114" s="5"/>
      <c r="F114" s="19"/>
      <c r="G114" s="15">
        <f t="shared" si="16"/>
        <v>0</v>
      </c>
      <c r="H114" s="15"/>
      <c r="I114" s="16">
        <f t="shared" si="17"/>
        <v>0</v>
      </c>
      <c r="J114" s="35">
        <v>48994</v>
      </c>
      <c r="K114" s="16">
        <f t="shared" si="18"/>
        <v>-48994</v>
      </c>
      <c r="L114" s="18">
        <f t="shared" si="19"/>
        <v>-1</v>
      </c>
      <c r="M114" s="43">
        <v>2</v>
      </c>
      <c r="N114" s="22"/>
      <c r="O114" s="21"/>
    </row>
    <row r="115" spans="1:15" ht="50.1" customHeight="1" x14ac:dyDescent="0.2">
      <c r="A115" s="4" t="s">
        <v>989</v>
      </c>
      <c r="B115" s="4" t="s">
        <v>1005</v>
      </c>
      <c r="C115" s="49">
        <v>1432</v>
      </c>
      <c r="D115" s="8" t="s">
        <v>1007</v>
      </c>
      <c r="E115" s="5"/>
      <c r="F115" s="19"/>
      <c r="G115" s="15">
        <f t="shared" si="16"/>
        <v>0</v>
      </c>
      <c r="H115" s="15"/>
      <c r="I115" s="16">
        <f t="shared" si="17"/>
        <v>0</v>
      </c>
      <c r="J115" s="35">
        <v>48994</v>
      </c>
      <c r="K115" s="16">
        <f t="shared" si="18"/>
        <v>-48994</v>
      </c>
      <c r="L115" s="18">
        <f t="shared" si="19"/>
        <v>-1</v>
      </c>
      <c r="M115" s="43">
        <v>2</v>
      </c>
    </row>
    <row r="116" spans="1:15" ht="50.1" customHeight="1" x14ac:dyDescent="0.2">
      <c r="A116" s="4" t="s">
        <v>989</v>
      </c>
      <c r="B116" s="4" t="s">
        <v>1008</v>
      </c>
      <c r="C116" s="49">
        <v>1250</v>
      </c>
      <c r="D116" s="8" t="s">
        <v>1009</v>
      </c>
      <c r="E116" s="5"/>
      <c r="F116" s="19"/>
      <c r="G116" s="15">
        <f t="shared" si="16"/>
        <v>0</v>
      </c>
      <c r="H116" s="15"/>
      <c r="I116" s="16">
        <f t="shared" si="17"/>
        <v>0</v>
      </c>
      <c r="J116" s="35">
        <v>15393</v>
      </c>
      <c r="K116" s="16">
        <f t="shared" si="18"/>
        <v>-15393</v>
      </c>
      <c r="L116" s="18">
        <f t="shared" si="19"/>
        <v>-1</v>
      </c>
      <c r="M116" s="43">
        <v>6</v>
      </c>
    </row>
    <row r="117" spans="1:15" ht="50.1" customHeight="1" x14ac:dyDescent="0.2">
      <c r="A117" s="4" t="s">
        <v>989</v>
      </c>
      <c r="B117" s="4" t="s">
        <v>1010</v>
      </c>
      <c r="C117" s="49">
        <v>1250</v>
      </c>
      <c r="D117" s="8" t="s">
        <v>1009</v>
      </c>
      <c r="E117" s="5"/>
      <c r="F117" s="19"/>
      <c r="G117" s="15">
        <f t="shared" si="16"/>
        <v>0</v>
      </c>
      <c r="H117" s="15"/>
      <c r="I117" s="16">
        <f t="shared" si="17"/>
        <v>0</v>
      </c>
      <c r="J117" s="35">
        <v>15393</v>
      </c>
      <c r="K117" s="16">
        <f t="shared" si="18"/>
        <v>-15393</v>
      </c>
      <c r="L117" s="18">
        <f t="shared" si="19"/>
        <v>-1</v>
      </c>
      <c r="M117" s="43">
        <v>6</v>
      </c>
    </row>
    <row r="118" spans="1:15" ht="50.1" customHeight="1" x14ac:dyDescent="0.2">
      <c r="A118" s="4" t="s">
        <v>989</v>
      </c>
      <c r="B118" s="4" t="s">
        <v>1013</v>
      </c>
      <c r="C118" s="49" t="s">
        <v>1090</v>
      </c>
      <c r="D118" s="4" t="s">
        <v>1014</v>
      </c>
      <c r="E118" s="5"/>
      <c r="F118" s="19"/>
      <c r="G118" s="15">
        <f t="shared" si="16"/>
        <v>0</v>
      </c>
      <c r="H118" s="15"/>
      <c r="I118" s="16">
        <f t="shared" si="17"/>
        <v>0</v>
      </c>
      <c r="J118" s="35">
        <v>6293</v>
      </c>
      <c r="K118" s="16">
        <f t="shared" si="18"/>
        <v>-6293</v>
      </c>
      <c r="L118" s="18">
        <f t="shared" si="19"/>
        <v>-1</v>
      </c>
      <c r="M118" s="43">
        <v>10</v>
      </c>
    </row>
    <row r="119" spans="1:15" ht="50.1" customHeight="1" x14ac:dyDescent="0.2">
      <c r="A119" s="4" t="s">
        <v>989</v>
      </c>
      <c r="B119" s="4" t="s">
        <v>1015</v>
      </c>
      <c r="C119" s="49">
        <v>1319</v>
      </c>
      <c r="D119" s="8" t="s">
        <v>1014</v>
      </c>
      <c r="E119" s="5"/>
      <c r="F119" s="19"/>
      <c r="G119" s="15">
        <f t="shared" si="16"/>
        <v>0</v>
      </c>
      <c r="H119" s="15"/>
      <c r="I119" s="16">
        <f t="shared" si="17"/>
        <v>0</v>
      </c>
      <c r="J119" s="35">
        <v>6293</v>
      </c>
      <c r="K119" s="16">
        <f t="shared" si="18"/>
        <v>-6293</v>
      </c>
      <c r="L119" s="18">
        <f t="shared" si="19"/>
        <v>-1</v>
      </c>
      <c r="M119" s="43">
        <v>10</v>
      </c>
    </row>
    <row r="120" spans="1:15" ht="50.1" customHeight="1" x14ac:dyDescent="0.2">
      <c r="A120" s="4" t="s">
        <v>989</v>
      </c>
      <c r="B120" s="4" t="s">
        <v>1057</v>
      </c>
      <c r="C120" s="49">
        <v>1219</v>
      </c>
      <c r="D120" s="8" t="s">
        <v>1058</v>
      </c>
      <c r="E120" s="5"/>
      <c r="F120" s="19"/>
      <c r="G120" s="15">
        <f t="shared" si="16"/>
        <v>0</v>
      </c>
      <c r="H120" s="15"/>
      <c r="I120" s="16">
        <f t="shared" si="17"/>
        <v>0</v>
      </c>
      <c r="J120" s="35">
        <v>6992</v>
      </c>
      <c r="K120" s="16">
        <f t="shared" si="18"/>
        <v>-6992</v>
      </c>
      <c r="L120" s="18">
        <f t="shared" si="19"/>
        <v>-1</v>
      </c>
      <c r="M120" s="43">
        <v>6</v>
      </c>
    </row>
    <row r="121" spans="1:15" ht="50.1" customHeight="1" x14ac:dyDescent="0.2">
      <c r="A121" s="4" t="s">
        <v>989</v>
      </c>
      <c r="B121" s="4" t="s">
        <v>1059</v>
      </c>
      <c r="C121" s="49">
        <v>1219</v>
      </c>
      <c r="D121" s="8" t="s">
        <v>1058</v>
      </c>
      <c r="E121" s="5"/>
      <c r="F121" s="19"/>
      <c r="G121" s="15">
        <f t="shared" si="16"/>
        <v>0</v>
      </c>
      <c r="H121" s="15"/>
      <c r="I121" s="16">
        <f t="shared" si="17"/>
        <v>0</v>
      </c>
      <c r="J121" s="35">
        <v>6992</v>
      </c>
      <c r="K121" s="16">
        <f t="shared" si="18"/>
        <v>-6992</v>
      </c>
      <c r="L121" s="18">
        <f t="shared" si="19"/>
        <v>-1</v>
      </c>
      <c r="M121" s="43">
        <v>6</v>
      </c>
    </row>
    <row r="122" spans="1:15" ht="50.1" customHeight="1" x14ac:dyDescent="0.2">
      <c r="A122" s="4" t="s">
        <v>989</v>
      </c>
      <c r="B122" s="4" t="s">
        <v>1060</v>
      </c>
      <c r="C122" s="49">
        <v>1444</v>
      </c>
      <c r="D122" s="8" t="s">
        <v>1062</v>
      </c>
      <c r="E122" s="5"/>
      <c r="F122" s="19"/>
      <c r="G122" s="15">
        <f t="shared" si="16"/>
        <v>0</v>
      </c>
      <c r="H122" s="15"/>
      <c r="I122" s="16">
        <f t="shared" si="17"/>
        <v>0</v>
      </c>
      <c r="J122" s="35">
        <v>62993</v>
      </c>
      <c r="K122" s="16">
        <f t="shared" si="18"/>
        <v>-62993</v>
      </c>
      <c r="L122" s="18">
        <f t="shared" si="19"/>
        <v>-1</v>
      </c>
      <c r="M122" s="43">
        <v>6</v>
      </c>
    </row>
    <row r="123" spans="1:15" ht="50.1" customHeight="1" x14ac:dyDescent="0.2">
      <c r="A123" s="4" t="s">
        <v>989</v>
      </c>
      <c r="B123" s="4" t="s">
        <v>1061</v>
      </c>
      <c r="C123" s="49">
        <v>1444</v>
      </c>
      <c r="D123" s="8" t="s">
        <v>1062</v>
      </c>
      <c r="E123" s="5"/>
      <c r="F123" s="19"/>
      <c r="G123" s="15">
        <f t="shared" si="16"/>
        <v>0</v>
      </c>
      <c r="H123" s="15"/>
      <c r="I123" s="16">
        <f t="shared" si="17"/>
        <v>0</v>
      </c>
      <c r="J123" s="35">
        <v>62993</v>
      </c>
      <c r="K123" s="16">
        <f t="shared" si="18"/>
        <v>-62993</v>
      </c>
      <c r="L123" s="18">
        <f t="shared" si="19"/>
        <v>-1</v>
      </c>
      <c r="M123" s="43">
        <v>6</v>
      </c>
    </row>
    <row r="124" spans="1:15" ht="50.1" customHeight="1" x14ac:dyDescent="0.2">
      <c r="A124" s="4" t="s">
        <v>989</v>
      </c>
      <c r="B124" s="4" t="s">
        <v>1063</v>
      </c>
      <c r="C124" s="49">
        <v>1393</v>
      </c>
      <c r="D124" s="8" t="s">
        <v>1065</v>
      </c>
      <c r="E124" s="5"/>
      <c r="F124" s="19"/>
      <c r="G124" s="15">
        <f t="shared" si="16"/>
        <v>0</v>
      </c>
      <c r="H124" s="15"/>
      <c r="I124" s="16">
        <f t="shared" si="17"/>
        <v>0</v>
      </c>
      <c r="J124" s="35">
        <v>69993</v>
      </c>
      <c r="K124" s="16">
        <f t="shared" si="18"/>
        <v>-69993</v>
      </c>
      <c r="L124" s="18">
        <f t="shared" si="19"/>
        <v>-1</v>
      </c>
      <c r="M124" s="43">
        <v>2</v>
      </c>
    </row>
    <row r="125" spans="1:15" ht="50.1" customHeight="1" x14ac:dyDescent="0.2">
      <c r="A125" s="4" t="s">
        <v>989</v>
      </c>
      <c r="B125" s="4" t="s">
        <v>1064</v>
      </c>
      <c r="C125" s="49">
        <v>1393</v>
      </c>
      <c r="D125" s="8" t="s">
        <v>1065</v>
      </c>
      <c r="E125" s="5"/>
      <c r="F125" s="19"/>
      <c r="G125" s="15">
        <f t="shared" si="16"/>
        <v>0</v>
      </c>
      <c r="H125" s="15"/>
      <c r="I125" s="16">
        <f t="shared" si="17"/>
        <v>0</v>
      </c>
      <c r="J125" s="35">
        <v>69993</v>
      </c>
      <c r="K125" s="16">
        <f t="shared" si="18"/>
        <v>-69993</v>
      </c>
      <c r="L125" s="18">
        <f t="shared" si="19"/>
        <v>-1</v>
      </c>
      <c r="M125" s="43">
        <v>2</v>
      </c>
    </row>
    <row r="126" spans="1:15" ht="50.1" customHeight="1" x14ac:dyDescent="0.2">
      <c r="A126" s="4" t="s">
        <v>989</v>
      </c>
      <c r="B126" s="4" t="s">
        <v>1066</v>
      </c>
      <c r="C126" s="49">
        <v>1439</v>
      </c>
      <c r="D126" s="8" t="s">
        <v>1068</v>
      </c>
      <c r="E126" s="5"/>
      <c r="F126" s="19"/>
      <c r="G126" s="15">
        <f t="shared" si="16"/>
        <v>0</v>
      </c>
      <c r="H126" s="15"/>
      <c r="I126" s="16">
        <f t="shared" si="17"/>
        <v>0</v>
      </c>
      <c r="J126" s="35">
        <v>55993</v>
      </c>
      <c r="K126" s="16">
        <f t="shared" si="18"/>
        <v>-55993</v>
      </c>
      <c r="L126" s="18">
        <f t="shared" si="19"/>
        <v>-1</v>
      </c>
      <c r="M126" s="43">
        <v>2</v>
      </c>
    </row>
    <row r="127" spans="1:15" ht="50.1" customHeight="1" x14ac:dyDescent="0.2">
      <c r="A127" s="4" t="s">
        <v>989</v>
      </c>
      <c r="B127" s="4" t="s">
        <v>1067</v>
      </c>
      <c r="C127" s="49">
        <v>1439</v>
      </c>
      <c r="D127" s="8" t="s">
        <v>1068</v>
      </c>
      <c r="E127" s="5"/>
      <c r="F127" s="19"/>
      <c r="G127" s="15">
        <f t="shared" si="16"/>
        <v>0</v>
      </c>
      <c r="H127" s="15"/>
      <c r="I127" s="16">
        <f t="shared" si="17"/>
        <v>0</v>
      </c>
      <c r="J127" s="35">
        <v>55993</v>
      </c>
      <c r="K127" s="16">
        <f t="shared" si="18"/>
        <v>-55993</v>
      </c>
      <c r="L127" s="18">
        <f t="shared" si="19"/>
        <v>-1</v>
      </c>
      <c r="M127" s="43">
        <v>2</v>
      </c>
    </row>
    <row r="128" spans="1:15" ht="50.1" customHeight="1" x14ac:dyDescent="0.2">
      <c r="A128" s="4" t="s">
        <v>989</v>
      </c>
      <c r="B128" s="4" t="s">
        <v>1069</v>
      </c>
      <c r="C128" s="49">
        <v>1282</v>
      </c>
      <c r="D128" s="8" t="s">
        <v>1071</v>
      </c>
      <c r="E128" s="5"/>
      <c r="F128" s="19"/>
      <c r="G128" s="15">
        <f t="shared" si="16"/>
        <v>0</v>
      </c>
      <c r="H128" s="15"/>
      <c r="I128" s="16">
        <f t="shared" si="17"/>
        <v>0</v>
      </c>
      <c r="J128" s="35">
        <v>9793</v>
      </c>
      <c r="K128" s="16">
        <f t="shared" si="18"/>
        <v>-9793</v>
      </c>
      <c r="L128" s="18">
        <f t="shared" si="19"/>
        <v>-1</v>
      </c>
      <c r="M128" s="43">
        <v>6</v>
      </c>
    </row>
    <row r="129" spans="1:13" ht="50.1" customHeight="1" x14ac:dyDescent="0.2">
      <c r="A129" s="4" t="s">
        <v>989</v>
      </c>
      <c r="B129" s="4" t="s">
        <v>1070</v>
      </c>
      <c r="C129" s="49">
        <v>1282</v>
      </c>
      <c r="D129" s="8" t="s">
        <v>1071</v>
      </c>
      <c r="E129" s="5"/>
      <c r="F129" s="19"/>
      <c r="G129" s="15">
        <f t="shared" si="16"/>
        <v>0</v>
      </c>
      <c r="H129" s="15"/>
      <c r="I129" s="16">
        <f t="shared" si="17"/>
        <v>0</v>
      </c>
      <c r="J129" s="35">
        <v>9793</v>
      </c>
      <c r="K129" s="16">
        <f t="shared" si="18"/>
        <v>-9793</v>
      </c>
      <c r="L129" s="18">
        <f t="shared" si="19"/>
        <v>-1</v>
      </c>
      <c r="M129" s="43">
        <v>6</v>
      </c>
    </row>
    <row r="130" spans="1:13" ht="50.1" customHeight="1" x14ac:dyDescent="0.2">
      <c r="A130" s="4" t="s">
        <v>989</v>
      </c>
      <c r="B130" s="4" t="s">
        <v>1072</v>
      </c>
      <c r="C130" s="49">
        <v>1291</v>
      </c>
      <c r="D130" s="8" t="s">
        <v>1074</v>
      </c>
      <c r="E130" s="5"/>
      <c r="F130" s="19"/>
      <c r="G130" s="15">
        <f t="shared" si="16"/>
        <v>0</v>
      </c>
      <c r="H130" s="15"/>
      <c r="I130" s="16">
        <f t="shared" si="17"/>
        <v>0</v>
      </c>
      <c r="J130" s="35">
        <v>6992</v>
      </c>
      <c r="K130" s="16">
        <f t="shared" si="18"/>
        <v>-6992</v>
      </c>
      <c r="L130" s="18">
        <f t="shared" si="19"/>
        <v>-1</v>
      </c>
      <c r="M130" s="43">
        <v>12</v>
      </c>
    </row>
    <row r="131" spans="1:13" ht="50.1" customHeight="1" x14ac:dyDescent="0.2">
      <c r="A131" s="4" t="s">
        <v>989</v>
      </c>
      <c r="B131" s="4" t="s">
        <v>1073</v>
      </c>
      <c r="C131" s="49">
        <v>1291</v>
      </c>
      <c r="D131" s="8" t="s">
        <v>1074</v>
      </c>
      <c r="E131" s="5"/>
      <c r="F131" s="19"/>
      <c r="G131" s="15">
        <f t="shared" si="16"/>
        <v>0</v>
      </c>
      <c r="H131" s="15"/>
      <c r="I131" s="16">
        <f t="shared" si="17"/>
        <v>0</v>
      </c>
      <c r="J131" s="35">
        <v>6992</v>
      </c>
      <c r="K131" s="16">
        <f t="shared" si="18"/>
        <v>-6992</v>
      </c>
      <c r="L131" s="18">
        <f t="shared" si="19"/>
        <v>-1</v>
      </c>
      <c r="M131" s="43">
        <v>12</v>
      </c>
    </row>
    <row r="132" spans="1:13" ht="50.1" customHeight="1" x14ac:dyDescent="0.2">
      <c r="A132" s="4" t="s">
        <v>989</v>
      </c>
      <c r="B132" s="4" t="s">
        <v>1331</v>
      </c>
      <c r="C132" s="49">
        <v>1134</v>
      </c>
      <c r="D132" s="8" t="s">
        <v>1332</v>
      </c>
      <c r="E132" s="5"/>
      <c r="F132" s="19"/>
      <c r="G132" s="15"/>
      <c r="H132" s="15"/>
      <c r="I132" s="16"/>
      <c r="J132" s="35">
        <v>27993.559999999998</v>
      </c>
      <c r="K132" s="16"/>
      <c r="L132" s="18"/>
      <c r="M132" s="43">
        <v>4</v>
      </c>
    </row>
    <row r="133" spans="1:13" ht="50.1" customHeight="1" x14ac:dyDescent="0.2">
      <c r="A133" s="4" t="s">
        <v>989</v>
      </c>
      <c r="B133" s="4" t="s">
        <v>1329</v>
      </c>
      <c r="C133" s="49">
        <v>1134</v>
      </c>
      <c r="D133" s="8" t="s">
        <v>1332</v>
      </c>
      <c r="E133" s="5"/>
      <c r="F133" s="19"/>
      <c r="G133" s="15"/>
      <c r="H133" s="15"/>
      <c r="I133" s="16"/>
      <c r="J133" s="35">
        <v>27993.559999999998</v>
      </c>
      <c r="K133" s="16"/>
      <c r="L133" s="18"/>
      <c r="M133" s="43">
        <v>4</v>
      </c>
    </row>
    <row r="134" spans="1:13" ht="50.1" customHeight="1" x14ac:dyDescent="0.2">
      <c r="A134" s="4" t="s">
        <v>989</v>
      </c>
      <c r="B134" s="4" t="s">
        <v>1333</v>
      </c>
      <c r="C134" s="49">
        <v>1267</v>
      </c>
      <c r="D134" s="8" t="s">
        <v>1335</v>
      </c>
      <c r="E134" s="5"/>
      <c r="F134" s="19"/>
      <c r="G134" s="15"/>
      <c r="H134" s="15"/>
      <c r="I134" s="16"/>
      <c r="J134" s="35">
        <v>48993.49</v>
      </c>
      <c r="K134" s="16"/>
      <c r="L134" s="18"/>
      <c r="M134" s="43">
        <v>6</v>
      </c>
    </row>
    <row r="135" spans="1:13" ht="50.1" customHeight="1" x14ac:dyDescent="0.2">
      <c r="A135" s="4" t="s">
        <v>989</v>
      </c>
      <c r="B135" s="4" t="s">
        <v>1334</v>
      </c>
      <c r="C135" s="49">
        <v>1267</v>
      </c>
      <c r="D135" s="8" t="s">
        <v>1335</v>
      </c>
      <c r="E135" s="5"/>
      <c r="F135" s="19"/>
      <c r="G135" s="15"/>
      <c r="H135" s="15"/>
      <c r="I135" s="16"/>
      <c r="J135" s="35">
        <v>48993.49</v>
      </c>
      <c r="K135" s="16"/>
      <c r="L135" s="18"/>
      <c r="M135" s="43">
        <v>6</v>
      </c>
    </row>
    <row r="136" spans="1:13" ht="50.1" customHeight="1" x14ac:dyDescent="0.2">
      <c r="A136" s="4" t="s">
        <v>989</v>
      </c>
      <c r="B136" s="4" t="s">
        <v>1336</v>
      </c>
      <c r="C136" s="49">
        <v>1221</v>
      </c>
      <c r="D136" s="8" t="s">
        <v>1338</v>
      </c>
      <c r="E136" s="5"/>
      <c r="F136" s="19"/>
      <c r="G136" s="15"/>
      <c r="H136" s="15"/>
      <c r="I136" s="16"/>
      <c r="J136" s="35">
        <v>9792.51</v>
      </c>
      <c r="K136" s="16"/>
      <c r="L136" s="18"/>
      <c r="M136" s="43">
        <v>6</v>
      </c>
    </row>
    <row r="137" spans="1:13" ht="50.1" customHeight="1" x14ac:dyDescent="0.2">
      <c r="A137" s="4" t="s">
        <v>989</v>
      </c>
      <c r="B137" s="4" t="s">
        <v>1337</v>
      </c>
      <c r="C137" s="49">
        <v>1221</v>
      </c>
      <c r="D137" s="8" t="s">
        <v>1338</v>
      </c>
      <c r="E137" s="5"/>
      <c r="F137" s="19"/>
      <c r="G137" s="15"/>
      <c r="H137" s="15"/>
      <c r="I137" s="16"/>
      <c r="J137" s="35">
        <v>9792.51</v>
      </c>
      <c r="K137" s="16"/>
      <c r="L137" s="18"/>
      <c r="M137" s="43">
        <v>6</v>
      </c>
    </row>
    <row r="138" spans="1:13" ht="50.1" customHeight="1" x14ac:dyDescent="0.2">
      <c r="A138" s="4" t="s">
        <v>989</v>
      </c>
      <c r="B138" s="4" t="s">
        <v>1339</v>
      </c>
      <c r="C138" s="49">
        <v>1340</v>
      </c>
      <c r="D138" s="8" t="s">
        <v>1340</v>
      </c>
      <c r="E138" s="5"/>
      <c r="F138" s="19"/>
      <c r="G138" s="15"/>
      <c r="H138" s="15"/>
      <c r="I138" s="16"/>
      <c r="J138" s="35">
        <v>29393</v>
      </c>
      <c r="K138" s="16"/>
      <c r="L138" s="18"/>
      <c r="M138" s="43">
        <v>6</v>
      </c>
    </row>
    <row r="139" spans="1:13" ht="50.1" customHeight="1" x14ac:dyDescent="0.2">
      <c r="A139" s="4" t="s">
        <v>989</v>
      </c>
      <c r="B139" s="4" t="s">
        <v>1341</v>
      </c>
      <c r="C139" s="49">
        <v>1340</v>
      </c>
      <c r="D139" s="8" t="s">
        <v>1342</v>
      </c>
      <c r="E139" s="5"/>
      <c r="F139" s="19"/>
      <c r="G139" s="15"/>
      <c r="H139" s="15"/>
      <c r="I139" s="16"/>
      <c r="J139" s="35">
        <v>29393</v>
      </c>
      <c r="K139" s="16"/>
      <c r="L139" s="18"/>
      <c r="M139" s="43">
        <v>6</v>
      </c>
    </row>
    <row r="140" spans="1:13" ht="50.1" customHeight="1" x14ac:dyDescent="0.2">
      <c r="A140" s="4" t="s">
        <v>989</v>
      </c>
      <c r="B140" s="4" t="s">
        <v>1343</v>
      </c>
      <c r="C140" s="49">
        <v>1383</v>
      </c>
      <c r="D140" s="8" t="s">
        <v>1345</v>
      </c>
      <c r="E140" s="5"/>
      <c r="F140" s="19"/>
      <c r="G140" s="15"/>
      <c r="H140" s="15"/>
      <c r="I140" s="16"/>
      <c r="J140" s="35">
        <v>13993.21</v>
      </c>
      <c r="K140" s="16"/>
      <c r="L140" s="18"/>
      <c r="M140" s="43">
        <v>6</v>
      </c>
    </row>
    <row r="141" spans="1:13" ht="50.1" customHeight="1" x14ac:dyDescent="0.2">
      <c r="A141" s="4" t="s">
        <v>989</v>
      </c>
      <c r="B141" s="4" t="s">
        <v>1344</v>
      </c>
      <c r="C141" s="49">
        <v>1383</v>
      </c>
      <c r="D141" s="8" t="s">
        <v>1345</v>
      </c>
      <c r="E141" s="5"/>
      <c r="F141" s="19"/>
      <c r="G141" s="15"/>
      <c r="H141" s="15"/>
      <c r="I141" s="16"/>
      <c r="J141" s="35">
        <v>13993.21</v>
      </c>
      <c r="K141" s="16"/>
      <c r="L141" s="18"/>
      <c r="M141" s="43">
        <v>6</v>
      </c>
    </row>
    <row r="142" spans="1:13" ht="50.1" customHeight="1" x14ac:dyDescent="0.2">
      <c r="A142" s="4" t="s">
        <v>989</v>
      </c>
      <c r="B142" s="4" t="s">
        <v>1347</v>
      </c>
      <c r="C142" s="49">
        <v>1094</v>
      </c>
      <c r="D142" s="8" t="s">
        <v>1348</v>
      </c>
      <c r="E142" s="5"/>
      <c r="F142" s="19"/>
      <c r="G142" s="15"/>
      <c r="H142" s="15"/>
      <c r="I142" s="16"/>
      <c r="J142" s="35">
        <v>104992.51</v>
      </c>
      <c r="K142" s="16"/>
      <c r="L142" s="18"/>
      <c r="M142" s="43">
        <v>1</v>
      </c>
    </row>
    <row r="143" spans="1:13" ht="50.1" customHeight="1" x14ac:dyDescent="0.2">
      <c r="A143" s="4" t="s">
        <v>989</v>
      </c>
      <c r="B143" s="4" t="s">
        <v>1349</v>
      </c>
      <c r="C143" s="49">
        <v>1094</v>
      </c>
      <c r="D143" s="8" t="s">
        <v>1348</v>
      </c>
      <c r="E143" s="5"/>
      <c r="F143" s="19"/>
      <c r="G143" s="15"/>
      <c r="H143" s="15"/>
      <c r="I143" s="16"/>
      <c r="J143" s="35">
        <v>104992.51</v>
      </c>
      <c r="K143" s="16"/>
      <c r="L143" s="18"/>
      <c r="M143" s="43">
        <v>1</v>
      </c>
    </row>
    <row r="144" spans="1:13" ht="50.1" customHeight="1" x14ac:dyDescent="0.2">
      <c r="A144" s="4" t="s">
        <v>989</v>
      </c>
      <c r="B144" s="4" t="s">
        <v>1371</v>
      </c>
      <c r="C144" s="49">
        <v>1265</v>
      </c>
      <c r="D144" s="8" t="s">
        <v>1373</v>
      </c>
      <c r="E144" s="5"/>
      <c r="F144" s="19"/>
      <c r="G144" s="15"/>
      <c r="H144" s="15"/>
      <c r="I144" s="16"/>
      <c r="J144" s="35">
        <v>27993.559999999998</v>
      </c>
      <c r="K144" s="16"/>
      <c r="L144" s="18"/>
      <c r="M144" s="43">
        <v>6</v>
      </c>
    </row>
    <row r="145" spans="1:13" ht="50.1" customHeight="1" x14ac:dyDescent="0.2">
      <c r="A145" s="4" t="s">
        <v>989</v>
      </c>
      <c r="B145" s="4" t="s">
        <v>1372</v>
      </c>
      <c r="C145" s="49">
        <v>1265</v>
      </c>
      <c r="D145" s="8" t="s">
        <v>1373</v>
      </c>
      <c r="E145" s="5"/>
      <c r="F145" s="19"/>
      <c r="G145" s="15"/>
      <c r="H145" s="15"/>
      <c r="I145" s="16"/>
      <c r="J145" s="35">
        <v>27993.559999999998</v>
      </c>
      <c r="K145" s="16"/>
      <c r="L145" s="18"/>
      <c r="M145" s="43">
        <v>6</v>
      </c>
    </row>
    <row r="146" spans="1:13" ht="50.1" customHeight="1" x14ac:dyDescent="0.2">
      <c r="A146" s="4" t="s">
        <v>989</v>
      </c>
      <c r="B146" s="4" t="s">
        <v>1374</v>
      </c>
      <c r="C146" s="49">
        <v>1108</v>
      </c>
      <c r="D146" s="8" t="s">
        <v>1375</v>
      </c>
      <c r="E146" s="5"/>
      <c r="F146" s="19"/>
      <c r="G146" s="15"/>
      <c r="H146" s="15"/>
      <c r="I146" s="16"/>
      <c r="J146" s="35">
        <v>38492.93</v>
      </c>
      <c r="K146" s="16"/>
      <c r="L146" s="18"/>
      <c r="M146" s="43">
        <v>1</v>
      </c>
    </row>
    <row r="147" spans="1:13" ht="50.1" customHeight="1" x14ac:dyDescent="0.2">
      <c r="A147" s="4" t="s">
        <v>989</v>
      </c>
      <c r="B147" s="4" t="s">
        <v>1376</v>
      </c>
      <c r="C147" s="49">
        <v>1235</v>
      </c>
      <c r="D147" s="8" t="s">
        <v>1380</v>
      </c>
      <c r="E147" s="5"/>
      <c r="F147" s="19"/>
      <c r="G147" s="15"/>
      <c r="H147" s="15"/>
      <c r="I147" s="16"/>
      <c r="J147" s="35">
        <v>14692.929999999998</v>
      </c>
      <c r="K147" s="16"/>
      <c r="L147" s="18"/>
      <c r="M147" s="43">
        <v>6</v>
      </c>
    </row>
    <row r="148" spans="1:13" ht="50.1" customHeight="1" x14ac:dyDescent="0.2">
      <c r="A148" s="4" t="s">
        <v>989</v>
      </c>
      <c r="B148" s="4" t="s">
        <v>1377</v>
      </c>
      <c r="C148" s="49">
        <v>1235</v>
      </c>
      <c r="D148" s="8" t="s">
        <v>1380</v>
      </c>
      <c r="E148" s="5"/>
      <c r="F148" s="19"/>
      <c r="G148" s="15"/>
      <c r="H148" s="15"/>
      <c r="I148" s="16"/>
      <c r="J148" s="35">
        <v>14692.929999999998</v>
      </c>
      <c r="K148" s="16"/>
      <c r="L148" s="18"/>
      <c r="M148" s="43">
        <v>6</v>
      </c>
    </row>
    <row r="149" spans="1:13" ht="50.1" customHeight="1" x14ac:dyDescent="0.2">
      <c r="A149" s="4" t="s">
        <v>989</v>
      </c>
      <c r="B149" s="4" t="s">
        <v>1378</v>
      </c>
      <c r="C149" s="49">
        <v>1387</v>
      </c>
      <c r="D149" s="8" t="s">
        <v>1381</v>
      </c>
      <c r="E149" s="5"/>
      <c r="F149" s="19"/>
      <c r="G149" s="15"/>
      <c r="H149" s="15"/>
      <c r="I149" s="16"/>
      <c r="J149" s="35">
        <v>27993.559999999998</v>
      </c>
      <c r="K149" s="16"/>
      <c r="L149" s="18"/>
      <c r="M149" s="43">
        <v>1</v>
      </c>
    </row>
    <row r="150" spans="1:13" ht="50.1" customHeight="1" x14ac:dyDescent="0.2">
      <c r="A150" s="4" t="s">
        <v>989</v>
      </c>
      <c r="B150" s="4" t="s">
        <v>1379</v>
      </c>
      <c r="C150" s="49">
        <v>1387</v>
      </c>
      <c r="D150" s="8" t="s">
        <v>1381</v>
      </c>
      <c r="E150" s="5"/>
      <c r="F150" s="19"/>
      <c r="G150" s="15"/>
      <c r="H150" s="15"/>
      <c r="I150" s="16"/>
      <c r="J150" s="35">
        <v>27993.559999999998</v>
      </c>
      <c r="K150" s="16"/>
      <c r="L150" s="18"/>
      <c r="M150" s="43">
        <v>1</v>
      </c>
    </row>
    <row r="151" spans="1:13" ht="50.1" customHeight="1" x14ac:dyDescent="0.2">
      <c r="A151" s="4" t="s">
        <v>989</v>
      </c>
      <c r="B151" s="4" t="s">
        <v>1382</v>
      </c>
      <c r="C151" s="49">
        <v>1093</v>
      </c>
      <c r="D151" s="8" t="s">
        <v>1384</v>
      </c>
      <c r="E151" s="5"/>
      <c r="F151" s="19"/>
      <c r="G151" s="15"/>
      <c r="H151" s="15"/>
      <c r="I151" s="16"/>
      <c r="J151" s="35">
        <v>76993</v>
      </c>
      <c r="K151" s="16"/>
      <c r="L151" s="18"/>
      <c r="M151" s="43">
        <v>1</v>
      </c>
    </row>
    <row r="152" spans="1:13" ht="50.1" customHeight="1" x14ac:dyDescent="0.2">
      <c r="A152" s="4" t="s">
        <v>989</v>
      </c>
      <c r="B152" s="4" t="s">
        <v>1383</v>
      </c>
      <c r="C152" s="49">
        <v>1093</v>
      </c>
      <c r="D152" s="8" t="s">
        <v>1384</v>
      </c>
      <c r="E152" s="5"/>
      <c r="F152" s="19"/>
      <c r="G152" s="15"/>
      <c r="H152" s="15"/>
      <c r="I152" s="16"/>
      <c r="J152" s="35">
        <v>76993</v>
      </c>
      <c r="K152" s="16"/>
      <c r="L152" s="18"/>
      <c r="M152" s="43">
        <v>1</v>
      </c>
    </row>
    <row r="153" spans="1:13" ht="50.1" customHeight="1" x14ac:dyDescent="0.2">
      <c r="A153" s="4" t="s">
        <v>989</v>
      </c>
      <c r="B153" s="4" t="s">
        <v>1385</v>
      </c>
      <c r="C153" s="49">
        <v>1141</v>
      </c>
      <c r="D153" s="8" t="s">
        <v>1387</v>
      </c>
      <c r="E153" s="5"/>
      <c r="F153" s="19"/>
      <c r="G153" s="15"/>
      <c r="H153" s="15"/>
      <c r="I153" s="16"/>
      <c r="J153" s="35">
        <v>24492.579999999998</v>
      </c>
      <c r="K153" s="16"/>
      <c r="L153" s="18"/>
      <c r="M153" s="43">
        <v>6</v>
      </c>
    </row>
    <row r="154" spans="1:13" ht="50.1" customHeight="1" x14ac:dyDescent="0.2">
      <c r="A154" s="4" t="s">
        <v>989</v>
      </c>
      <c r="B154" s="4" t="s">
        <v>1386</v>
      </c>
      <c r="C154" s="49">
        <v>1141</v>
      </c>
      <c r="D154" s="8" t="s">
        <v>1387</v>
      </c>
      <c r="E154" s="5"/>
      <c r="F154" s="19"/>
      <c r="G154" s="15"/>
      <c r="H154" s="15"/>
      <c r="I154" s="16"/>
      <c r="J154" s="35">
        <v>24492.579999999998</v>
      </c>
      <c r="K154" s="16"/>
      <c r="L154" s="18"/>
      <c r="M154" s="43">
        <v>6</v>
      </c>
    </row>
    <row r="155" spans="1:13" ht="50.1" customHeight="1" x14ac:dyDescent="0.2">
      <c r="A155" s="4" t="s">
        <v>989</v>
      </c>
      <c r="B155" s="4" t="s">
        <v>1388</v>
      </c>
      <c r="C155" s="49">
        <v>1100</v>
      </c>
      <c r="D155" s="8" t="s">
        <v>1390</v>
      </c>
      <c r="E155" s="5"/>
      <c r="F155" s="19"/>
      <c r="G155" s="15"/>
      <c r="H155" s="15"/>
      <c r="I155" s="16"/>
      <c r="J155" s="35">
        <v>59992.659999999996</v>
      </c>
      <c r="K155" s="16"/>
      <c r="L155" s="18"/>
      <c r="M155" s="43">
        <v>1</v>
      </c>
    </row>
    <row r="156" spans="1:13" ht="50.1" customHeight="1" x14ac:dyDescent="0.2">
      <c r="A156" s="4" t="s">
        <v>989</v>
      </c>
      <c r="B156" s="4" t="s">
        <v>1389</v>
      </c>
      <c r="C156" s="49">
        <v>1100</v>
      </c>
      <c r="D156" s="8" t="s">
        <v>1390</v>
      </c>
      <c r="E156" s="5"/>
      <c r="F156" s="19"/>
      <c r="G156" s="15"/>
      <c r="H156" s="15"/>
      <c r="I156" s="16"/>
      <c r="J156" s="35">
        <v>59992.659999999996</v>
      </c>
      <c r="K156" s="16"/>
      <c r="L156" s="18"/>
      <c r="M156" s="43">
        <v>1</v>
      </c>
    </row>
    <row r="157" spans="1:13" ht="50.1" customHeight="1" x14ac:dyDescent="0.2">
      <c r="A157" s="4" t="s">
        <v>989</v>
      </c>
      <c r="B157" s="4" t="s">
        <v>1391</v>
      </c>
      <c r="C157" s="49">
        <v>1363</v>
      </c>
      <c r="D157" s="8" t="s">
        <v>1393</v>
      </c>
      <c r="E157" s="5"/>
      <c r="F157" s="19"/>
      <c r="G157" s="15"/>
      <c r="H157" s="15"/>
      <c r="I157" s="16"/>
      <c r="J157" s="35">
        <v>69993.42</v>
      </c>
      <c r="K157" s="16"/>
      <c r="L157" s="18"/>
      <c r="M157" s="43">
        <v>2</v>
      </c>
    </row>
    <row r="158" spans="1:13" ht="50.1" customHeight="1" x14ac:dyDescent="0.2">
      <c r="A158" s="4" t="s">
        <v>989</v>
      </c>
      <c r="B158" s="4" t="s">
        <v>1392</v>
      </c>
      <c r="C158" s="49">
        <v>1363</v>
      </c>
      <c r="D158" s="8" t="s">
        <v>1393</v>
      </c>
      <c r="E158" s="5"/>
      <c r="F158" s="19"/>
      <c r="G158" s="15"/>
      <c r="H158" s="15"/>
      <c r="I158" s="16"/>
      <c r="J158" s="35">
        <v>69993.42</v>
      </c>
      <c r="K158" s="16"/>
      <c r="L158" s="18"/>
      <c r="M158" s="43">
        <v>2</v>
      </c>
    </row>
    <row r="159" spans="1:13" ht="50.1" customHeight="1" x14ac:dyDescent="0.2">
      <c r="A159" s="4" t="s">
        <v>989</v>
      </c>
      <c r="B159" s="4" t="s">
        <v>1394</v>
      </c>
      <c r="C159" s="49">
        <v>1121</v>
      </c>
      <c r="D159" s="8" t="s">
        <v>1396</v>
      </c>
      <c r="E159" s="5"/>
      <c r="F159" s="19"/>
      <c r="G159" s="15"/>
      <c r="H159" s="15"/>
      <c r="I159" s="16"/>
      <c r="J159" s="35">
        <v>15392.65</v>
      </c>
      <c r="K159" s="16"/>
      <c r="L159" s="18"/>
      <c r="M159" s="43">
        <v>8</v>
      </c>
    </row>
    <row r="160" spans="1:13" ht="50.1" customHeight="1" x14ac:dyDescent="0.2">
      <c r="A160" s="4" t="s">
        <v>989</v>
      </c>
      <c r="B160" s="4" t="s">
        <v>1395</v>
      </c>
      <c r="C160" s="49">
        <v>1121</v>
      </c>
      <c r="D160" s="8" t="s">
        <v>1396</v>
      </c>
      <c r="E160" s="5"/>
      <c r="F160" s="19"/>
      <c r="G160" s="15"/>
      <c r="H160" s="15"/>
      <c r="I160" s="16"/>
      <c r="J160" s="35">
        <v>15392.65</v>
      </c>
      <c r="K160" s="16"/>
      <c r="L160" s="18"/>
      <c r="M160" s="43">
        <v>8</v>
      </c>
    </row>
    <row r="161" spans="1:13" ht="50.1" customHeight="1" x14ac:dyDescent="0.2">
      <c r="A161" s="4" t="s">
        <v>989</v>
      </c>
      <c r="B161" s="4" t="s">
        <v>1397</v>
      </c>
      <c r="C161" s="49">
        <v>1117</v>
      </c>
      <c r="D161" s="8" t="s">
        <v>1399</v>
      </c>
      <c r="E161" s="5"/>
      <c r="F161" s="19"/>
      <c r="G161" s="15"/>
      <c r="H161" s="15"/>
      <c r="I161" s="16"/>
      <c r="J161" s="35">
        <v>139992.79</v>
      </c>
      <c r="K161" s="16"/>
      <c r="L161" s="18"/>
      <c r="M161" s="43">
        <v>1</v>
      </c>
    </row>
    <row r="162" spans="1:13" ht="50.1" customHeight="1" x14ac:dyDescent="0.2">
      <c r="A162" s="4" t="s">
        <v>989</v>
      </c>
      <c r="B162" s="4" t="s">
        <v>1398</v>
      </c>
      <c r="C162" s="49">
        <v>1117</v>
      </c>
      <c r="D162" s="8" t="s">
        <v>1399</v>
      </c>
      <c r="E162" s="5"/>
      <c r="F162" s="19"/>
      <c r="G162" s="15"/>
      <c r="H162" s="15"/>
      <c r="I162" s="16"/>
      <c r="J162" s="35">
        <v>139992.79</v>
      </c>
      <c r="K162" s="16"/>
      <c r="L162" s="18"/>
      <c r="M162" s="43">
        <v>1</v>
      </c>
    </row>
    <row r="163" spans="1:13" ht="50.1" customHeight="1" x14ac:dyDescent="0.2">
      <c r="A163" s="4" t="s">
        <v>989</v>
      </c>
      <c r="B163" s="4" t="s">
        <v>1400</v>
      </c>
      <c r="C163" s="49">
        <v>1366</v>
      </c>
      <c r="D163" s="8" t="s">
        <v>1402</v>
      </c>
      <c r="E163" s="5"/>
      <c r="F163" s="19"/>
      <c r="G163" s="15"/>
      <c r="H163" s="15"/>
      <c r="I163" s="16"/>
      <c r="J163" s="35">
        <v>41992.72</v>
      </c>
      <c r="K163" s="16"/>
      <c r="L163" s="18"/>
      <c r="M163" s="43">
        <v>2</v>
      </c>
    </row>
    <row r="164" spans="1:13" ht="50.1" customHeight="1" x14ac:dyDescent="0.2">
      <c r="A164" s="4" t="s">
        <v>989</v>
      </c>
      <c r="B164" s="4" t="s">
        <v>1401</v>
      </c>
      <c r="C164" s="49">
        <v>1366</v>
      </c>
      <c r="D164" s="8" t="s">
        <v>1402</v>
      </c>
      <c r="E164" s="5"/>
      <c r="F164" s="19"/>
      <c r="G164" s="15"/>
      <c r="H164" s="15"/>
      <c r="I164" s="16"/>
      <c r="J164" s="35">
        <v>41992.72</v>
      </c>
      <c r="K164" s="16"/>
      <c r="L164" s="18"/>
      <c r="M164" s="43">
        <v>2</v>
      </c>
    </row>
    <row r="165" spans="1:13" ht="50.1" customHeight="1" x14ac:dyDescent="0.2">
      <c r="A165" s="4" t="s">
        <v>989</v>
      </c>
      <c r="B165" s="4" t="s">
        <v>1403</v>
      </c>
      <c r="C165" s="49">
        <v>1086</v>
      </c>
      <c r="D165" s="8" t="s">
        <v>1405</v>
      </c>
      <c r="E165" s="5"/>
      <c r="F165" s="19"/>
      <c r="G165" s="15"/>
      <c r="H165" s="15"/>
      <c r="I165" s="16"/>
      <c r="J165" s="35">
        <v>41992.72</v>
      </c>
      <c r="K165" s="16"/>
      <c r="L165" s="18"/>
      <c r="M165" s="43">
        <v>1</v>
      </c>
    </row>
    <row r="166" spans="1:13" ht="50.1" customHeight="1" x14ac:dyDescent="0.2">
      <c r="A166" s="4" t="s">
        <v>989</v>
      </c>
      <c r="B166" s="4" t="s">
        <v>1404</v>
      </c>
      <c r="C166" s="49">
        <v>1086</v>
      </c>
      <c r="D166" s="8" t="s">
        <v>1405</v>
      </c>
      <c r="E166" s="5"/>
      <c r="F166" s="19"/>
      <c r="G166" s="15"/>
      <c r="H166" s="15"/>
      <c r="I166" s="16"/>
      <c r="J166" s="35">
        <v>41992.72</v>
      </c>
      <c r="K166" s="16"/>
      <c r="L166" s="18"/>
      <c r="M166" s="43">
        <v>1</v>
      </c>
    </row>
    <row r="167" spans="1:13" ht="50.1" customHeight="1" x14ac:dyDescent="0.2">
      <c r="A167" s="4" t="s">
        <v>989</v>
      </c>
      <c r="B167" s="4" t="s">
        <v>1406</v>
      </c>
      <c r="C167" s="49">
        <v>1085</v>
      </c>
      <c r="D167" s="8" t="s">
        <v>1408</v>
      </c>
      <c r="E167" s="5"/>
      <c r="F167" s="19"/>
      <c r="G167" s="15"/>
      <c r="H167" s="15"/>
      <c r="I167" s="16"/>
      <c r="J167" s="35">
        <v>34993.14</v>
      </c>
      <c r="K167" s="16"/>
      <c r="L167" s="18"/>
      <c r="M167" s="43">
        <v>1</v>
      </c>
    </row>
    <row r="168" spans="1:13" ht="50.1" customHeight="1" x14ac:dyDescent="0.2">
      <c r="A168" s="4" t="s">
        <v>989</v>
      </c>
      <c r="B168" s="4" t="s">
        <v>1407</v>
      </c>
      <c r="C168" s="49">
        <v>1085</v>
      </c>
      <c r="D168" s="8" t="s">
        <v>1408</v>
      </c>
      <c r="E168" s="5"/>
      <c r="F168" s="19"/>
      <c r="G168" s="15"/>
      <c r="H168" s="15"/>
      <c r="I168" s="16"/>
      <c r="J168" s="35">
        <v>34993.14</v>
      </c>
      <c r="K168" s="16"/>
      <c r="L168" s="18"/>
      <c r="M168" s="43">
        <v>1</v>
      </c>
    </row>
    <row r="169" spans="1:13" ht="50.1" customHeight="1" x14ac:dyDescent="0.2">
      <c r="A169" s="4" t="s">
        <v>989</v>
      </c>
      <c r="B169" s="4" t="s">
        <v>1409</v>
      </c>
      <c r="C169" s="49">
        <v>1089</v>
      </c>
      <c r="D169" s="8" t="s">
        <v>1411</v>
      </c>
      <c r="E169" s="5"/>
      <c r="F169" s="19"/>
      <c r="G169" s="15"/>
      <c r="H169" s="15"/>
      <c r="I169" s="16"/>
      <c r="J169" s="35">
        <v>66492.44</v>
      </c>
      <c r="K169" s="16"/>
      <c r="L169" s="18"/>
      <c r="M169" s="43">
        <v>1</v>
      </c>
    </row>
    <row r="170" spans="1:13" ht="50.1" customHeight="1" x14ac:dyDescent="0.2">
      <c r="A170" s="4" t="s">
        <v>989</v>
      </c>
      <c r="B170" s="4" t="s">
        <v>1410</v>
      </c>
      <c r="C170" s="49">
        <v>1089</v>
      </c>
      <c r="D170" s="8" t="s">
        <v>1411</v>
      </c>
      <c r="E170" s="5"/>
      <c r="F170" s="19"/>
      <c r="G170" s="15"/>
      <c r="H170" s="15"/>
      <c r="I170" s="16"/>
      <c r="J170" s="35">
        <v>66492.44</v>
      </c>
      <c r="K170" s="16"/>
      <c r="L170" s="18"/>
      <c r="M170" s="43">
        <v>1</v>
      </c>
    </row>
    <row r="171" spans="1:13" ht="50.1" customHeight="1" x14ac:dyDescent="0.2">
      <c r="A171" s="4" t="s">
        <v>989</v>
      </c>
      <c r="B171" s="4" t="s">
        <v>1412</v>
      </c>
      <c r="C171" s="49">
        <v>1414</v>
      </c>
      <c r="D171" s="8" t="s">
        <v>1414</v>
      </c>
      <c r="E171" s="5"/>
      <c r="F171" s="19"/>
      <c r="G171" s="15"/>
      <c r="H171" s="15"/>
      <c r="I171" s="16"/>
      <c r="J171" s="35">
        <v>23093.14</v>
      </c>
      <c r="K171" s="16"/>
      <c r="L171" s="18"/>
      <c r="M171" s="43">
        <v>6</v>
      </c>
    </row>
    <row r="172" spans="1:13" ht="50.1" customHeight="1" x14ac:dyDescent="0.2">
      <c r="A172" s="4" t="s">
        <v>989</v>
      </c>
      <c r="B172" s="4" t="s">
        <v>1413</v>
      </c>
      <c r="C172" s="49">
        <v>1414</v>
      </c>
      <c r="D172" s="8" t="s">
        <v>1414</v>
      </c>
      <c r="E172" s="5"/>
      <c r="F172" s="19"/>
      <c r="G172" s="15"/>
      <c r="H172" s="15"/>
      <c r="I172" s="16"/>
      <c r="J172" s="35">
        <v>23093.14</v>
      </c>
      <c r="K172" s="16"/>
      <c r="L172" s="18"/>
      <c r="M172" s="43">
        <v>6</v>
      </c>
    </row>
    <row r="173" spans="1:13" ht="50.1" customHeight="1" x14ac:dyDescent="0.2">
      <c r="A173" s="4" t="s">
        <v>989</v>
      </c>
      <c r="B173" s="4" t="s">
        <v>1415</v>
      </c>
      <c r="C173" s="49">
        <v>1386</v>
      </c>
      <c r="D173" s="8" t="s">
        <v>1417</v>
      </c>
      <c r="E173" s="5"/>
      <c r="F173" s="19"/>
      <c r="G173" s="15"/>
      <c r="H173" s="15"/>
      <c r="I173" s="16"/>
      <c r="J173" s="35">
        <v>69993.42</v>
      </c>
      <c r="K173" s="16"/>
      <c r="L173" s="18"/>
      <c r="M173" s="43">
        <v>1</v>
      </c>
    </row>
    <row r="174" spans="1:13" ht="50.1" customHeight="1" x14ac:dyDescent="0.2">
      <c r="A174" s="4" t="s">
        <v>989</v>
      </c>
      <c r="B174" s="4" t="s">
        <v>1416</v>
      </c>
      <c r="C174" s="49">
        <v>1386</v>
      </c>
      <c r="D174" s="8" t="s">
        <v>1417</v>
      </c>
      <c r="E174" s="5"/>
      <c r="F174" s="19"/>
      <c r="G174" s="15"/>
      <c r="H174" s="15"/>
      <c r="I174" s="16"/>
      <c r="J174" s="35">
        <v>69993.42</v>
      </c>
      <c r="K174" s="16"/>
      <c r="L174" s="18"/>
      <c r="M174" s="43">
        <v>1</v>
      </c>
    </row>
    <row r="175" spans="1:13" ht="50.1" customHeight="1" x14ac:dyDescent="0.2">
      <c r="A175" s="4" t="s">
        <v>989</v>
      </c>
      <c r="B175" s="4" t="s">
        <v>1418</v>
      </c>
      <c r="C175" s="49">
        <v>1238</v>
      </c>
      <c r="D175" s="8" t="s">
        <v>1420</v>
      </c>
      <c r="E175" s="5"/>
      <c r="F175" s="19"/>
      <c r="G175" s="15"/>
      <c r="H175" s="15"/>
      <c r="I175" s="16"/>
      <c r="J175" s="35">
        <v>18892.439999999999</v>
      </c>
      <c r="K175" s="16"/>
      <c r="L175" s="18"/>
      <c r="M175" s="43">
        <v>6</v>
      </c>
    </row>
    <row r="176" spans="1:13" ht="50.1" customHeight="1" x14ac:dyDescent="0.2">
      <c r="A176" s="4" t="s">
        <v>989</v>
      </c>
      <c r="B176" s="4" t="s">
        <v>1419</v>
      </c>
      <c r="C176" s="49">
        <v>1238</v>
      </c>
      <c r="D176" s="8" t="s">
        <v>1420</v>
      </c>
      <c r="E176" s="5"/>
      <c r="F176" s="19"/>
      <c r="G176" s="15"/>
      <c r="H176" s="15"/>
      <c r="I176" s="16"/>
      <c r="J176" s="35">
        <v>18892.439999999999</v>
      </c>
      <c r="K176" s="16"/>
      <c r="L176" s="18"/>
      <c r="M176" s="43">
        <v>6</v>
      </c>
    </row>
    <row r="177" spans="1:13" ht="50.1" customHeight="1" x14ac:dyDescent="0.2">
      <c r="A177" s="4" t="s">
        <v>989</v>
      </c>
      <c r="B177" s="4" t="s">
        <v>1421</v>
      </c>
      <c r="C177" s="49">
        <v>1272</v>
      </c>
      <c r="D177" s="8" t="s">
        <v>1423</v>
      </c>
      <c r="E177" s="5"/>
      <c r="F177" s="19"/>
      <c r="G177" s="15"/>
      <c r="H177" s="15"/>
      <c r="I177" s="16"/>
      <c r="J177" s="35">
        <v>62992.649999999994</v>
      </c>
      <c r="K177" s="16"/>
      <c r="L177" s="18"/>
      <c r="M177" s="43">
        <v>6</v>
      </c>
    </row>
    <row r="178" spans="1:13" ht="50.1" customHeight="1" x14ac:dyDescent="0.2">
      <c r="A178" s="4" t="s">
        <v>989</v>
      </c>
      <c r="B178" s="4" t="s">
        <v>1422</v>
      </c>
      <c r="C178" s="49">
        <v>1272</v>
      </c>
      <c r="D178" s="8" t="s">
        <v>1423</v>
      </c>
      <c r="E178" s="5"/>
      <c r="F178" s="19"/>
      <c r="G178" s="15"/>
      <c r="H178" s="15"/>
      <c r="I178" s="16"/>
      <c r="J178" s="35">
        <v>62992.649999999994</v>
      </c>
      <c r="K178" s="16"/>
      <c r="L178" s="18"/>
      <c r="M178" s="43">
        <v>6</v>
      </c>
    </row>
    <row r="179" spans="1:13" ht="50.1" customHeight="1" x14ac:dyDescent="0.2">
      <c r="A179" s="4" t="s">
        <v>989</v>
      </c>
      <c r="B179" s="4" t="s">
        <v>1424</v>
      </c>
      <c r="C179" s="49">
        <v>1266</v>
      </c>
      <c r="D179" s="8" t="s">
        <v>1426</v>
      </c>
      <c r="E179" s="5"/>
      <c r="F179" s="19"/>
      <c r="G179" s="15"/>
      <c r="H179" s="15"/>
      <c r="I179" s="16"/>
      <c r="J179" s="35">
        <v>48993.49</v>
      </c>
      <c r="K179" s="16"/>
      <c r="L179" s="18"/>
      <c r="M179" s="43">
        <v>6</v>
      </c>
    </row>
    <row r="180" spans="1:13" ht="50.1" customHeight="1" x14ac:dyDescent="0.2">
      <c r="A180" s="4" t="s">
        <v>989</v>
      </c>
      <c r="B180" s="4" t="s">
        <v>1425</v>
      </c>
      <c r="C180" s="49">
        <v>1266</v>
      </c>
      <c r="D180" s="8" t="s">
        <v>1426</v>
      </c>
      <c r="E180" s="5"/>
      <c r="F180" s="19"/>
      <c r="G180" s="15"/>
      <c r="H180" s="15"/>
      <c r="I180" s="16"/>
      <c r="J180" s="35">
        <v>48993.49</v>
      </c>
      <c r="K180" s="16"/>
      <c r="L180" s="18"/>
      <c r="M180" s="43">
        <v>6</v>
      </c>
    </row>
    <row r="181" spans="1:13" ht="50.1" customHeight="1" x14ac:dyDescent="0.2">
      <c r="A181" s="4" t="s">
        <v>989</v>
      </c>
      <c r="B181" s="4" t="s">
        <v>1429</v>
      </c>
      <c r="C181" s="49">
        <v>1108</v>
      </c>
      <c r="D181" s="8" t="s">
        <v>1430</v>
      </c>
      <c r="E181" s="5"/>
      <c r="F181" s="19"/>
      <c r="G181" s="15"/>
      <c r="H181" s="15"/>
      <c r="I181" s="16"/>
      <c r="J181" s="35">
        <v>38492.93</v>
      </c>
      <c r="K181" s="16"/>
      <c r="L181" s="18"/>
      <c r="M181" s="43">
        <v>1</v>
      </c>
    </row>
    <row r="182" spans="1:13" ht="50.1" customHeight="1" x14ac:dyDescent="0.2">
      <c r="A182" s="4" t="s">
        <v>989</v>
      </c>
      <c r="B182" s="4" t="s">
        <v>1431</v>
      </c>
      <c r="C182" s="49">
        <v>1108</v>
      </c>
      <c r="D182" s="8" t="s">
        <v>1430</v>
      </c>
      <c r="E182" s="5"/>
      <c r="F182" s="19"/>
      <c r="G182" s="15"/>
      <c r="H182" s="15"/>
      <c r="I182" s="16"/>
      <c r="J182" s="35">
        <v>38492.93</v>
      </c>
      <c r="K182" s="16"/>
      <c r="L182" s="18"/>
      <c r="M182" s="43">
        <v>1</v>
      </c>
    </row>
    <row r="183" spans="1:13" ht="50.1" customHeight="1" x14ac:dyDescent="0.2">
      <c r="A183" s="4" t="s">
        <v>540</v>
      </c>
      <c r="B183" s="4" t="s">
        <v>18</v>
      </c>
      <c r="C183" s="49" t="s">
        <v>751</v>
      </c>
      <c r="D183" s="4" t="s">
        <v>19</v>
      </c>
      <c r="E183" s="5">
        <v>14044</v>
      </c>
      <c r="F183" s="3" t="s">
        <v>470</v>
      </c>
      <c r="G183" s="15">
        <f t="shared" ref="G183:G193" si="20">IF(F183&gt;"15%",E183*F183,IF(E183&gt;=19990,F183*E183,IF(E183&gt;=9990,F183*E183+1000,F183*E183+700)))</f>
        <v>2544.84</v>
      </c>
      <c r="H183" s="15">
        <f t="shared" ref="H183:H214" si="21">IF(E183&gt;=19990,"ACTIVAR",0)</f>
        <v>0</v>
      </c>
      <c r="I183" s="16">
        <f t="shared" ref="I183:I204" si="22">E183-G183-H183</f>
        <v>11499.16</v>
      </c>
      <c r="J183" s="17">
        <v>10614.8</v>
      </c>
      <c r="K183" s="16">
        <f t="shared" ref="K183:K204" si="23">I183-J183</f>
        <v>884.36000000000058</v>
      </c>
      <c r="L183" s="18">
        <f t="shared" ref="L183:L204" si="24">K183/J183</f>
        <v>8.3313863662056814E-2</v>
      </c>
      <c r="M183" s="43">
        <v>12</v>
      </c>
    </row>
    <row r="184" spans="1:13" ht="50.1" customHeight="1" x14ac:dyDescent="0.2">
      <c r="A184" s="4" t="s">
        <v>540</v>
      </c>
      <c r="B184" s="4" t="s">
        <v>28</v>
      </c>
      <c r="C184" s="49" t="s">
        <v>752</v>
      </c>
      <c r="D184" s="4" t="s">
        <v>29</v>
      </c>
      <c r="E184" s="5">
        <v>5070</v>
      </c>
      <c r="F184" s="3" t="s">
        <v>471</v>
      </c>
      <c r="G184" s="15">
        <f t="shared" si="20"/>
        <v>861.90000000000009</v>
      </c>
      <c r="H184" s="15">
        <f t="shared" si="21"/>
        <v>0</v>
      </c>
      <c r="I184" s="16">
        <f t="shared" si="22"/>
        <v>4208.1000000000004</v>
      </c>
      <c r="J184" s="17">
        <v>3114.23</v>
      </c>
      <c r="K184" s="16">
        <f t="shared" si="23"/>
        <v>1093.8700000000003</v>
      </c>
      <c r="L184" s="18">
        <f t="shared" si="24"/>
        <v>0.35124894436184878</v>
      </c>
      <c r="M184" s="43">
        <v>6</v>
      </c>
    </row>
    <row r="185" spans="1:13" ht="50.1" customHeight="1" x14ac:dyDescent="0.2">
      <c r="A185" s="4" t="s">
        <v>540</v>
      </c>
      <c r="B185" s="4" t="s">
        <v>32</v>
      </c>
      <c r="C185" s="49" t="s">
        <v>753</v>
      </c>
      <c r="D185" s="4" t="s">
        <v>33</v>
      </c>
      <c r="E185" s="5">
        <v>11025</v>
      </c>
      <c r="F185" s="3" t="s">
        <v>468</v>
      </c>
      <c r="G185" s="15">
        <f t="shared" si="20"/>
        <v>1764</v>
      </c>
      <c r="H185" s="15">
        <f t="shared" si="21"/>
        <v>0</v>
      </c>
      <c r="I185" s="16">
        <f t="shared" si="22"/>
        <v>9261</v>
      </c>
      <c r="J185" s="37">
        <v>8573.9499999999989</v>
      </c>
      <c r="K185" s="16">
        <f t="shared" si="23"/>
        <v>687.05000000000109</v>
      </c>
      <c r="L185" s="18">
        <f t="shared" si="24"/>
        <v>8.0132261093195226E-2</v>
      </c>
      <c r="M185" s="43">
        <v>6</v>
      </c>
    </row>
    <row r="186" spans="1:13" ht="50.1" customHeight="1" x14ac:dyDescent="0.2">
      <c r="A186" s="4" t="s">
        <v>540</v>
      </c>
      <c r="B186" s="4" t="s">
        <v>38</v>
      </c>
      <c r="C186" s="49" t="s">
        <v>754</v>
      </c>
      <c r="D186" s="4" t="s">
        <v>39</v>
      </c>
      <c r="E186" s="5">
        <v>8772</v>
      </c>
      <c r="F186" s="3" t="s">
        <v>467</v>
      </c>
      <c r="G186" s="15">
        <f t="shared" si="20"/>
        <v>1578.96</v>
      </c>
      <c r="H186" s="15">
        <f t="shared" si="21"/>
        <v>0</v>
      </c>
      <c r="I186" s="16">
        <f t="shared" si="22"/>
        <v>7193.04</v>
      </c>
      <c r="J186" s="17">
        <v>5994.03</v>
      </c>
      <c r="K186" s="16">
        <f t="shared" si="23"/>
        <v>1199.0100000000002</v>
      </c>
      <c r="L186" s="18">
        <f t="shared" si="24"/>
        <v>0.20003403386369442</v>
      </c>
      <c r="M186" s="43">
        <v>6</v>
      </c>
    </row>
    <row r="187" spans="1:13" ht="50.1" customHeight="1" x14ac:dyDescent="0.2">
      <c r="A187" s="4" t="s">
        <v>540</v>
      </c>
      <c r="B187" s="4" t="s">
        <v>52</v>
      </c>
      <c r="C187" s="49" t="s">
        <v>755</v>
      </c>
      <c r="D187" s="4" t="s">
        <v>53</v>
      </c>
      <c r="E187" s="5">
        <v>9298</v>
      </c>
      <c r="F187" s="3" t="s">
        <v>467</v>
      </c>
      <c r="G187" s="15">
        <f t="shared" si="20"/>
        <v>1673.6399999999999</v>
      </c>
      <c r="H187" s="15">
        <f t="shared" si="21"/>
        <v>0</v>
      </c>
      <c r="I187" s="16">
        <f t="shared" si="22"/>
        <v>7624.3600000000006</v>
      </c>
      <c r="J187" s="17">
        <v>6354.5999999999995</v>
      </c>
      <c r="K187" s="16">
        <f t="shared" si="23"/>
        <v>1269.7600000000011</v>
      </c>
      <c r="L187" s="18">
        <f t="shared" si="24"/>
        <v>0.19981745507191659</v>
      </c>
      <c r="M187" s="43">
        <v>3</v>
      </c>
    </row>
    <row r="188" spans="1:13" ht="50.1" customHeight="1" x14ac:dyDescent="0.2">
      <c r="A188" s="4" t="s">
        <v>540</v>
      </c>
      <c r="B188" s="4" t="s">
        <v>71</v>
      </c>
      <c r="C188" s="49" t="s">
        <v>752</v>
      </c>
      <c r="D188" s="4" t="s">
        <v>29</v>
      </c>
      <c r="E188" s="5">
        <v>4503</v>
      </c>
      <c r="F188" s="3" t="s">
        <v>471</v>
      </c>
      <c r="G188" s="15">
        <f t="shared" si="20"/>
        <v>765.5100000000001</v>
      </c>
      <c r="H188" s="15">
        <f t="shared" si="21"/>
        <v>0</v>
      </c>
      <c r="I188" s="16">
        <f t="shared" si="22"/>
        <v>3737.49</v>
      </c>
      <c r="J188" s="17">
        <v>3114.23</v>
      </c>
      <c r="K188" s="16">
        <f t="shared" si="23"/>
        <v>623.25999999999976</v>
      </c>
      <c r="L188" s="18">
        <f t="shared" si="24"/>
        <v>0.20013293815806787</v>
      </c>
      <c r="M188" s="43">
        <v>6</v>
      </c>
    </row>
    <row r="189" spans="1:13" ht="50.1" customHeight="1" x14ac:dyDescent="0.2">
      <c r="A189" s="4" t="s">
        <v>540</v>
      </c>
      <c r="B189" s="4" t="s">
        <v>82</v>
      </c>
      <c r="C189" s="49" t="s">
        <v>755</v>
      </c>
      <c r="D189" s="4" t="s">
        <v>53</v>
      </c>
      <c r="E189" s="5">
        <v>9298</v>
      </c>
      <c r="F189" s="3" t="s">
        <v>467</v>
      </c>
      <c r="G189" s="15">
        <f t="shared" si="20"/>
        <v>1673.6399999999999</v>
      </c>
      <c r="H189" s="15">
        <f t="shared" si="21"/>
        <v>0</v>
      </c>
      <c r="I189" s="16">
        <f t="shared" si="22"/>
        <v>7624.3600000000006</v>
      </c>
      <c r="J189" s="17">
        <v>6354.5999999999995</v>
      </c>
      <c r="K189" s="16">
        <f t="shared" si="23"/>
        <v>1269.7600000000011</v>
      </c>
      <c r="L189" s="18">
        <f t="shared" si="24"/>
        <v>0.19981745507191659</v>
      </c>
      <c r="M189" s="43">
        <v>3</v>
      </c>
    </row>
    <row r="190" spans="1:13" ht="50.1" customHeight="1" x14ac:dyDescent="0.2">
      <c r="A190" s="4" t="s">
        <v>540</v>
      </c>
      <c r="B190" s="4" t="s">
        <v>149</v>
      </c>
      <c r="C190" s="49" t="s">
        <v>753</v>
      </c>
      <c r="D190" s="8" t="s">
        <v>33</v>
      </c>
      <c r="E190" s="5">
        <v>11025</v>
      </c>
      <c r="F190" s="3" t="s">
        <v>468</v>
      </c>
      <c r="G190" s="15">
        <f t="shared" si="20"/>
        <v>1764</v>
      </c>
      <c r="H190" s="15">
        <f t="shared" si="21"/>
        <v>0</v>
      </c>
      <c r="I190" s="16">
        <f t="shared" si="22"/>
        <v>9261</v>
      </c>
      <c r="J190" s="37">
        <v>8573.9499999999989</v>
      </c>
      <c r="K190" s="16">
        <f t="shared" si="23"/>
        <v>687.05000000000109</v>
      </c>
      <c r="L190" s="18">
        <f t="shared" si="24"/>
        <v>8.0132261093195226E-2</v>
      </c>
      <c r="M190" s="43">
        <v>6</v>
      </c>
    </row>
    <row r="191" spans="1:13" ht="50.1" customHeight="1" x14ac:dyDescent="0.2">
      <c r="A191" s="4" t="s">
        <v>540</v>
      </c>
      <c r="B191" s="4" t="s">
        <v>150</v>
      </c>
      <c r="C191" s="49" t="s">
        <v>754</v>
      </c>
      <c r="D191" s="8" t="s">
        <v>39</v>
      </c>
      <c r="E191" s="5">
        <v>8772</v>
      </c>
      <c r="F191" s="3" t="s">
        <v>467</v>
      </c>
      <c r="G191" s="15">
        <f t="shared" si="20"/>
        <v>1578.96</v>
      </c>
      <c r="H191" s="15">
        <f t="shared" si="21"/>
        <v>0</v>
      </c>
      <c r="I191" s="16">
        <f t="shared" si="22"/>
        <v>7193.04</v>
      </c>
      <c r="J191" s="17">
        <v>5994.03</v>
      </c>
      <c r="K191" s="16">
        <f t="shared" si="23"/>
        <v>1199.0100000000002</v>
      </c>
      <c r="L191" s="18">
        <f t="shared" si="24"/>
        <v>0.20003403386369442</v>
      </c>
      <c r="M191" s="43">
        <v>6</v>
      </c>
    </row>
    <row r="192" spans="1:13" ht="50.1" customHeight="1" x14ac:dyDescent="0.2">
      <c r="A192" s="4" t="s">
        <v>540</v>
      </c>
      <c r="B192" s="4" t="s">
        <v>153</v>
      </c>
      <c r="C192" s="49" t="s">
        <v>751</v>
      </c>
      <c r="D192" s="8" t="s">
        <v>154</v>
      </c>
      <c r="E192" s="5">
        <v>15436</v>
      </c>
      <c r="F192" s="3" t="s">
        <v>470</v>
      </c>
      <c r="G192" s="15">
        <f t="shared" si="20"/>
        <v>2697.96</v>
      </c>
      <c r="H192" s="15">
        <f t="shared" si="21"/>
        <v>0</v>
      </c>
      <c r="I192" s="16">
        <f t="shared" si="22"/>
        <v>12738.04</v>
      </c>
      <c r="J192" s="17">
        <v>10614.8</v>
      </c>
      <c r="K192" s="16">
        <f t="shared" si="23"/>
        <v>2123.2400000000016</v>
      </c>
      <c r="L192" s="18">
        <f t="shared" si="24"/>
        <v>0.20002637826431038</v>
      </c>
      <c r="M192" s="43">
        <v>12</v>
      </c>
    </row>
    <row r="193" spans="1:13" ht="50.1" customHeight="1" x14ac:dyDescent="0.2">
      <c r="A193" s="4" t="s">
        <v>540</v>
      </c>
      <c r="B193" s="4" t="s">
        <v>245</v>
      </c>
      <c r="C193" s="49" t="s">
        <v>756</v>
      </c>
      <c r="D193" s="4" t="s">
        <v>246</v>
      </c>
      <c r="E193" s="5">
        <v>5981</v>
      </c>
      <c r="F193" s="3" t="s">
        <v>474</v>
      </c>
      <c r="G193" s="15">
        <f t="shared" si="20"/>
        <v>1196.2</v>
      </c>
      <c r="H193" s="15">
        <f t="shared" si="21"/>
        <v>0</v>
      </c>
      <c r="I193" s="16">
        <f t="shared" si="22"/>
        <v>4784.8</v>
      </c>
      <c r="J193" s="17">
        <v>3950.7999999999997</v>
      </c>
      <c r="K193" s="16">
        <f t="shared" si="23"/>
        <v>834.00000000000045</v>
      </c>
      <c r="L193" s="18">
        <f t="shared" si="24"/>
        <v>0.21109648678748621</v>
      </c>
      <c r="M193" s="43">
        <v>12</v>
      </c>
    </row>
    <row r="194" spans="1:13" ht="50.1" customHeight="1" x14ac:dyDescent="0.2">
      <c r="A194" s="4" t="s">
        <v>540</v>
      </c>
      <c r="B194" s="4" t="s">
        <v>247</v>
      </c>
      <c r="C194" s="49" t="s">
        <v>1086</v>
      </c>
      <c r="D194" s="4" t="s">
        <v>248</v>
      </c>
      <c r="E194" s="5">
        <v>10990</v>
      </c>
      <c r="F194" s="3" t="s">
        <v>468</v>
      </c>
      <c r="G194" s="15">
        <f>IF(F194&gt;"15%",E194*F194,IF(E194&gt;=19990,F194*E194,IF(E194&gt;=9990,F194*E194+1000,F194*E194+700)))+1000</f>
        <v>2758.4</v>
      </c>
      <c r="H194" s="15">
        <f t="shared" si="21"/>
        <v>0</v>
      </c>
      <c r="I194" s="16">
        <f t="shared" si="22"/>
        <v>8231.6</v>
      </c>
      <c r="J194" s="17">
        <v>7013.86</v>
      </c>
      <c r="K194" s="16">
        <f t="shared" si="23"/>
        <v>1217.7400000000007</v>
      </c>
      <c r="L194" s="18">
        <f t="shared" si="24"/>
        <v>0.1736190913420001</v>
      </c>
      <c r="M194" s="43">
        <v>6</v>
      </c>
    </row>
    <row r="195" spans="1:13" ht="50.1" customHeight="1" x14ac:dyDescent="0.2">
      <c r="A195" s="4" t="s">
        <v>540</v>
      </c>
      <c r="B195" s="4" t="s">
        <v>253</v>
      </c>
      <c r="C195" s="49" t="s">
        <v>757</v>
      </c>
      <c r="D195" s="4" t="s">
        <v>254</v>
      </c>
      <c r="E195" s="5">
        <v>7653</v>
      </c>
      <c r="F195" s="3" t="s">
        <v>471</v>
      </c>
      <c r="G195" s="15">
        <f>IF(F195&gt;"15%",E195*F195,IF(E195&gt;=19990,F195*E195,IF(E195&gt;=9990,F195*E195+1000,F195*E195+700)))</f>
        <v>1301.01</v>
      </c>
      <c r="H195" s="15">
        <f t="shared" si="21"/>
        <v>0</v>
      </c>
      <c r="I195" s="16">
        <f t="shared" si="22"/>
        <v>6351.99</v>
      </c>
      <c r="J195" s="17">
        <v>4830.21</v>
      </c>
      <c r="K195" s="16">
        <f t="shared" si="23"/>
        <v>1521.7799999999997</v>
      </c>
      <c r="L195" s="18">
        <f t="shared" si="24"/>
        <v>0.31505462495419451</v>
      </c>
      <c r="M195" s="43">
        <v>6</v>
      </c>
    </row>
    <row r="196" spans="1:13" ht="50.1" customHeight="1" x14ac:dyDescent="0.2">
      <c r="A196" s="4" t="s">
        <v>540</v>
      </c>
      <c r="B196" s="4" t="s">
        <v>262</v>
      </c>
      <c r="C196" s="49" t="s">
        <v>1083</v>
      </c>
      <c r="D196" s="4" t="s">
        <v>263</v>
      </c>
      <c r="E196" s="5">
        <v>10255</v>
      </c>
      <c r="F196" s="3" t="s">
        <v>468</v>
      </c>
      <c r="G196" s="15">
        <f>IF(F196&gt;"15%",E196*F196,IF(E196&gt;=19990,F196*E196,IF(E196&gt;=9990,F196*E196+1000,F196*E196+700)))</f>
        <v>1640.8</v>
      </c>
      <c r="H196" s="15">
        <f t="shared" si="21"/>
        <v>0</v>
      </c>
      <c r="I196" s="16">
        <f t="shared" si="22"/>
        <v>8614.2000000000007</v>
      </c>
      <c r="J196" s="17">
        <v>6713.98</v>
      </c>
      <c r="K196" s="16">
        <f t="shared" si="23"/>
        <v>1900.2200000000012</v>
      </c>
      <c r="L196" s="18">
        <f t="shared" si="24"/>
        <v>0.28302437600350333</v>
      </c>
      <c r="M196" s="43">
        <v>6</v>
      </c>
    </row>
    <row r="197" spans="1:13" ht="50.1" customHeight="1" x14ac:dyDescent="0.2">
      <c r="A197" s="4" t="s">
        <v>540</v>
      </c>
      <c r="B197" s="4" t="s">
        <v>341</v>
      </c>
      <c r="C197" s="49" t="s">
        <v>757</v>
      </c>
      <c r="D197" s="8" t="s">
        <v>254</v>
      </c>
      <c r="E197" s="5">
        <v>7653</v>
      </c>
      <c r="F197" s="3" t="s">
        <v>471</v>
      </c>
      <c r="G197" s="15">
        <f>IF(F197&gt;"15%",E197*F197,IF(E197&gt;=19990,F197*E197,IF(E197&gt;=9990,F197*E197+1000,F197*E197+700)))</f>
        <v>1301.01</v>
      </c>
      <c r="H197" s="15">
        <f t="shared" si="21"/>
        <v>0</v>
      </c>
      <c r="I197" s="16">
        <f t="shared" si="22"/>
        <v>6351.99</v>
      </c>
      <c r="J197" s="17">
        <v>4830.21</v>
      </c>
      <c r="K197" s="16">
        <f t="shared" si="23"/>
        <v>1521.7799999999997</v>
      </c>
      <c r="L197" s="18">
        <f t="shared" si="24"/>
        <v>0.31505462495419451</v>
      </c>
      <c r="M197" s="43">
        <v>6</v>
      </c>
    </row>
    <row r="198" spans="1:13" ht="50.1" customHeight="1" x14ac:dyDescent="0.2">
      <c r="A198" s="4" t="s">
        <v>540</v>
      </c>
      <c r="B198" s="4" t="s">
        <v>346</v>
      </c>
      <c r="C198" s="49" t="s">
        <v>1083</v>
      </c>
      <c r="D198" s="8" t="s">
        <v>263</v>
      </c>
      <c r="E198" s="5">
        <v>10255</v>
      </c>
      <c r="F198" s="3" t="s">
        <v>468</v>
      </c>
      <c r="G198" s="15">
        <f>IF(F198&gt;"15%",E198*F198,IF(E198&gt;=19990,F198*E198,IF(E198&gt;=9990,F198*E198+1000,F198*E198+700)))</f>
        <v>1640.8</v>
      </c>
      <c r="H198" s="15">
        <f t="shared" si="21"/>
        <v>0</v>
      </c>
      <c r="I198" s="16">
        <f t="shared" si="22"/>
        <v>8614.2000000000007</v>
      </c>
      <c r="J198" s="17">
        <v>6713.98</v>
      </c>
      <c r="K198" s="16">
        <f t="shared" si="23"/>
        <v>1900.2200000000012</v>
      </c>
      <c r="L198" s="18">
        <f t="shared" si="24"/>
        <v>0.28302437600350333</v>
      </c>
      <c r="M198" s="43">
        <v>6</v>
      </c>
    </row>
    <row r="199" spans="1:13" ht="50.1" customHeight="1" x14ac:dyDescent="0.2">
      <c r="A199" s="4" t="s">
        <v>540</v>
      </c>
      <c r="B199" s="4" t="s">
        <v>353</v>
      </c>
      <c r="C199" s="49" t="s">
        <v>756</v>
      </c>
      <c r="D199" s="8" t="s">
        <v>246</v>
      </c>
      <c r="E199" s="5">
        <v>5981</v>
      </c>
      <c r="F199" s="3" t="s">
        <v>474</v>
      </c>
      <c r="G199" s="15">
        <f>IF(F199&gt;"15%",E199*F199,IF(E199&gt;=19990,F199*E199,IF(E199&gt;=9990,F199*E199+1000,F199*E199+700)))</f>
        <v>1196.2</v>
      </c>
      <c r="H199" s="15">
        <f t="shared" si="21"/>
        <v>0</v>
      </c>
      <c r="I199" s="16">
        <f t="shared" si="22"/>
        <v>4784.8</v>
      </c>
      <c r="J199" s="17">
        <v>3950.7999999999997</v>
      </c>
      <c r="K199" s="16">
        <f t="shared" si="23"/>
        <v>834.00000000000045</v>
      </c>
      <c r="L199" s="18">
        <f t="shared" si="24"/>
        <v>0.21109648678748621</v>
      </c>
      <c r="M199" s="43">
        <v>12</v>
      </c>
    </row>
    <row r="200" spans="1:13" ht="50.1" customHeight="1" x14ac:dyDescent="0.2">
      <c r="A200" s="4" t="s">
        <v>540</v>
      </c>
      <c r="B200" s="4" t="s">
        <v>485</v>
      </c>
      <c r="C200" s="49" t="s">
        <v>946</v>
      </c>
      <c r="D200" s="8" t="s">
        <v>518</v>
      </c>
      <c r="E200" s="5">
        <v>9980</v>
      </c>
      <c r="F200" s="19">
        <v>0.12</v>
      </c>
      <c r="G200" s="15">
        <f>E200*F200+700</f>
        <v>1897.6</v>
      </c>
      <c r="H200" s="15">
        <f t="shared" si="21"/>
        <v>0</v>
      </c>
      <c r="I200" s="16">
        <f t="shared" si="22"/>
        <v>8082.4</v>
      </c>
      <c r="J200" s="17">
        <v>7794.5</v>
      </c>
      <c r="K200" s="16">
        <f t="shared" si="23"/>
        <v>287.89999999999964</v>
      </c>
      <c r="L200" s="18">
        <f t="shared" si="24"/>
        <v>3.6936301238052423E-2</v>
      </c>
      <c r="M200" s="43">
        <v>6</v>
      </c>
    </row>
    <row r="201" spans="1:13" ht="50.1" customHeight="1" x14ac:dyDescent="0.2">
      <c r="A201" s="4" t="s">
        <v>540</v>
      </c>
      <c r="B201" s="4" t="s">
        <v>486</v>
      </c>
      <c r="C201" s="49" t="s">
        <v>946</v>
      </c>
      <c r="D201" s="8" t="s">
        <v>518</v>
      </c>
      <c r="E201" s="5">
        <v>9980</v>
      </c>
      <c r="F201" s="19">
        <v>0.12</v>
      </c>
      <c r="G201" s="15">
        <f>E201*F201+700</f>
        <v>1897.6</v>
      </c>
      <c r="H201" s="15">
        <f t="shared" si="21"/>
        <v>0</v>
      </c>
      <c r="I201" s="16">
        <f t="shared" si="22"/>
        <v>8082.4</v>
      </c>
      <c r="J201" s="17">
        <v>7794.5</v>
      </c>
      <c r="K201" s="16">
        <f t="shared" si="23"/>
        <v>287.89999999999964</v>
      </c>
      <c r="L201" s="18">
        <f t="shared" si="24"/>
        <v>3.6936301238052423E-2</v>
      </c>
      <c r="M201" s="43">
        <v>6</v>
      </c>
    </row>
    <row r="202" spans="1:13" ht="50.1" customHeight="1" x14ac:dyDescent="0.2">
      <c r="A202" s="4" t="s">
        <v>540</v>
      </c>
      <c r="B202" s="4" t="s">
        <v>487</v>
      </c>
      <c r="C202" s="49" t="s">
        <v>758</v>
      </c>
      <c r="D202" s="8" t="s">
        <v>519</v>
      </c>
      <c r="E202" s="5">
        <v>4500</v>
      </c>
      <c r="F202" s="19">
        <v>0.16</v>
      </c>
      <c r="G202" s="15">
        <f t="shared" ref="G202:G215" si="25">E202*F202</f>
        <v>720</v>
      </c>
      <c r="H202" s="15">
        <f t="shared" si="21"/>
        <v>0</v>
      </c>
      <c r="I202" s="16">
        <f t="shared" si="22"/>
        <v>3780</v>
      </c>
      <c r="J202" s="17">
        <v>3292.73</v>
      </c>
      <c r="K202" s="16">
        <f t="shared" si="23"/>
        <v>487.27</v>
      </c>
      <c r="L202" s="18">
        <f t="shared" si="24"/>
        <v>0.14798358808648143</v>
      </c>
      <c r="M202" s="43">
        <v>1</v>
      </c>
    </row>
    <row r="203" spans="1:13" ht="50.1" customHeight="1" x14ac:dyDescent="0.2">
      <c r="A203" s="4" t="s">
        <v>540</v>
      </c>
      <c r="B203" s="4" t="s">
        <v>488</v>
      </c>
      <c r="C203" s="49" t="s">
        <v>758</v>
      </c>
      <c r="D203" s="8" t="s">
        <v>519</v>
      </c>
      <c r="E203" s="5">
        <v>4617</v>
      </c>
      <c r="F203" s="19">
        <v>0.16</v>
      </c>
      <c r="G203" s="15">
        <f t="shared" si="25"/>
        <v>738.72</v>
      </c>
      <c r="H203" s="15">
        <f t="shared" si="21"/>
        <v>0</v>
      </c>
      <c r="I203" s="16">
        <f t="shared" si="22"/>
        <v>3878.2799999999997</v>
      </c>
      <c r="J203" s="17">
        <v>3292.73</v>
      </c>
      <c r="K203" s="16">
        <f t="shared" si="23"/>
        <v>585.54999999999973</v>
      </c>
      <c r="L203" s="18">
        <f t="shared" si="24"/>
        <v>0.17783116137672986</v>
      </c>
      <c r="M203" s="43">
        <v>1</v>
      </c>
    </row>
    <row r="204" spans="1:13" ht="50.1" customHeight="1" x14ac:dyDescent="0.2">
      <c r="A204" s="4" t="s">
        <v>540</v>
      </c>
      <c r="B204" s="4" t="s">
        <v>489</v>
      </c>
      <c r="C204" s="49" t="s">
        <v>1078</v>
      </c>
      <c r="D204" s="8" t="s">
        <v>520</v>
      </c>
      <c r="E204" s="5">
        <v>4790</v>
      </c>
      <c r="F204" s="19">
        <v>0.16</v>
      </c>
      <c r="G204" s="15">
        <f t="shared" si="25"/>
        <v>766.4</v>
      </c>
      <c r="H204" s="15">
        <f t="shared" si="21"/>
        <v>0</v>
      </c>
      <c r="I204" s="16">
        <f t="shared" si="22"/>
        <v>4023.6</v>
      </c>
      <c r="J204" s="17">
        <v>3834.18</v>
      </c>
      <c r="K204" s="16">
        <f t="shared" si="23"/>
        <v>189.42000000000007</v>
      </c>
      <c r="L204" s="18">
        <f t="shared" si="24"/>
        <v>4.9403001424033324E-2</v>
      </c>
      <c r="M204" s="43">
        <v>1</v>
      </c>
    </row>
    <row r="205" spans="1:13" ht="50.1" customHeight="1" x14ac:dyDescent="0.2">
      <c r="A205" s="4" t="s">
        <v>540</v>
      </c>
      <c r="B205" s="4" t="s">
        <v>490</v>
      </c>
      <c r="C205" s="49" t="s">
        <v>1078</v>
      </c>
      <c r="D205" s="8" t="s">
        <v>520</v>
      </c>
      <c r="E205" s="5">
        <v>4790</v>
      </c>
      <c r="F205" s="19">
        <v>0.16</v>
      </c>
      <c r="G205" s="15">
        <f t="shared" si="25"/>
        <v>766.4</v>
      </c>
      <c r="H205" s="15">
        <f t="shared" si="21"/>
        <v>0</v>
      </c>
      <c r="I205" s="16">
        <f t="shared" ref="I205:I258" si="26">E205-G205-H205</f>
        <v>4023.6</v>
      </c>
      <c r="J205" s="17">
        <v>3834.18</v>
      </c>
      <c r="K205" s="16">
        <f t="shared" ref="K205:K258" si="27">I205-J205</f>
        <v>189.42000000000007</v>
      </c>
      <c r="L205" s="18">
        <f t="shared" ref="L205:L258" si="28">K205/J205</f>
        <v>4.9403001424033324E-2</v>
      </c>
      <c r="M205" s="43">
        <v>1</v>
      </c>
    </row>
    <row r="206" spans="1:13" ht="50.1" customHeight="1" x14ac:dyDescent="0.2">
      <c r="A206" s="4" t="s">
        <v>540</v>
      </c>
      <c r="B206" s="4" t="s">
        <v>493</v>
      </c>
      <c r="C206" s="49">
        <v>3504105036126</v>
      </c>
      <c r="D206" s="8" t="s">
        <v>522</v>
      </c>
      <c r="E206" s="5">
        <v>5513</v>
      </c>
      <c r="F206" s="19">
        <v>0.16</v>
      </c>
      <c r="G206" s="15">
        <f t="shared" si="25"/>
        <v>882.08</v>
      </c>
      <c r="H206" s="15">
        <f t="shared" si="21"/>
        <v>0</v>
      </c>
      <c r="I206" s="16">
        <f t="shared" si="26"/>
        <v>4630.92</v>
      </c>
      <c r="J206" s="17">
        <v>3749.69</v>
      </c>
      <c r="K206" s="16">
        <f t="shared" si="27"/>
        <v>881.23</v>
      </c>
      <c r="L206" s="18">
        <f t="shared" si="28"/>
        <v>0.23501409449847854</v>
      </c>
      <c r="M206" s="43">
        <v>3</v>
      </c>
    </row>
    <row r="207" spans="1:13" ht="50.1" customHeight="1" x14ac:dyDescent="0.2">
      <c r="A207" s="4" t="s">
        <v>540</v>
      </c>
      <c r="B207" s="4" t="s">
        <v>494</v>
      </c>
      <c r="C207" s="49">
        <v>3504105036126</v>
      </c>
      <c r="D207" s="8" t="s">
        <v>522</v>
      </c>
      <c r="E207" s="5">
        <v>5356</v>
      </c>
      <c r="F207" s="19">
        <v>0.16</v>
      </c>
      <c r="G207" s="15">
        <f t="shared" si="25"/>
        <v>856.96</v>
      </c>
      <c r="H207" s="15">
        <f t="shared" si="21"/>
        <v>0</v>
      </c>
      <c r="I207" s="16">
        <f t="shared" si="26"/>
        <v>4499.04</v>
      </c>
      <c r="J207" s="17">
        <v>3749.69</v>
      </c>
      <c r="K207" s="16">
        <f t="shared" si="27"/>
        <v>749.34999999999991</v>
      </c>
      <c r="L207" s="18">
        <f t="shared" si="28"/>
        <v>0.19984318703679502</v>
      </c>
      <c r="M207" s="43">
        <v>3</v>
      </c>
    </row>
    <row r="208" spans="1:13" ht="50.1" customHeight="1" x14ac:dyDescent="0.2">
      <c r="A208" s="4" t="s">
        <v>540</v>
      </c>
      <c r="B208" s="4" t="s">
        <v>495</v>
      </c>
      <c r="C208" s="49" t="s">
        <v>1081</v>
      </c>
      <c r="D208" s="8" t="s">
        <v>523</v>
      </c>
      <c r="E208" s="5">
        <v>6876</v>
      </c>
      <c r="F208" s="19">
        <v>0.16</v>
      </c>
      <c r="G208" s="15">
        <f t="shared" si="25"/>
        <v>1100.1600000000001</v>
      </c>
      <c r="H208" s="15">
        <f t="shared" si="21"/>
        <v>0</v>
      </c>
      <c r="I208" s="16">
        <f t="shared" si="26"/>
        <v>5775.84</v>
      </c>
      <c r="J208" s="17">
        <v>4493.4399999999996</v>
      </c>
      <c r="K208" s="16">
        <f t="shared" si="27"/>
        <v>1282.4000000000005</v>
      </c>
      <c r="L208" s="18">
        <f t="shared" si="28"/>
        <v>0.28539381854436707</v>
      </c>
      <c r="M208" s="43">
        <v>1</v>
      </c>
    </row>
    <row r="209" spans="1:13" ht="50.1" customHeight="1" x14ac:dyDescent="0.2">
      <c r="A209" s="4" t="s">
        <v>540</v>
      </c>
      <c r="B209" s="4" t="s">
        <v>496</v>
      </c>
      <c r="C209" s="49" t="s">
        <v>1081</v>
      </c>
      <c r="D209" s="8" t="s">
        <v>523</v>
      </c>
      <c r="E209" s="5">
        <v>6876</v>
      </c>
      <c r="F209" s="19">
        <v>0.16</v>
      </c>
      <c r="G209" s="15">
        <f t="shared" si="25"/>
        <v>1100.1600000000001</v>
      </c>
      <c r="H209" s="15">
        <f t="shared" si="21"/>
        <v>0</v>
      </c>
      <c r="I209" s="16">
        <f t="shared" si="26"/>
        <v>5775.84</v>
      </c>
      <c r="J209" s="17">
        <v>4493.4399999999996</v>
      </c>
      <c r="K209" s="16">
        <f t="shared" si="27"/>
        <v>1282.4000000000005</v>
      </c>
      <c r="L209" s="18">
        <f t="shared" si="28"/>
        <v>0.28539381854436707</v>
      </c>
      <c r="M209" s="43">
        <v>1</v>
      </c>
    </row>
    <row r="210" spans="1:13" ht="50.1" customHeight="1" x14ac:dyDescent="0.2">
      <c r="A210" s="4" t="s">
        <v>540</v>
      </c>
      <c r="B210" s="4" t="s">
        <v>497</v>
      </c>
      <c r="C210" s="49" t="s">
        <v>1080</v>
      </c>
      <c r="D210" s="8" t="s">
        <v>524</v>
      </c>
      <c r="E210" s="5">
        <v>11826</v>
      </c>
      <c r="F210" s="19">
        <v>0.16</v>
      </c>
      <c r="G210" s="15">
        <f t="shared" si="25"/>
        <v>1892.16</v>
      </c>
      <c r="H210" s="15">
        <f t="shared" si="21"/>
        <v>0</v>
      </c>
      <c r="I210" s="16">
        <f t="shared" si="26"/>
        <v>9933.84</v>
      </c>
      <c r="J210" s="17">
        <v>7723.0999999999995</v>
      </c>
      <c r="K210" s="16">
        <f t="shared" si="27"/>
        <v>2210.7400000000007</v>
      </c>
      <c r="L210" s="18">
        <f t="shared" si="28"/>
        <v>0.28625033988942278</v>
      </c>
      <c r="M210" s="43">
        <v>6</v>
      </c>
    </row>
    <row r="211" spans="1:13" ht="50.1" customHeight="1" x14ac:dyDescent="0.2">
      <c r="A211" s="4" t="s">
        <v>540</v>
      </c>
      <c r="B211" s="4" t="s">
        <v>498</v>
      </c>
      <c r="C211" s="49" t="s">
        <v>1080</v>
      </c>
      <c r="D211" s="8" t="s">
        <v>524</v>
      </c>
      <c r="E211" s="5">
        <v>11826</v>
      </c>
      <c r="F211" s="19">
        <v>0.16</v>
      </c>
      <c r="G211" s="15">
        <f t="shared" si="25"/>
        <v>1892.16</v>
      </c>
      <c r="H211" s="15">
        <f t="shared" si="21"/>
        <v>0</v>
      </c>
      <c r="I211" s="16">
        <f t="shared" si="26"/>
        <v>9933.84</v>
      </c>
      <c r="J211" s="17">
        <v>7723.0999999999995</v>
      </c>
      <c r="K211" s="16">
        <f t="shared" si="27"/>
        <v>2210.7400000000007</v>
      </c>
      <c r="L211" s="18">
        <f t="shared" si="28"/>
        <v>0.28625033988942278</v>
      </c>
      <c r="M211" s="43">
        <v>6</v>
      </c>
    </row>
    <row r="212" spans="1:13" ht="50.1" customHeight="1" x14ac:dyDescent="0.2">
      <c r="A212" s="4" t="s">
        <v>540</v>
      </c>
      <c r="B212" s="4" t="s">
        <v>499</v>
      </c>
      <c r="C212" s="49" t="s">
        <v>759</v>
      </c>
      <c r="D212" s="8" t="s">
        <v>525</v>
      </c>
      <c r="E212" s="5">
        <v>12618</v>
      </c>
      <c r="F212" s="19">
        <v>0.16</v>
      </c>
      <c r="G212" s="15">
        <f t="shared" si="25"/>
        <v>2018.88</v>
      </c>
      <c r="H212" s="15">
        <f t="shared" si="21"/>
        <v>0</v>
      </c>
      <c r="I212" s="16">
        <f t="shared" si="26"/>
        <v>10599.119999999999</v>
      </c>
      <c r="J212" s="17">
        <v>8274.07</v>
      </c>
      <c r="K212" s="16">
        <f t="shared" si="27"/>
        <v>2325.0499999999993</v>
      </c>
      <c r="L212" s="18">
        <f t="shared" si="28"/>
        <v>0.28100439082579665</v>
      </c>
      <c r="M212" s="43">
        <v>1</v>
      </c>
    </row>
    <row r="213" spans="1:13" ht="50.1" customHeight="1" x14ac:dyDescent="0.2">
      <c r="A213" s="4" t="s">
        <v>540</v>
      </c>
      <c r="B213" s="4" t="s">
        <v>500</v>
      </c>
      <c r="C213" s="49" t="s">
        <v>759</v>
      </c>
      <c r="D213" s="8" t="s">
        <v>525</v>
      </c>
      <c r="E213" s="5">
        <v>12618</v>
      </c>
      <c r="F213" s="19">
        <v>0.16</v>
      </c>
      <c r="G213" s="15">
        <f t="shared" si="25"/>
        <v>2018.88</v>
      </c>
      <c r="H213" s="15">
        <f t="shared" si="21"/>
        <v>0</v>
      </c>
      <c r="I213" s="16">
        <f t="shared" si="26"/>
        <v>10599.119999999999</v>
      </c>
      <c r="J213" s="17">
        <v>8274.07</v>
      </c>
      <c r="K213" s="16">
        <f t="shared" si="27"/>
        <v>2325.0499999999993</v>
      </c>
      <c r="L213" s="18">
        <f t="shared" si="28"/>
        <v>0.28100439082579665</v>
      </c>
      <c r="M213" s="43">
        <v>1</v>
      </c>
    </row>
    <row r="214" spans="1:13" ht="50.1" customHeight="1" x14ac:dyDescent="0.2">
      <c r="A214" s="4" t="s">
        <v>540</v>
      </c>
      <c r="B214" s="4" t="s">
        <v>501</v>
      </c>
      <c r="C214" s="49" t="s">
        <v>760</v>
      </c>
      <c r="D214" s="8" t="s">
        <v>526</v>
      </c>
      <c r="E214" s="5">
        <v>8490</v>
      </c>
      <c r="F214" s="19">
        <v>0.16</v>
      </c>
      <c r="G214" s="15">
        <f t="shared" si="25"/>
        <v>1358.4</v>
      </c>
      <c r="H214" s="15">
        <f t="shared" si="21"/>
        <v>0</v>
      </c>
      <c r="I214" s="16">
        <f t="shared" si="26"/>
        <v>7131.6</v>
      </c>
      <c r="J214" s="17">
        <v>4799.2699999999995</v>
      </c>
      <c r="K214" s="16">
        <f t="shared" si="27"/>
        <v>2332.3300000000008</v>
      </c>
      <c r="L214" s="18">
        <f t="shared" si="28"/>
        <v>0.4859759921821446</v>
      </c>
      <c r="M214" s="43">
        <v>3</v>
      </c>
    </row>
    <row r="215" spans="1:13" ht="50.1" customHeight="1" x14ac:dyDescent="0.2">
      <c r="A215" s="4" t="s">
        <v>540</v>
      </c>
      <c r="B215" s="4" t="s">
        <v>502</v>
      </c>
      <c r="C215" s="49" t="s">
        <v>760</v>
      </c>
      <c r="D215" s="8" t="s">
        <v>526</v>
      </c>
      <c r="E215" s="5">
        <v>8490</v>
      </c>
      <c r="F215" s="19">
        <v>0.16</v>
      </c>
      <c r="G215" s="15">
        <f t="shared" si="25"/>
        <v>1358.4</v>
      </c>
      <c r="H215" s="15">
        <f t="shared" ref="H215:H240" si="29">IF(E215&gt;=19990,"ACTIVAR",0)</f>
        <v>0</v>
      </c>
      <c r="I215" s="16">
        <f t="shared" si="26"/>
        <v>7131.6</v>
      </c>
      <c r="J215" s="17">
        <v>4799.2699999999995</v>
      </c>
      <c r="K215" s="16">
        <f t="shared" si="27"/>
        <v>2332.3300000000008</v>
      </c>
      <c r="L215" s="18">
        <f t="shared" si="28"/>
        <v>0.4859759921821446</v>
      </c>
      <c r="M215" s="43">
        <v>3</v>
      </c>
    </row>
    <row r="216" spans="1:13" ht="50.1" customHeight="1" x14ac:dyDescent="0.2">
      <c r="A216" s="4" t="s">
        <v>540</v>
      </c>
      <c r="B216" s="4" t="s">
        <v>503</v>
      </c>
      <c r="C216" s="49">
        <v>736658953275</v>
      </c>
      <c r="D216" s="8" t="s">
        <v>527</v>
      </c>
      <c r="E216" s="5">
        <v>11990</v>
      </c>
      <c r="F216" s="19">
        <v>0.13</v>
      </c>
      <c r="G216" s="15">
        <f>E216*F216+1000</f>
        <v>2558.6999999999998</v>
      </c>
      <c r="H216" s="15">
        <f t="shared" si="29"/>
        <v>0</v>
      </c>
      <c r="I216" s="16">
        <f t="shared" si="26"/>
        <v>9431.2999999999993</v>
      </c>
      <c r="J216" s="17">
        <v>8443.0499999999993</v>
      </c>
      <c r="K216" s="16">
        <f t="shared" si="27"/>
        <v>988.25</v>
      </c>
      <c r="L216" s="18">
        <f t="shared" si="28"/>
        <v>0.11704893373840024</v>
      </c>
      <c r="M216" s="43">
        <v>4</v>
      </c>
    </row>
    <row r="217" spans="1:13" ht="50.1" customHeight="1" x14ac:dyDescent="0.2">
      <c r="A217" s="27" t="s">
        <v>540</v>
      </c>
      <c r="B217" s="27" t="s">
        <v>504</v>
      </c>
      <c r="C217" s="49">
        <v>736658953275</v>
      </c>
      <c r="D217" s="28" t="s">
        <v>527</v>
      </c>
      <c r="E217" s="29">
        <v>11990</v>
      </c>
      <c r="F217" s="30">
        <v>0.13</v>
      </c>
      <c r="G217" s="31">
        <f>E217*F217+1000</f>
        <v>2558.6999999999998</v>
      </c>
      <c r="H217" s="31">
        <f t="shared" si="29"/>
        <v>0</v>
      </c>
      <c r="I217" s="32">
        <f t="shared" si="26"/>
        <v>9431.2999999999993</v>
      </c>
      <c r="J217" s="33">
        <v>8443.0499999999993</v>
      </c>
      <c r="K217" s="32">
        <f t="shared" si="27"/>
        <v>988.25</v>
      </c>
      <c r="L217" s="34">
        <f t="shared" si="28"/>
        <v>0.11704893373840024</v>
      </c>
      <c r="M217" s="44">
        <v>4</v>
      </c>
    </row>
    <row r="218" spans="1:13" ht="50.1" customHeight="1" x14ac:dyDescent="0.2">
      <c r="A218" s="4" t="s">
        <v>540</v>
      </c>
      <c r="B218" s="4" t="s">
        <v>505</v>
      </c>
      <c r="C218" s="49" t="s">
        <v>1076</v>
      </c>
      <c r="D218" s="8" t="s">
        <v>528</v>
      </c>
      <c r="E218" s="5">
        <v>6490</v>
      </c>
      <c r="F218" s="30">
        <v>0.16</v>
      </c>
      <c r="G218" s="15">
        <f t="shared" ref="G218:G249" si="30">E218*F218</f>
        <v>1038.4000000000001</v>
      </c>
      <c r="H218" s="31">
        <f t="shared" si="29"/>
        <v>0</v>
      </c>
      <c r="I218" s="16">
        <f t="shared" si="26"/>
        <v>5451.6</v>
      </c>
      <c r="J218" s="33">
        <v>5008.71</v>
      </c>
      <c r="K218" s="16">
        <f t="shared" si="27"/>
        <v>442.89000000000033</v>
      </c>
      <c r="L218" s="18">
        <f t="shared" si="28"/>
        <v>8.8423965452182368E-2</v>
      </c>
      <c r="M218" s="43">
        <v>1</v>
      </c>
    </row>
    <row r="219" spans="1:13" ht="50.1" customHeight="1" x14ac:dyDescent="0.2">
      <c r="A219" s="27" t="s">
        <v>540</v>
      </c>
      <c r="B219" s="27" t="s">
        <v>506</v>
      </c>
      <c r="C219" s="49" t="s">
        <v>1076</v>
      </c>
      <c r="D219" s="28" t="s">
        <v>528</v>
      </c>
      <c r="E219" s="5">
        <v>6490</v>
      </c>
      <c r="F219" s="30">
        <v>0.16</v>
      </c>
      <c r="G219" s="31">
        <f t="shared" si="30"/>
        <v>1038.4000000000001</v>
      </c>
      <c r="H219" s="31">
        <f t="shared" si="29"/>
        <v>0</v>
      </c>
      <c r="I219" s="32">
        <f t="shared" si="26"/>
        <v>5451.6</v>
      </c>
      <c r="J219" s="33">
        <v>5008.71</v>
      </c>
      <c r="K219" s="32">
        <f t="shared" si="27"/>
        <v>442.89000000000033</v>
      </c>
      <c r="L219" s="34">
        <f t="shared" si="28"/>
        <v>8.8423965452182368E-2</v>
      </c>
      <c r="M219" s="44">
        <v>1</v>
      </c>
    </row>
    <row r="220" spans="1:13" ht="50.1" customHeight="1" x14ac:dyDescent="0.2">
      <c r="A220" s="27" t="s">
        <v>540</v>
      </c>
      <c r="B220" s="27" t="s">
        <v>507</v>
      </c>
      <c r="C220" s="49">
        <v>3504105035815</v>
      </c>
      <c r="D220" s="28" t="s">
        <v>529</v>
      </c>
      <c r="E220" s="29">
        <v>6490</v>
      </c>
      <c r="F220" s="30">
        <v>0.17</v>
      </c>
      <c r="G220" s="31">
        <f t="shared" si="30"/>
        <v>1103.3000000000002</v>
      </c>
      <c r="H220" s="31">
        <f t="shared" si="29"/>
        <v>0</v>
      </c>
      <c r="I220" s="32">
        <f t="shared" si="26"/>
        <v>5386.7</v>
      </c>
      <c r="J220" s="33">
        <v>3893.68</v>
      </c>
      <c r="K220" s="32">
        <f t="shared" si="27"/>
        <v>1493.02</v>
      </c>
      <c r="L220" s="34">
        <f t="shared" si="28"/>
        <v>0.38344702184052104</v>
      </c>
      <c r="M220" s="44">
        <v>1</v>
      </c>
    </row>
    <row r="221" spans="1:13" ht="50.1" customHeight="1" x14ac:dyDescent="0.2">
      <c r="A221" s="27" t="s">
        <v>540</v>
      </c>
      <c r="B221" s="27" t="s">
        <v>603</v>
      </c>
      <c r="C221" s="49" t="s">
        <v>1077</v>
      </c>
      <c r="D221" s="28" t="s">
        <v>620</v>
      </c>
      <c r="E221" s="29">
        <v>6990</v>
      </c>
      <c r="F221" s="30">
        <v>0.16</v>
      </c>
      <c r="G221" s="31">
        <f t="shared" si="30"/>
        <v>1118.4000000000001</v>
      </c>
      <c r="H221" s="31">
        <f t="shared" si="29"/>
        <v>0</v>
      </c>
      <c r="I221" s="32">
        <f t="shared" si="26"/>
        <v>5871.6</v>
      </c>
      <c r="J221" s="36">
        <v>3834.18</v>
      </c>
      <c r="K221" s="32">
        <f t="shared" si="27"/>
        <v>2037.4200000000005</v>
      </c>
      <c r="L221" s="34">
        <f t="shared" si="28"/>
        <v>0.53138350312191929</v>
      </c>
      <c r="M221" s="44">
        <v>6</v>
      </c>
    </row>
    <row r="222" spans="1:13" ht="50.1" customHeight="1" x14ac:dyDescent="0.2">
      <c r="A222" s="27" t="s">
        <v>540</v>
      </c>
      <c r="B222" s="27" t="s">
        <v>604</v>
      </c>
      <c r="C222" s="49" t="s">
        <v>1077</v>
      </c>
      <c r="D222" s="28" t="s">
        <v>620</v>
      </c>
      <c r="E222" s="29">
        <v>6990</v>
      </c>
      <c r="F222" s="30">
        <v>0.16</v>
      </c>
      <c r="G222" s="31">
        <f t="shared" si="30"/>
        <v>1118.4000000000001</v>
      </c>
      <c r="H222" s="31">
        <f t="shared" si="29"/>
        <v>0</v>
      </c>
      <c r="I222" s="32">
        <f t="shared" si="26"/>
        <v>5871.6</v>
      </c>
      <c r="J222" s="36">
        <v>3834.18</v>
      </c>
      <c r="K222" s="32">
        <f t="shared" si="27"/>
        <v>2037.4200000000005</v>
      </c>
      <c r="L222" s="34">
        <f t="shared" si="28"/>
        <v>0.53138350312191929</v>
      </c>
      <c r="M222" s="44">
        <v>6</v>
      </c>
    </row>
    <row r="223" spans="1:13" ht="50.1" customHeight="1" x14ac:dyDescent="0.2">
      <c r="A223" s="27" t="s">
        <v>540</v>
      </c>
      <c r="B223" s="27" t="s">
        <v>605</v>
      </c>
      <c r="C223" s="49">
        <v>4001499921629</v>
      </c>
      <c r="D223" s="28" t="s">
        <v>619</v>
      </c>
      <c r="E223" s="29">
        <v>6290</v>
      </c>
      <c r="F223" s="30">
        <v>0.16</v>
      </c>
      <c r="G223" s="31">
        <f t="shared" si="30"/>
        <v>1006.4</v>
      </c>
      <c r="H223" s="31">
        <f t="shared" si="29"/>
        <v>0</v>
      </c>
      <c r="I223" s="32">
        <f t="shared" si="26"/>
        <v>5283.6</v>
      </c>
      <c r="J223" s="36">
        <v>3874.64</v>
      </c>
      <c r="K223" s="32">
        <f t="shared" si="27"/>
        <v>1408.9600000000005</v>
      </c>
      <c r="L223" s="34">
        <f t="shared" si="28"/>
        <v>0.36363636363636376</v>
      </c>
      <c r="M223" s="44">
        <v>8</v>
      </c>
    </row>
    <row r="224" spans="1:13" ht="50.1" customHeight="1" x14ac:dyDescent="0.2">
      <c r="A224" s="27" t="s">
        <v>540</v>
      </c>
      <c r="B224" s="27" t="s">
        <v>606</v>
      </c>
      <c r="C224" s="49">
        <v>4001499921629</v>
      </c>
      <c r="D224" s="28" t="s">
        <v>619</v>
      </c>
      <c r="E224" s="29">
        <v>6290</v>
      </c>
      <c r="F224" s="30">
        <v>0.16</v>
      </c>
      <c r="G224" s="31">
        <f t="shared" si="30"/>
        <v>1006.4</v>
      </c>
      <c r="H224" s="31">
        <f t="shared" si="29"/>
        <v>0</v>
      </c>
      <c r="I224" s="32">
        <f t="shared" si="26"/>
        <v>5283.6</v>
      </c>
      <c r="J224" s="36">
        <v>3874.64</v>
      </c>
      <c r="K224" s="32">
        <f t="shared" si="27"/>
        <v>1408.9600000000005</v>
      </c>
      <c r="L224" s="34">
        <f t="shared" si="28"/>
        <v>0.36363636363636376</v>
      </c>
      <c r="M224" s="44">
        <v>8</v>
      </c>
    </row>
    <row r="225" spans="1:13" ht="50.1" customHeight="1" x14ac:dyDescent="0.2">
      <c r="A225" s="27" t="s">
        <v>540</v>
      </c>
      <c r="B225" s="27" t="s">
        <v>607</v>
      </c>
      <c r="C225" s="49" t="s">
        <v>948</v>
      </c>
      <c r="D225" s="28" t="s">
        <v>618</v>
      </c>
      <c r="E225" s="29">
        <v>6231</v>
      </c>
      <c r="F225" s="30">
        <v>0.16</v>
      </c>
      <c r="G225" s="31">
        <f t="shared" si="30"/>
        <v>996.96</v>
      </c>
      <c r="H225" s="31">
        <f t="shared" si="29"/>
        <v>0</v>
      </c>
      <c r="I225" s="32">
        <f t="shared" si="26"/>
        <v>5234.04</v>
      </c>
      <c r="J225" s="36">
        <v>3834.18</v>
      </c>
      <c r="K225" s="32">
        <f t="shared" si="27"/>
        <v>1399.8600000000001</v>
      </c>
      <c r="L225" s="34">
        <f t="shared" si="28"/>
        <v>0.36510023003614861</v>
      </c>
      <c r="M225" s="44">
        <v>3</v>
      </c>
    </row>
    <row r="226" spans="1:13" ht="50.1" customHeight="1" x14ac:dyDescent="0.2">
      <c r="A226" s="27" t="s">
        <v>540</v>
      </c>
      <c r="B226" s="27" t="s">
        <v>608</v>
      </c>
      <c r="C226" s="49" t="s">
        <v>948</v>
      </c>
      <c r="D226" s="28" t="s">
        <v>618</v>
      </c>
      <c r="E226" s="29">
        <v>6231</v>
      </c>
      <c r="F226" s="30">
        <v>0.16</v>
      </c>
      <c r="G226" s="31">
        <f t="shared" si="30"/>
        <v>996.96</v>
      </c>
      <c r="H226" s="31">
        <f t="shared" si="29"/>
        <v>0</v>
      </c>
      <c r="I226" s="32">
        <f t="shared" si="26"/>
        <v>5234.04</v>
      </c>
      <c r="J226" s="36">
        <v>3834.18</v>
      </c>
      <c r="K226" s="32">
        <f t="shared" si="27"/>
        <v>1399.8600000000001</v>
      </c>
      <c r="L226" s="34">
        <f t="shared" si="28"/>
        <v>0.36510023003614861</v>
      </c>
      <c r="M226" s="44">
        <v>3</v>
      </c>
    </row>
    <row r="227" spans="1:13" ht="50.1" customHeight="1" x14ac:dyDescent="0.2">
      <c r="A227" s="27" t="s">
        <v>540</v>
      </c>
      <c r="B227" s="27" t="s">
        <v>613</v>
      </c>
      <c r="C227" s="49" t="s">
        <v>950</v>
      </c>
      <c r="D227" s="28" t="s">
        <v>677</v>
      </c>
      <c r="E227" s="29">
        <v>5243</v>
      </c>
      <c r="F227" s="30">
        <v>0.17</v>
      </c>
      <c r="G227" s="31">
        <f t="shared" si="30"/>
        <v>891.31000000000006</v>
      </c>
      <c r="H227" s="31">
        <f t="shared" si="29"/>
        <v>0</v>
      </c>
      <c r="I227" s="32">
        <f t="shared" si="26"/>
        <v>4351.6899999999996</v>
      </c>
      <c r="J227" s="36">
        <v>3173.73</v>
      </c>
      <c r="K227" s="32">
        <f t="shared" si="27"/>
        <v>1177.9599999999996</v>
      </c>
      <c r="L227" s="34">
        <f t="shared" si="28"/>
        <v>0.37115948741701393</v>
      </c>
      <c r="M227" s="44">
        <v>6</v>
      </c>
    </row>
    <row r="228" spans="1:13" ht="50.1" customHeight="1" x14ac:dyDescent="0.2">
      <c r="A228" s="27" t="s">
        <v>540</v>
      </c>
      <c r="B228" s="27" t="s">
        <v>614</v>
      </c>
      <c r="C228" s="49" t="s">
        <v>950</v>
      </c>
      <c r="D228" s="28" t="s">
        <v>677</v>
      </c>
      <c r="E228" s="29">
        <v>5243</v>
      </c>
      <c r="F228" s="30">
        <v>0.17</v>
      </c>
      <c r="G228" s="31">
        <f t="shared" si="30"/>
        <v>891.31000000000006</v>
      </c>
      <c r="H228" s="31">
        <f t="shared" si="29"/>
        <v>0</v>
      </c>
      <c r="I228" s="32">
        <f t="shared" si="26"/>
        <v>4351.6899999999996</v>
      </c>
      <c r="J228" s="36">
        <v>3173.73</v>
      </c>
      <c r="K228" s="32">
        <f t="shared" si="27"/>
        <v>1177.9599999999996</v>
      </c>
      <c r="L228" s="34">
        <f t="shared" si="28"/>
        <v>0.37115948741701393</v>
      </c>
      <c r="M228" s="44">
        <v>6</v>
      </c>
    </row>
    <row r="229" spans="1:13" ht="50.1" customHeight="1" x14ac:dyDescent="0.2">
      <c r="A229" s="27" t="s">
        <v>540</v>
      </c>
      <c r="B229" s="27" t="s">
        <v>650</v>
      </c>
      <c r="C229" s="49" t="s">
        <v>1118</v>
      </c>
      <c r="D229" s="28" t="s">
        <v>652</v>
      </c>
      <c r="E229" s="29">
        <v>6490</v>
      </c>
      <c r="F229" s="30">
        <v>0.17</v>
      </c>
      <c r="G229" s="31">
        <f t="shared" si="30"/>
        <v>1103.3000000000002</v>
      </c>
      <c r="H229" s="31">
        <f t="shared" si="29"/>
        <v>0</v>
      </c>
      <c r="I229" s="32">
        <f t="shared" si="26"/>
        <v>5386.7</v>
      </c>
      <c r="J229" s="36">
        <v>3596.18</v>
      </c>
      <c r="K229" s="32">
        <f t="shared" si="27"/>
        <v>1790.52</v>
      </c>
      <c r="L229" s="34">
        <f t="shared" si="28"/>
        <v>0.49789498857120612</v>
      </c>
      <c r="M229" s="44">
        <v>12</v>
      </c>
    </row>
    <row r="230" spans="1:13" ht="50.1" customHeight="1" x14ac:dyDescent="0.2">
      <c r="A230" s="27" t="s">
        <v>540</v>
      </c>
      <c r="B230" s="27" t="s">
        <v>651</v>
      </c>
      <c r="C230" s="49" t="s">
        <v>1118</v>
      </c>
      <c r="D230" s="28" t="s">
        <v>652</v>
      </c>
      <c r="E230" s="29">
        <v>6490</v>
      </c>
      <c r="F230" s="30">
        <v>0.17</v>
      </c>
      <c r="G230" s="31">
        <f t="shared" si="30"/>
        <v>1103.3000000000002</v>
      </c>
      <c r="H230" s="31">
        <f t="shared" si="29"/>
        <v>0</v>
      </c>
      <c r="I230" s="32">
        <f t="shared" si="26"/>
        <v>5386.7</v>
      </c>
      <c r="J230" s="36">
        <v>3596.18</v>
      </c>
      <c r="K230" s="32">
        <f t="shared" si="27"/>
        <v>1790.52</v>
      </c>
      <c r="L230" s="34">
        <f t="shared" si="28"/>
        <v>0.49789498857120612</v>
      </c>
      <c r="M230" s="44">
        <v>12</v>
      </c>
    </row>
    <row r="231" spans="1:13" ht="50.1" customHeight="1" x14ac:dyDescent="0.2">
      <c r="A231" s="27" t="s">
        <v>540</v>
      </c>
      <c r="B231" s="27" t="s">
        <v>653</v>
      </c>
      <c r="C231" s="49">
        <v>8016867007030</v>
      </c>
      <c r="D231" s="28" t="s">
        <v>655</v>
      </c>
      <c r="E231" s="29">
        <v>2990</v>
      </c>
      <c r="F231" s="30">
        <v>0.18</v>
      </c>
      <c r="G231" s="31">
        <f t="shared" si="30"/>
        <v>538.19999999999993</v>
      </c>
      <c r="H231" s="31">
        <f t="shared" si="29"/>
        <v>0</v>
      </c>
      <c r="I231" s="32">
        <f t="shared" si="26"/>
        <v>2451.8000000000002</v>
      </c>
      <c r="J231" s="36">
        <v>1751.6799999999998</v>
      </c>
      <c r="K231" s="32">
        <f t="shared" si="27"/>
        <v>700.12000000000035</v>
      </c>
      <c r="L231" s="34">
        <f t="shared" si="28"/>
        <v>0.39968487394958008</v>
      </c>
      <c r="M231" s="44">
        <v>12</v>
      </c>
    </row>
    <row r="232" spans="1:13" ht="50.1" customHeight="1" x14ac:dyDescent="0.2">
      <c r="A232" s="27" t="s">
        <v>540</v>
      </c>
      <c r="B232" s="27" t="s">
        <v>654</v>
      </c>
      <c r="C232" s="49">
        <v>8016867007030</v>
      </c>
      <c r="D232" s="28" t="s">
        <v>655</v>
      </c>
      <c r="E232" s="29">
        <v>2990</v>
      </c>
      <c r="F232" s="30">
        <v>0.18</v>
      </c>
      <c r="G232" s="31">
        <f t="shared" si="30"/>
        <v>538.19999999999993</v>
      </c>
      <c r="H232" s="31">
        <f t="shared" si="29"/>
        <v>0</v>
      </c>
      <c r="I232" s="32">
        <f t="shared" si="26"/>
        <v>2451.8000000000002</v>
      </c>
      <c r="J232" s="36">
        <v>1751.6799999999998</v>
      </c>
      <c r="K232" s="32">
        <f t="shared" si="27"/>
        <v>700.12000000000035</v>
      </c>
      <c r="L232" s="34">
        <f t="shared" si="28"/>
        <v>0.39968487394958008</v>
      </c>
      <c r="M232" s="46">
        <v>12</v>
      </c>
    </row>
    <row r="233" spans="1:13" ht="50.1" customHeight="1" x14ac:dyDescent="0.2">
      <c r="A233" s="27" t="s">
        <v>540</v>
      </c>
      <c r="B233" s="27" t="s">
        <v>656</v>
      </c>
      <c r="C233" s="49" t="s">
        <v>1082</v>
      </c>
      <c r="D233" s="28" t="s">
        <v>660</v>
      </c>
      <c r="E233" s="29">
        <v>7990</v>
      </c>
      <c r="F233" s="30">
        <v>0.16</v>
      </c>
      <c r="G233" s="31">
        <f t="shared" si="30"/>
        <v>1278.4000000000001</v>
      </c>
      <c r="H233" s="31">
        <f t="shared" si="29"/>
        <v>0</v>
      </c>
      <c r="I233" s="32">
        <f t="shared" si="26"/>
        <v>6711.6</v>
      </c>
      <c r="J233" s="36">
        <v>5008.71</v>
      </c>
      <c r="K233" s="32">
        <f t="shared" si="27"/>
        <v>1702.8900000000003</v>
      </c>
      <c r="L233" s="34">
        <f t="shared" si="28"/>
        <v>0.33998574483250182</v>
      </c>
      <c r="M233" s="44">
        <v>3</v>
      </c>
    </row>
    <row r="234" spans="1:13" ht="50.1" customHeight="1" x14ac:dyDescent="0.2">
      <c r="A234" s="27" t="s">
        <v>540</v>
      </c>
      <c r="B234" s="27" t="s">
        <v>657</v>
      </c>
      <c r="C234" s="49" t="s">
        <v>1082</v>
      </c>
      <c r="D234" s="28" t="s">
        <v>660</v>
      </c>
      <c r="E234" s="29">
        <v>7990</v>
      </c>
      <c r="F234" s="30">
        <v>0.16</v>
      </c>
      <c r="G234" s="31">
        <f t="shared" si="30"/>
        <v>1278.4000000000001</v>
      </c>
      <c r="H234" s="31">
        <f t="shared" si="29"/>
        <v>0</v>
      </c>
      <c r="I234" s="32">
        <f t="shared" si="26"/>
        <v>6711.6</v>
      </c>
      <c r="J234" s="36">
        <v>5008.71</v>
      </c>
      <c r="K234" s="32">
        <f t="shared" si="27"/>
        <v>1702.8900000000003</v>
      </c>
      <c r="L234" s="34">
        <f t="shared" si="28"/>
        <v>0.33998574483250182</v>
      </c>
      <c r="M234" s="44">
        <v>3</v>
      </c>
    </row>
    <row r="235" spans="1:13" ht="50.1" customHeight="1" x14ac:dyDescent="0.2">
      <c r="A235" s="27" t="s">
        <v>540</v>
      </c>
      <c r="B235" s="27" t="s">
        <v>658</v>
      </c>
      <c r="C235" s="49" t="s">
        <v>1079</v>
      </c>
      <c r="D235" s="28" t="s">
        <v>661</v>
      </c>
      <c r="E235" s="29">
        <v>8290</v>
      </c>
      <c r="F235" s="30">
        <v>0.16</v>
      </c>
      <c r="G235" s="31">
        <f t="shared" si="30"/>
        <v>1326.4</v>
      </c>
      <c r="H235" s="31">
        <f t="shared" si="29"/>
        <v>0</v>
      </c>
      <c r="I235" s="32">
        <f t="shared" si="26"/>
        <v>6963.6</v>
      </c>
      <c r="J235" s="36">
        <v>4974.2</v>
      </c>
      <c r="K235" s="32">
        <f t="shared" si="27"/>
        <v>1989.4000000000005</v>
      </c>
      <c r="L235" s="34">
        <f t="shared" si="28"/>
        <v>0.39994370954123287</v>
      </c>
      <c r="M235" s="44">
        <v>1</v>
      </c>
    </row>
    <row r="236" spans="1:13" ht="50.1" customHeight="1" x14ac:dyDescent="0.2">
      <c r="A236" s="27" t="s">
        <v>540</v>
      </c>
      <c r="B236" s="27" t="s">
        <v>659</v>
      </c>
      <c r="C236" s="49" t="s">
        <v>1079</v>
      </c>
      <c r="D236" s="28" t="s">
        <v>661</v>
      </c>
      <c r="E236" s="29">
        <v>8290</v>
      </c>
      <c r="F236" s="30">
        <v>0.16</v>
      </c>
      <c r="G236" s="31">
        <f t="shared" si="30"/>
        <v>1326.4</v>
      </c>
      <c r="H236" s="31">
        <f t="shared" si="29"/>
        <v>0</v>
      </c>
      <c r="I236" s="32">
        <f t="shared" si="26"/>
        <v>6963.6</v>
      </c>
      <c r="J236" s="36">
        <v>4974.2</v>
      </c>
      <c r="K236" s="32">
        <f t="shared" si="27"/>
        <v>1989.4000000000005</v>
      </c>
      <c r="L236" s="34">
        <f t="shared" si="28"/>
        <v>0.39994370954123287</v>
      </c>
      <c r="M236" s="44">
        <v>1</v>
      </c>
    </row>
    <row r="237" spans="1:13" ht="50.1" customHeight="1" x14ac:dyDescent="0.2">
      <c r="A237" s="27" t="s">
        <v>540</v>
      </c>
      <c r="B237" s="27" t="s">
        <v>662</v>
      </c>
      <c r="C237" s="49">
        <v>7750075060685</v>
      </c>
      <c r="D237" s="28" t="s">
        <v>664</v>
      </c>
      <c r="E237" s="29">
        <v>6331</v>
      </c>
      <c r="F237" s="30">
        <v>0.16</v>
      </c>
      <c r="G237" s="31">
        <f t="shared" si="30"/>
        <v>1012.96</v>
      </c>
      <c r="H237" s="31">
        <f t="shared" si="29"/>
        <v>0</v>
      </c>
      <c r="I237" s="32">
        <f t="shared" si="26"/>
        <v>5318.04</v>
      </c>
      <c r="J237" s="36">
        <v>5008.71</v>
      </c>
      <c r="K237" s="32">
        <f t="shared" si="27"/>
        <v>309.32999999999993</v>
      </c>
      <c r="L237" s="34">
        <f t="shared" si="28"/>
        <v>6.1758416837868417E-2</v>
      </c>
      <c r="M237" s="44">
        <v>3</v>
      </c>
    </row>
    <row r="238" spans="1:13" ht="50.1" customHeight="1" x14ac:dyDescent="0.2">
      <c r="A238" s="27" t="s">
        <v>540</v>
      </c>
      <c r="B238" s="27" t="s">
        <v>663</v>
      </c>
      <c r="C238" s="49">
        <v>7750075060685</v>
      </c>
      <c r="D238" s="28" t="s">
        <v>664</v>
      </c>
      <c r="E238" s="29">
        <v>6331</v>
      </c>
      <c r="F238" s="30">
        <v>0.16</v>
      </c>
      <c r="G238" s="31">
        <f t="shared" si="30"/>
        <v>1012.96</v>
      </c>
      <c r="H238" s="31">
        <f t="shared" si="29"/>
        <v>0</v>
      </c>
      <c r="I238" s="32">
        <f t="shared" si="26"/>
        <v>5318.04</v>
      </c>
      <c r="J238" s="36">
        <v>5008.71</v>
      </c>
      <c r="K238" s="32">
        <f t="shared" si="27"/>
        <v>309.32999999999993</v>
      </c>
      <c r="L238" s="34">
        <f t="shared" si="28"/>
        <v>6.1758416837868417E-2</v>
      </c>
      <c r="M238" s="44">
        <v>3</v>
      </c>
    </row>
    <row r="239" spans="1:13" ht="50.1" customHeight="1" x14ac:dyDescent="0.2">
      <c r="A239" s="27" t="s">
        <v>540</v>
      </c>
      <c r="B239" s="27" t="s">
        <v>665</v>
      </c>
      <c r="C239" s="49" t="s">
        <v>1075</v>
      </c>
      <c r="D239" s="28" t="s">
        <v>667</v>
      </c>
      <c r="E239" s="29">
        <v>7990</v>
      </c>
      <c r="F239" s="30">
        <v>0.16</v>
      </c>
      <c r="G239" s="31">
        <f t="shared" si="30"/>
        <v>1278.4000000000001</v>
      </c>
      <c r="H239" s="31">
        <f t="shared" si="29"/>
        <v>0</v>
      </c>
      <c r="I239" s="32">
        <f t="shared" si="26"/>
        <v>6711.6</v>
      </c>
      <c r="J239" s="36">
        <v>5008.71</v>
      </c>
      <c r="K239" s="32">
        <f t="shared" si="27"/>
        <v>1702.8900000000003</v>
      </c>
      <c r="L239" s="34">
        <f t="shared" si="28"/>
        <v>0.33998574483250182</v>
      </c>
      <c r="M239" s="44">
        <v>1</v>
      </c>
    </row>
    <row r="240" spans="1:13" ht="50.1" customHeight="1" x14ac:dyDescent="0.2">
      <c r="A240" s="27" t="s">
        <v>540</v>
      </c>
      <c r="B240" s="27" t="s">
        <v>666</v>
      </c>
      <c r="C240" s="49" t="s">
        <v>1075</v>
      </c>
      <c r="D240" s="28" t="s">
        <v>667</v>
      </c>
      <c r="E240" s="29">
        <v>7990</v>
      </c>
      <c r="F240" s="30">
        <v>0.16</v>
      </c>
      <c r="G240" s="31">
        <f t="shared" si="30"/>
        <v>1278.4000000000001</v>
      </c>
      <c r="H240" s="31">
        <f t="shared" si="29"/>
        <v>0</v>
      </c>
      <c r="I240" s="32">
        <f t="shared" si="26"/>
        <v>6711.6</v>
      </c>
      <c r="J240" s="36">
        <v>5008.71</v>
      </c>
      <c r="K240" s="32">
        <f t="shared" si="27"/>
        <v>1702.8900000000003</v>
      </c>
      <c r="L240" s="34">
        <f t="shared" si="28"/>
        <v>0.33998574483250182</v>
      </c>
      <c r="M240" s="44">
        <v>1</v>
      </c>
    </row>
    <row r="241" spans="1:13" ht="50.1" customHeight="1" x14ac:dyDescent="0.2">
      <c r="A241" s="27" t="s">
        <v>540</v>
      </c>
      <c r="B241" s="27" t="s">
        <v>684</v>
      </c>
      <c r="C241" s="49" t="s">
        <v>949</v>
      </c>
      <c r="D241" s="28" t="s">
        <v>693</v>
      </c>
      <c r="E241" s="29"/>
      <c r="F241" s="30"/>
      <c r="G241" s="31">
        <f t="shared" si="30"/>
        <v>0</v>
      </c>
      <c r="H241" s="31"/>
      <c r="I241" s="32">
        <f t="shared" si="26"/>
        <v>0</v>
      </c>
      <c r="J241" s="36">
        <v>5994</v>
      </c>
      <c r="K241" s="32">
        <f t="shared" si="27"/>
        <v>-5994</v>
      </c>
      <c r="L241" s="34">
        <f t="shared" si="28"/>
        <v>-1</v>
      </c>
      <c r="M241" s="44">
        <v>3</v>
      </c>
    </row>
    <row r="242" spans="1:13" ht="50.1" customHeight="1" x14ac:dyDescent="0.2">
      <c r="A242" s="27" t="s">
        <v>540</v>
      </c>
      <c r="B242" s="27" t="s">
        <v>685</v>
      </c>
      <c r="C242" s="49" t="s">
        <v>949</v>
      </c>
      <c r="D242" s="28" t="s">
        <v>693</v>
      </c>
      <c r="E242" s="29"/>
      <c r="F242" s="30"/>
      <c r="G242" s="31">
        <f t="shared" si="30"/>
        <v>0</v>
      </c>
      <c r="H242" s="31"/>
      <c r="I242" s="32">
        <f t="shared" si="26"/>
        <v>0</v>
      </c>
      <c r="J242" s="36">
        <v>5994</v>
      </c>
      <c r="K242" s="32">
        <f t="shared" si="27"/>
        <v>-5994</v>
      </c>
      <c r="L242" s="34">
        <f t="shared" si="28"/>
        <v>-1</v>
      </c>
      <c r="M242" s="44">
        <v>3</v>
      </c>
    </row>
    <row r="243" spans="1:13" ht="50.1" customHeight="1" x14ac:dyDescent="0.2">
      <c r="A243" s="27" t="s">
        <v>540</v>
      </c>
      <c r="B243" s="27" t="s">
        <v>698</v>
      </c>
      <c r="C243" s="49" t="s">
        <v>947</v>
      </c>
      <c r="D243" s="28" t="s">
        <v>700</v>
      </c>
      <c r="E243" s="29"/>
      <c r="F243" s="30"/>
      <c r="G243" s="31">
        <f t="shared" si="30"/>
        <v>0</v>
      </c>
      <c r="H243" s="31"/>
      <c r="I243" s="32">
        <f t="shared" si="26"/>
        <v>0</v>
      </c>
      <c r="J243" s="33">
        <v>4799.2699999999995</v>
      </c>
      <c r="K243" s="32">
        <f t="shared" si="27"/>
        <v>-4799.2699999999995</v>
      </c>
      <c r="L243" s="34">
        <f t="shared" si="28"/>
        <v>-1</v>
      </c>
      <c r="M243" s="44">
        <v>3</v>
      </c>
    </row>
    <row r="244" spans="1:13" ht="50.1" customHeight="1" x14ac:dyDescent="0.2">
      <c r="A244" s="27" t="s">
        <v>540</v>
      </c>
      <c r="B244" s="27" t="s">
        <v>699</v>
      </c>
      <c r="C244" s="49" t="s">
        <v>947</v>
      </c>
      <c r="D244" s="28" t="s">
        <v>700</v>
      </c>
      <c r="E244" s="29"/>
      <c r="F244" s="30"/>
      <c r="G244" s="31">
        <f t="shared" si="30"/>
        <v>0</v>
      </c>
      <c r="H244" s="31"/>
      <c r="I244" s="32">
        <f t="shared" si="26"/>
        <v>0</v>
      </c>
      <c r="J244" s="33">
        <v>4799.2699999999995</v>
      </c>
      <c r="K244" s="32">
        <f t="shared" si="27"/>
        <v>-4799.2699999999995</v>
      </c>
      <c r="L244" s="34">
        <f t="shared" si="28"/>
        <v>-1</v>
      </c>
      <c r="M244" s="44">
        <v>3</v>
      </c>
    </row>
    <row r="245" spans="1:13" ht="50.1" customHeight="1" x14ac:dyDescent="0.2">
      <c r="A245" s="27" t="s">
        <v>540</v>
      </c>
      <c r="B245" s="27" t="s">
        <v>709</v>
      </c>
      <c r="C245" s="49">
        <v>4001499112942</v>
      </c>
      <c r="D245" s="28" t="s">
        <v>521</v>
      </c>
      <c r="E245" s="29"/>
      <c r="F245" s="30"/>
      <c r="G245" s="31">
        <f t="shared" si="30"/>
        <v>0</v>
      </c>
      <c r="H245" s="31"/>
      <c r="I245" s="32">
        <f t="shared" si="26"/>
        <v>0</v>
      </c>
      <c r="J245" s="36">
        <v>2843</v>
      </c>
      <c r="K245" s="32">
        <f t="shared" si="27"/>
        <v>-2843</v>
      </c>
      <c r="L245" s="34">
        <f t="shared" si="28"/>
        <v>-1</v>
      </c>
      <c r="M245" s="44">
        <v>8</v>
      </c>
    </row>
    <row r="246" spans="1:13" ht="50.1" customHeight="1" x14ac:dyDescent="0.2">
      <c r="A246" s="27" t="s">
        <v>540</v>
      </c>
      <c r="B246" s="27" t="s">
        <v>710</v>
      </c>
      <c r="C246" s="49" t="s">
        <v>920</v>
      </c>
      <c r="D246" s="28" t="s">
        <v>521</v>
      </c>
      <c r="E246" s="29"/>
      <c r="F246" s="30"/>
      <c r="G246" s="31">
        <f t="shared" si="30"/>
        <v>0</v>
      </c>
      <c r="H246" s="31"/>
      <c r="I246" s="32">
        <f t="shared" si="26"/>
        <v>0</v>
      </c>
      <c r="J246" s="36">
        <v>2843</v>
      </c>
      <c r="K246" s="32">
        <f t="shared" si="27"/>
        <v>-2843</v>
      </c>
      <c r="L246" s="34">
        <f t="shared" si="28"/>
        <v>-1</v>
      </c>
      <c r="M246" s="44">
        <v>8</v>
      </c>
    </row>
    <row r="247" spans="1:13" ht="50.1" customHeight="1" x14ac:dyDescent="0.2">
      <c r="A247" s="27" t="s">
        <v>540</v>
      </c>
      <c r="B247" s="27" t="s">
        <v>1033</v>
      </c>
      <c r="C247" s="49" t="s">
        <v>1034</v>
      </c>
      <c r="D247" s="28" t="s">
        <v>1035</v>
      </c>
      <c r="E247" s="29"/>
      <c r="F247" s="30"/>
      <c r="G247" s="31">
        <f t="shared" si="30"/>
        <v>0</v>
      </c>
      <c r="H247" s="31"/>
      <c r="I247" s="32">
        <f t="shared" si="26"/>
        <v>0</v>
      </c>
      <c r="J247" s="36">
        <v>5844</v>
      </c>
      <c r="K247" s="32">
        <f t="shared" si="27"/>
        <v>-5844</v>
      </c>
      <c r="L247" s="34">
        <f t="shared" si="28"/>
        <v>-1</v>
      </c>
      <c r="M247" s="44">
        <v>3</v>
      </c>
    </row>
    <row r="248" spans="1:13" ht="50.1" customHeight="1" x14ac:dyDescent="0.2">
      <c r="A248" s="27" t="s">
        <v>540</v>
      </c>
      <c r="B248" s="27" t="s">
        <v>1036</v>
      </c>
      <c r="C248" s="49" t="s">
        <v>1034</v>
      </c>
      <c r="D248" s="28" t="s">
        <v>1035</v>
      </c>
      <c r="E248" s="29"/>
      <c r="F248" s="30"/>
      <c r="G248" s="31">
        <f t="shared" si="30"/>
        <v>0</v>
      </c>
      <c r="H248" s="31"/>
      <c r="I248" s="32">
        <f t="shared" si="26"/>
        <v>0</v>
      </c>
      <c r="J248" s="36">
        <v>5844</v>
      </c>
      <c r="K248" s="32">
        <f t="shared" si="27"/>
        <v>-5844</v>
      </c>
      <c r="L248" s="34">
        <f t="shared" si="28"/>
        <v>-1</v>
      </c>
      <c r="M248" s="44">
        <v>3</v>
      </c>
    </row>
    <row r="249" spans="1:13" ht="50.1" customHeight="1" x14ac:dyDescent="0.2">
      <c r="A249" s="27" t="s">
        <v>540</v>
      </c>
      <c r="B249" s="27" t="s">
        <v>1037</v>
      </c>
      <c r="C249" s="49" t="s">
        <v>1038</v>
      </c>
      <c r="D249" s="28" t="s">
        <v>1039</v>
      </c>
      <c r="E249" s="29"/>
      <c r="F249" s="30"/>
      <c r="G249" s="31">
        <f t="shared" si="30"/>
        <v>0</v>
      </c>
      <c r="H249" s="31"/>
      <c r="I249" s="32">
        <f t="shared" si="26"/>
        <v>0</v>
      </c>
      <c r="J249" s="36">
        <v>6498</v>
      </c>
      <c r="K249" s="32">
        <f t="shared" si="27"/>
        <v>-6498</v>
      </c>
      <c r="L249" s="34">
        <f t="shared" si="28"/>
        <v>-1</v>
      </c>
      <c r="M249" s="44">
        <v>3</v>
      </c>
    </row>
    <row r="250" spans="1:13" ht="50.1" customHeight="1" x14ac:dyDescent="0.2">
      <c r="A250" s="27" t="s">
        <v>540</v>
      </c>
      <c r="B250" s="27" t="s">
        <v>1040</v>
      </c>
      <c r="C250" s="49" t="s">
        <v>1038</v>
      </c>
      <c r="D250" s="28" t="s">
        <v>1039</v>
      </c>
      <c r="E250" s="29"/>
      <c r="F250" s="30"/>
      <c r="G250" s="31">
        <f t="shared" ref="G250:G258" si="31">E250*F250</f>
        <v>0</v>
      </c>
      <c r="H250" s="31"/>
      <c r="I250" s="32">
        <f t="shared" si="26"/>
        <v>0</v>
      </c>
      <c r="J250" s="36">
        <v>6498</v>
      </c>
      <c r="K250" s="32">
        <f t="shared" si="27"/>
        <v>-6498</v>
      </c>
      <c r="L250" s="34">
        <f t="shared" si="28"/>
        <v>-1</v>
      </c>
      <c r="M250" s="44">
        <v>3</v>
      </c>
    </row>
    <row r="251" spans="1:13" ht="50.1" customHeight="1" x14ac:dyDescent="0.2">
      <c r="A251" s="27" t="s">
        <v>540</v>
      </c>
      <c r="B251" s="27" t="s">
        <v>1041</v>
      </c>
      <c r="C251" s="49" t="s">
        <v>1042</v>
      </c>
      <c r="D251" s="28" t="s">
        <v>1043</v>
      </c>
      <c r="E251" s="29"/>
      <c r="F251" s="30"/>
      <c r="G251" s="31">
        <f t="shared" si="31"/>
        <v>0</v>
      </c>
      <c r="H251" s="31"/>
      <c r="I251" s="32">
        <f t="shared" si="26"/>
        <v>0</v>
      </c>
      <c r="J251" s="36">
        <v>5460</v>
      </c>
      <c r="K251" s="32">
        <f t="shared" si="27"/>
        <v>-5460</v>
      </c>
      <c r="L251" s="34">
        <f t="shared" si="28"/>
        <v>-1</v>
      </c>
      <c r="M251" s="44">
        <v>3</v>
      </c>
    </row>
    <row r="252" spans="1:13" ht="50.1" customHeight="1" x14ac:dyDescent="0.2">
      <c r="A252" s="27" t="s">
        <v>540</v>
      </c>
      <c r="B252" s="27" t="s">
        <v>1044</v>
      </c>
      <c r="C252" s="49" t="s">
        <v>1042</v>
      </c>
      <c r="D252" s="28" t="s">
        <v>1043</v>
      </c>
      <c r="E252" s="29"/>
      <c r="F252" s="30"/>
      <c r="G252" s="31">
        <f t="shared" si="31"/>
        <v>0</v>
      </c>
      <c r="H252" s="31"/>
      <c r="I252" s="32">
        <f t="shared" si="26"/>
        <v>0</v>
      </c>
      <c r="J252" s="36">
        <v>5460</v>
      </c>
      <c r="K252" s="32">
        <f t="shared" si="27"/>
        <v>-5460</v>
      </c>
      <c r="L252" s="34">
        <f t="shared" si="28"/>
        <v>-1</v>
      </c>
      <c r="M252" s="44">
        <v>3</v>
      </c>
    </row>
    <row r="253" spans="1:13" ht="50.1" customHeight="1" x14ac:dyDescent="0.2">
      <c r="A253" s="27" t="s">
        <v>540</v>
      </c>
      <c r="B253" s="27" t="s">
        <v>1045</v>
      </c>
      <c r="C253" s="49" t="s">
        <v>1047</v>
      </c>
      <c r="D253" s="28" t="s">
        <v>1046</v>
      </c>
      <c r="E253" s="29"/>
      <c r="F253" s="30"/>
      <c r="G253" s="31">
        <f t="shared" si="31"/>
        <v>0</v>
      </c>
      <c r="H253" s="31"/>
      <c r="I253" s="32">
        <f t="shared" si="26"/>
        <v>0</v>
      </c>
      <c r="J253" s="36">
        <v>4209</v>
      </c>
      <c r="K253" s="32">
        <f t="shared" si="27"/>
        <v>-4209</v>
      </c>
      <c r="L253" s="34">
        <f t="shared" si="28"/>
        <v>-1</v>
      </c>
      <c r="M253" s="44">
        <v>3</v>
      </c>
    </row>
    <row r="254" spans="1:13" ht="50.1" customHeight="1" x14ac:dyDescent="0.2">
      <c r="A254" s="27" t="s">
        <v>540</v>
      </c>
      <c r="B254" s="27" t="s">
        <v>1048</v>
      </c>
      <c r="C254" s="49" t="s">
        <v>1047</v>
      </c>
      <c r="D254" s="28" t="s">
        <v>1046</v>
      </c>
      <c r="E254" s="29"/>
      <c r="F254" s="30"/>
      <c r="G254" s="31">
        <f t="shared" si="31"/>
        <v>0</v>
      </c>
      <c r="H254" s="31"/>
      <c r="I254" s="32">
        <f t="shared" si="26"/>
        <v>0</v>
      </c>
      <c r="J254" s="36">
        <v>4209</v>
      </c>
      <c r="K254" s="32">
        <f t="shared" si="27"/>
        <v>-4209</v>
      </c>
      <c r="L254" s="34">
        <f t="shared" si="28"/>
        <v>-1</v>
      </c>
      <c r="M254" s="44">
        <v>3</v>
      </c>
    </row>
    <row r="255" spans="1:13" ht="50.1" customHeight="1" x14ac:dyDescent="0.2">
      <c r="A255" s="27" t="s">
        <v>540</v>
      </c>
      <c r="B255" s="27" t="s">
        <v>1049</v>
      </c>
      <c r="C255" s="49" t="s">
        <v>1051</v>
      </c>
      <c r="D255" s="28" t="s">
        <v>1050</v>
      </c>
      <c r="E255" s="29"/>
      <c r="F255" s="30"/>
      <c r="G255" s="31">
        <f t="shared" si="31"/>
        <v>0</v>
      </c>
      <c r="H255" s="31"/>
      <c r="I255" s="32">
        <f t="shared" si="26"/>
        <v>0</v>
      </c>
      <c r="J255" s="36">
        <v>4180</v>
      </c>
      <c r="K255" s="32">
        <f t="shared" si="27"/>
        <v>-4180</v>
      </c>
      <c r="L255" s="34">
        <f t="shared" si="28"/>
        <v>-1</v>
      </c>
      <c r="M255" s="44">
        <v>4</v>
      </c>
    </row>
    <row r="256" spans="1:13" ht="50.1" customHeight="1" x14ac:dyDescent="0.2">
      <c r="A256" s="27" t="s">
        <v>540</v>
      </c>
      <c r="B256" s="27" t="s">
        <v>1052</v>
      </c>
      <c r="C256" s="49" t="s">
        <v>1051</v>
      </c>
      <c r="D256" s="28" t="s">
        <v>1050</v>
      </c>
      <c r="E256" s="29"/>
      <c r="F256" s="30"/>
      <c r="G256" s="31">
        <f t="shared" si="31"/>
        <v>0</v>
      </c>
      <c r="H256" s="31"/>
      <c r="I256" s="32">
        <f t="shared" si="26"/>
        <v>0</v>
      </c>
      <c r="J256" s="36">
        <v>4180</v>
      </c>
      <c r="K256" s="32">
        <f t="shared" si="27"/>
        <v>-4180</v>
      </c>
      <c r="L256" s="34">
        <f t="shared" si="28"/>
        <v>-1</v>
      </c>
      <c r="M256" s="44">
        <v>4</v>
      </c>
    </row>
    <row r="257" spans="1:13" ht="50.1" customHeight="1" x14ac:dyDescent="0.2">
      <c r="A257" s="27" t="s">
        <v>540</v>
      </c>
      <c r="B257" s="27" t="s">
        <v>1053</v>
      </c>
      <c r="C257" s="49" t="s">
        <v>1054</v>
      </c>
      <c r="D257" s="28" t="s">
        <v>1055</v>
      </c>
      <c r="E257" s="29"/>
      <c r="F257" s="30"/>
      <c r="G257" s="31">
        <f t="shared" si="31"/>
        <v>0</v>
      </c>
      <c r="H257" s="31"/>
      <c r="I257" s="32">
        <f t="shared" si="26"/>
        <v>0</v>
      </c>
      <c r="J257" s="36">
        <v>4209</v>
      </c>
      <c r="K257" s="32">
        <f t="shared" si="27"/>
        <v>-4209</v>
      </c>
      <c r="L257" s="34">
        <f t="shared" si="28"/>
        <v>-1</v>
      </c>
      <c r="M257" s="44">
        <v>3</v>
      </c>
    </row>
    <row r="258" spans="1:13" ht="50.1" customHeight="1" x14ac:dyDescent="0.2">
      <c r="A258" s="27" t="s">
        <v>540</v>
      </c>
      <c r="B258" s="27" t="s">
        <v>1056</v>
      </c>
      <c r="C258" s="49" t="s">
        <v>1054</v>
      </c>
      <c r="D258" s="28" t="s">
        <v>1055</v>
      </c>
      <c r="E258" s="29"/>
      <c r="F258" s="30"/>
      <c r="G258" s="31">
        <f t="shared" si="31"/>
        <v>0</v>
      </c>
      <c r="H258" s="31"/>
      <c r="I258" s="32">
        <f t="shared" si="26"/>
        <v>0</v>
      </c>
      <c r="J258" s="36">
        <v>4209</v>
      </c>
      <c r="K258" s="32">
        <f t="shared" si="27"/>
        <v>-4209</v>
      </c>
      <c r="L258" s="34">
        <f t="shared" si="28"/>
        <v>-1</v>
      </c>
      <c r="M258" s="44">
        <v>3</v>
      </c>
    </row>
    <row r="259" spans="1:13" ht="50.1" customHeight="1" x14ac:dyDescent="0.2">
      <c r="A259" s="27" t="s">
        <v>538</v>
      </c>
      <c r="B259" s="27" t="s">
        <v>8</v>
      </c>
      <c r="C259" s="49" t="s">
        <v>761</v>
      </c>
      <c r="D259" s="27" t="s">
        <v>9</v>
      </c>
      <c r="E259" s="29">
        <v>8455</v>
      </c>
      <c r="F259" s="38" t="s">
        <v>467</v>
      </c>
      <c r="G259" s="31">
        <f t="shared" ref="G259:G281" si="32">IF(F259&gt;"15%",E259*F259,IF(E259&gt;=19990,F259*E259,IF(E259&gt;=9990,F259*E259+1000,F259*E259+700)))</f>
        <v>1521.8999999999999</v>
      </c>
      <c r="H259" s="31">
        <f>IF(E259&gt;=19990,"ACTIVAR",0)</f>
        <v>0</v>
      </c>
      <c r="I259" s="32">
        <f t="shared" ref="I259:I306" si="33">E259-G259-H259</f>
        <v>6933.1</v>
      </c>
      <c r="J259" s="33">
        <v>3391.5</v>
      </c>
      <c r="K259" s="32">
        <f t="shared" ref="K259:K306" si="34">I259-J259</f>
        <v>3541.6000000000004</v>
      </c>
      <c r="L259" s="34">
        <f t="shared" ref="L259:L306" si="35">K259/J259</f>
        <v>1.0442577030812326</v>
      </c>
      <c r="M259" s="44">
        <v>1</v>
      </c>
    </row>
    <row r="260" spans="1:13" ht="50.1" customHeight="1" x14ac:dyDescent="0.2">
      <c r="A260" s="27" t="s">
        <v>538</v>
      </c>
      <c r="B260" s="27" t="s">
        <v>10</v>
      </c>
      <c r="C260" s="49" t="s">
        <v>762</v>
      </c>
      <c r="D260" s="27" t="s">
        <v>11</v>
      </c>
      <c r="E260" s="29">
        <v>8455</v>
      </c>
      <c r="F260" s="38" t="s">
        <v>467</v>
      </c>
      <c r="G260" s="31">
        <f t="shared" si="32"/>
        <v>1521.8999999999999</v>
      </c>
      <c r="H260" s="31">
        <f>IF(E260&gt;=19990,"ACTIVAR",0)</f>
        <v>0</v>
      </c>
      <c r="I260" s="32">
        <f t="shared" si="33"/>
        <v>6933.1</v>
      </c>
      <c r="J260" s="33">
        <v>3391.5</v>
      </c>
      <c r="K260" s="32">
        <f t="shared" si="34"/>
        <v>3541.6000000000004</v>
      </c>
      <c r="L260" s="34">
        <f t="shared" si="35"/>
        <v>1.0442577030812326</v>
      </c>
      <c r="M260" s="44">
        <v>1</v>
      </c>
    </row>
    <row r="261" spans="1:13" ht="50.1" customHeight="1" x14ac:dyDescent="0.2">
      <c r="A261" s="27" t="s">
        <v>538</v>
      </c>
      <c r="B261" s="27" t="s">
        <v>14</v>
      </c>
      <c r="C261" s="49" t="s">
        <v>763</v>
      </c>
      <c r="D261" s="27" t="s">
        <v>15</v>
      </c>
      <c r="E261" s="29">
        <v>23680</v>
      </c>
      <c r="F261" s="38" t="s">
        <v>472</v>
      </c>
      <c r="G261" s="31">
        <f t="shared" si="32"/>
        <v>3078.4</v>
      </c>
      <c r="H261" s="31">
        <v>3000</v>
      </c>
      <c r="I261" s="32">
        <f t="shared" si="33"/>
        <v>17601.599999999999</v>
      </c>
      <c r="J261" s="33">
        <v>12435.5</v>
      </c>
      <c r="K261" s="32">
        <f t="shared" si="34"/>
        <v>5166.0999999999985</v>
      </c>
      <c r="L261" s="34">
        <f t="shared" si="35"/>
        <v>0.41543162719633298</v>
      </c>
      <c r="M261" s="44">
        <v>1</v>
      </c>
    </row>
    <row r="262" spans="1:13" ht="50.1" customHeight="1" x14ac:dyDescent="0.2">
      <c r="A262" s="27" t="s">
        <v>538</v>
      </c>
      <c r="B262" s="27" t="s">
        <v>20</v>
      </c>
      <c r="C262" s="49" t="s">
        <v>764</v>
      </c>
      <c r="D262" s="27" t="s">
        <v>21</v>
      </c>
      <c r="E262" s="29">
        <v>19040</v>
      </c>
      <c r="F262" s="38" t="s">
        <v>467</v>
      </c>
      <c r="G262" s="31">
        <f t="shared" si="32"/>
        <v>3427.2</v>
      </c>
      <c r="H262" s="31">
        <f>IF(E262&gt;=19990,"ACTIVAR",0)</f>
        <v>0</v>
      </c>
      <c r="I262" s="32">
        <f t="shared" si="33"/>
        <v>15612.8</v>
      </c>
      <c r="J262" s="33">
        <v>9044</v>
      </c>
      <c r="K262" s="32">
        <f t="shared" si="34"/>
        <v>6568.7999999999993</v>
      </c>
      <c r="L262" s="34">
        <f t="shared" si="35"/>
        <v>0.72631578947368414</v>
      </c>
      <c r="M262" s="44">
        <v>1</v>
      </c>
    </row>
    <row r="263" spans="1:13" ht="50.1" customHeight="1" x14ac:dyDescent="0.2">
      <c r="A263" s="27" t="s">
        <v>538</v>
      </c>
      <c r="B263" s="27" t="s">
        <v>24</v>
      </c>
      <c r="C263" s="49" t="s">
        <v>765</v>
      </c>
      <c r="D263" s="27" t="s">
        <v>25</v>
      </c>
      <c r="E263" s="29">
        <v>18960</v>
      </c>
      <c r="F263" s="38" t="s">
        <v>467</v>
      </c>
      <c r="G263" s="31">
        <f t="shared" si="32"/>
        <v>3412.7999999999997</v>
      </c>
      <c r="H263" s="31">
        <f>IF(E263&gt;=19990,"ACTIVAR",0)</f>
        <v>0</v>
      </c>
      <c r="I263" s="32">
        <f t="shared" si="33"/>
        <v>15547.2</v>
      </c>
      <c r="J263" s="33">
        <v>10174.5</v>
      </c>
      <c r="K263" s="32">
        <f t="shared" si="34"/>
        <v>5372.7000000000007</v>
      </c>
      <c r="L263" s="34">
        <f t="shared" si="35"/>
        <v>0.52805543269939559</v>
      </c>
      <c r="M263" s="44">
        <v>1</v>
      </c>
    </row>
    <row r="264" spans="1:13" ht="50.1" customHeight="1" x14ac:dyDescent="0.2">
      <c r="A264" s="27" t="s">
        <v>538</v>
      </c>
      <c r="B264" s="27" t="s">
        <v>26</v>
      </c>
      <c r="C264" s="49" t="s">
        <v>766</v>
      </c>
      <c r="D264" s="27" t="s">
        <v>27</v>
      </c>
      <c r="E264" s="29">
        <v>3783</v>
      </c>
      <c r="F264" s="38" t="s">
        <v>467</v>
      </c>
      <c r="G264" s="31">
        <f t="shared" si="32"/>
        <v>680.93999999999994</v>
      </c>
      <c r="H264" s="31">
        <f>IF(E264&gt;=19990,"ACTIVAR",0)</f>
        <v>0</v>
      </c>
      <c r="I264" s="32">
        <f t="shared" si="33"/>
        <v>3102.06</v>
      </c>
      <c r="J264" s="33">
        <v>2939</v>
      </c>
      <c r="K264" s="32">
        <f t="shared" si="34"/>
        <v>163.05999999999995</v>
      </c>
      <c r="L264" s="34">
        <f t="shared" si="35"/>
        <v>5.548145627764544E-2</v>
      </c>
      <c r="M264" s="44">
        <v>1</v>
      </c>
    </row>
    <row r="265" spans="1:13" ht="50.1" customHeight="1" x14ac:dyDescent="0.2">
      <c r="A265" s="27" t="s">
        <v>538</v>
      </c>
      <c r="B265" s="27" t="s">
        <v>85</v>
      </c>
      <c r="C265" s="49" t="s">
        <v>767</v>
      </c>
      <c r="D265" s="27" t="s">
        <v>86</v>
      </c>
      <c r="E265" s="29">
        <v>23680</v>
      </c>
      <c r="F265" s="38" t="s">
        <v>472</v>
      </c>
      <c r="G265" s="31">
        <f t="shared" si="32"/>
        <v>3078.4</v>
      </c>
      <c r="H265" s="31">
        <v>3000</v>
      </c>
      <c r="I265" s="32">
        <f t="shared" si="33"/>
        <v>17601.599999999999</v>
      </c>
      <c r="J265" s="33">
        <v>12435.5</v>
      </c>
      <c r="K265" s="32">
        <f t="shared" si="34"/>
        <v>5166.0999999999985</v>
      </c>
      <c r="L265" s="34">
        <f t="shared" si="35"/>
        <v>0.41543162719633298</v>
      </c>
      <c r="M265" s="44">
        <v>1</v>
      </c>
    </row>
    <row r="266" spans="1:13" ht="50.1" customHeight="1" x14ac:dyDescent="0.2">
      <c r="A266" s="27" t="s">
        <v>538</v>
      </c>
      <c r="B266" s="27" t="s">
        <v>139</v>
      </c>
      <c r="C266" s="49" t="s">
        <v>768</v>
      </c>
      <c r="D266" s="28" t="s">
        <v>140</v>
      </c>
      <c r="E266" s="29">
        <v>19040</v>
      </c>
      <c r="F266" s="38" t="s">
        <v>467</v>
      </c>
      <c r="G266" s="31">
        <f t="shared" si="32"/>
        <v>3427.2</v>
      </c>
      <c r="H266" s="31">
        <f>IF(E266&gt;=19990,"ACTIVAR",0)</f>
        <v>0</v>
      </c>
      <c r="I266" s="32">
        <f t="shared" si="33"/>
        <v>15612.8</v>
      </c>
      <c r="J266" s="33">
        <v>9044</v>
      </c>
      <c r="K266" s="32">
        <f t="shared" si="34"/>
        <v>6568.7999999999993</v>
      </c>
      <c r="L266" s="34">
        <f t="shared" si="35"/>
        <v>0.72631578947368414</v>
      </c>
      <c r="M266" s="44">
        <v>1</v>
      </c>
    </row>
    <row r="267" spans="1:13" ht="50.1" customHeight="1" x14ac:dyDescent="0.2">
      <c r="A267" s="27" t="s">
        <v>538</v>
      </c>
      <c r="B267" s="27" t="s">
        <v>171</v>
      </c>
      <c r="C267" s="49" t="s">
        <v>769</v>
      </c>
      <c r="D267" s="28" t="s">
        <v>172</v>
      </c>
      <c r="E267" s="29">
        <v>8455</v>
      </c>
      <c r="F267" s="38" t="s">
        <v>467</v>
      </c>
      <c r="G267" s="31">
        <f t="shared" si="32"/>
        <v>1521.8999999999999</v>
      </c>
      <c r="H267" s="31">
        <f>IF(E267&gt;=19990,"ACTIVAR",0)</f>
        <v>0</v>
      </c>
      <c r="I267" s="32">
        <f t="shared" si="33"/>
        <v>6933.1</v>
      </c>
      <c r="J267" s="33">
        <v>3391.5</v>
      </c>
      <c r="K267" s="32">
        <f t="shared" si="34"/>
        <v>3541.6000000000004</v>
      </c>
      <c r="L267" s="34">
        <f t="shared" si="35"/>
        <v>1.0442577030812326</v>
      </c>
      <c r="M267" s="44">
        <v>1</v>
      </c>
    </row>
    <row r="268" spans="1:13" ht="50.1" customHeight="1" x14ac:dyDescent="0.2">
      <c r="A268" s="27" t="s">
        <v>538</v>
      </c>
      <c r="B268" s="27" t="s">
        <v>173</v>
      </c>
      <c r="C268" s="49" t="s">
        <v>770</v>
      </c>
      <c r="D268" s="28" t="s">
        <v>174</v>
      </c>
      <c r="E268" s="29">
        <v>8455</v>
      </c>
      <c r="F268" s="38" t="s">
        <v>467</v>
      </c>
      <c r="G268" s="31">
        <f t="shared" si="32"/>
        <v>1521.8999999999999</v>
      </c>
      <c r="H268" s="31">
        <f>IF(E268&gt;=19990,"ACTIVAR",0)</f>
        <v>0</v>
      </c>
      <c r="I268" s="32">
        <f t="shared" si="33"/>
        <v>6933.1</v>
      </c>
      <c r="J268" s="33">
        <v>3391.5</v>
      </c>
      <c r="K268" s="32">
        <f t="shared" si="34"/>
        <v>3541.6000000000004</v>
      </c>
      <c r="L268" s="34">
        <f t="shared" si="35"/>
        <v>1.0442577030812326</v>
      </c>
      <c r="M268" s="44">
        <v>1</v>
      </c>
    </row>
    <row r="269" spans="1:13" ht="50.1" customHeight="1" x14ac:dyDescent="0.2">
      <c r="A269" s="27" t="s">
        <v>538</v>
      </c>
      <c r="B269" s="27" t="s">
        <v>209</v>
      </c>
      <c r="C269" s="49" t="s">
        <v>771</v>
      </c>
      <c r="D269" s="27" t="s">
        <v>210</v>
      </c>
      <c r="E269" s="29">
        <v>5626</v>
      </c>
      <c r="F269" s="38" t="s">
        <v>467</v>
      </c>
      <c r="G269" s="31">
        <f t="shared" si="32"/>
        <v>1012.68</v>
      </c>
      <c r="H269" s="31">
        <f>IF(E269&gt;=19990,"ACTIVAR",0)</f>
        <v>0</v>
      </c>
      <c r="I269" s="32">
        <f t="shared" si="33"/>
        <v>4613.32</v>
      </c>
      <c r="J269" s="33">
        <v>4296</v>
      </c>
      <c r="K269" s="32">
        <f t="shared" si="34"/>
        <v>317.31999999999971</v>
      </c>
      <c r="L269" s="34">
        <f t="shared" si="35"/>
        <v>7.38640595903165E-2</v>
      </c>
      <c r="M269" s="44">
        <v>1</v>
      </c>
    </row>
    <row r="270" spans="1:13" ht="50.1" customHeight="1" x14ac:dyDescent="0.2">
      <c r="A270" s="27" t="s">
        <v>538</v>
      </c>
      <c r="B270" s="27" t="s">
        <v>211</v>
      </c>
      <c r="C270" s="49" t="s">
        <v>772</v>
      </c>
      <c r="D270" s="27" t="s">
        <v>212</v>
      </c>
      <c r="E270" s="29">
        <v>11305</v>
      </c>
      <c r="F270" s="38" t="s">
        <v>467</v>
      </c>
      <c r="G270" s="31">
        <f t="shared" si="32"/>
        <v>2034.8999999999999</v>
      </c>
      <c r="H270" s="31">
        <f>IF(E270&gt;=19990,"ACTIVAR",0)</f>
        <v>0</v>
      </c>
      <c r="I270" s="32">
        <f t="shared" si="33"/>
        <v>9270.1</v>
      </c>
      <c r="J270" s="33">
        <v>6217.75</v>
      </c>
      <c r="K270" s="32">
        <f t="shared" si="34"/>
        <v>3052.3500000000004</v>
      </c>
      <c r="L270" s="34">
        <f t="shared" si="35"/>
        <v>0.49090909090909096</v>
      </c>
      <c r="M270" s="44">
        <v>1</v>
      </c>
    </row>
    <row r="271" spans="1:13" ht="50.1" customHeight="1" x14ac:dyDescent="0.2">
      <c r="A271" s="27" t="s">
        <v>538</v>
      </c>
      <c r="B271" s="27" t="s">
        <v>296</v>
      </c>
      <c r="C271" s="49" t="s">
        <v>773</v>
      </c>
      <c r="D271" s="27" t="s">
        <v>297</v>
      </c>
      <c r="E271" s="29">
        <v>26250</v>
      </c>
      <c r="F271" s="38" t="s">
        <v>472</v>
      </c>
      <c r="G271" s="31">
        <f t="shared" si="32"/>
        <v>3412.5</v>
      </c>
      <c r="H271" s="31">
        <v>3000</v>
      </c>
      <c r="I271" s="32">
        <f t="shared" si="33"/>
        <v>19837.5</v>
      </c>
      <c r="J271" s="33">
        <v>13566</v>
      </c>
      <c r="K271" s="32">
        <f t="shared" si="34"/>
        <v>6271.5</v>
      </c>
      <c r="L271" s="34">
        <f t="shared" si="35"/>
        <v>0.46229544449358689</v>
      </c>
      <c r="M271" s="44">
        <v>1</v>
      </c>
    </row>
    <row r="272" spans="1:13" ht="50.1" customHeight="1" x14ac:dyDescent="0.2">
      <c r="A272" s="27" t="s">
        <v>538</v>
      </c>
      <c r="B272" s="27" t="s">
        <v>298</v>
      </c>
      <c r="C272" s="49" t="s">
        <v>774</v>
      </c>
      <c r="D272" s="27" t="s">
        <v>299</v>
      </c>
      <c r="E272" s="29">
        <v>11305</v>
      </c>
      <c r="F272" s="38" t="s">
        <v>467</v>
      </c>
      <c r="G272" s="31">
        <f t="shared" si="32"/>
        <v>2034.8999999999999</v>
      </c>
      <c r="H272" s="31">
        <f>IF(E272&gt;=19990,"ACTIVAR",0)</f>
        <v>0</v>
      </c>
      <c r="I272" s="32">
        <f t="shared" si="33"/>
        <v>9270.1</v>
      </c>
      <c r="J272" s="33">
        <v>6217.75</v>
      </c>
      <c r="K272" s="32">
        <f t="shared" si="34"/>
        <v>3052.3500000000004</v>
      </c>
      <c r="L272" s="34">
        <f t="shared" si="35"/>
        <v>0.49090909090909096</v>
      </c>
      <c r="M272" s="44">
        <v>1</v>
      </c>
    </row>
    <row r="273" spans="1:13" ht="50.1" customHeight="1" x14ac:dyDescent="0.2">
      <c r="A273" s="27" t="s">
        <v>538</v>
      </c>
      <c r="B273" s="27" t="s">
        <v>338</v>
      </c>
      <c r="C273" s="49" t="s">
        <v>775</v>
      </c>
      <c r="D273" s="28" t="s">
        <v>25</v>
      </c>
      <c r="E273" s="29">
        <v>10000</v>
      </c>
      <c r="F273" s="38" t="s">
        <v>472</v>
      </c>
      <c r="G273" s="31">
        <f t="shared" si="32"/>
        <v>2300</v>
      </c>
      <c r="H273" s="31">
        <f>IF(E273&gt;=19990,"ACTIVAR",0)</f>
        <v>0</v>
      </c>
      <c r="I273" s="32">
        <f t="shared" si="33"/>
        <v>7700</v>
      </c>
      <c r="J273" s="33">
        <v>3391.5</v>
      </c>
      <c r="K273" s="32">
        <f t="shared" si="34"/>
        <v>4308.5</v>
      </c>
      <c r="L273" s="34">
        <f t="shared" si="35"/>
        <v>1.2703818369453044</v>
      </c>
      <c r="M273" s="44">
        <v>1</v>
      </c>
    </row>
    <row r="274" spans="1:13" ht="50.1" customHeight="1" x14ac:dyDescent="0.2">
      <c r="A274" s="27" t="s">
        <v>538</v>
      </c>
      <c r="B274" s="27" t="s">
        <v>370</v>
      </c>
      <c r="C274" s="49" t="s">
        <v>776</v>
      </c>
      <c r="D274" s="28" t="s">
        <v>371</v>
      </c>
      <c r="E274" s="29">
        <v>26250</v>
      </c>
      <c r="F274" s="38" t="s">
        <v>472</v>
      </c>
      <c r="G274" s="31">
        <f t="shared" si="32"/>
        <v>3412.5</v>
      </c>
      <c r="H274" s="31">
        <v>3000</v>
      </c>
      <c r="I274" s="32">
        <f t="shared" si="33"/>
        <v>19837.5</v>
      </c>
      <c r="J274" s="33">
        <v>13566</v>
      </c>
      <c r="K274" s="32">
        <f t="shared" si="34"/>
        <v>6271.5</v>
      </c>
      <c r="L274" s="34">
        <f t="shared" si="35"/>
        <v>0.46229544449358689</v>
      </c>
      <c r="M274" s="44">
        <v>1</v>
      </c>
    </row>
    <row r="275" spans="1:13" ht="50.1" customHeight="1" x14ac:dyDescent="0.2">
      <c r="A275" s="27" t="s">
        <v>538</v>
      </c>
      <c r="B275" s="27" t="s">
        <v>372</v>
      </c>
      <c r="C275" s="49" t="s">
        <v>777</v>
      </c>
      <c r="D275" s="28" t="s">
        <v>25</v>
      </c>
      <c r="E275" s="29">
        <v>10000</v>
      </c>
      <c r="F275" s="38" t="s">
        <v>472</v>
      </c>
      <c r="G275" s="31">
        <f t="shared" si="32"/>
        <v>2300</v>
      </c>
      <c r="H275" s="31">
        <f t="shared" ref="H275:H281" si="36">IF(E275&gt;=19990,"ACTIVAR",0)</f>
        <v>0</v>
      </c>
      <c r="I275" s="32">
        <f t="shared" si="33"/>
        <v>7700</v>
      </c>
      <c r="J275" s="33">
        <v>10174.5</v>
      </c>
      <c r="K275" s="32">
        <f t="shared" si="34"/>
        <v>-2474.5</v>
      </c>
      <c r="L275" s="34">
        <f t="shared" si="35"/>
        <v>-0.2432060543515652</v>
      </c>
      <c r="M275" s="44">
        <v>1</v>
      </c>
    </row>
    <row r="276" spans="1:13" ht="50.1" customHeight="1" x14ac:dyDescent="0.2">
      <c r="A276" s="27" t="s">
        <v>538</v>
      </c>
      <c r="B276" s="27" t="s">
        <v>438</v>
      </c>
      <c r="C276" s="49" t="s">
        <v>778</v>
      </c>
      <c r="D276" s="28" t="s">
        <v>439</v>
      </c>
      <c r="E276" s="29">
        <v>6000</v>
      </c>
      <c r="F276" s="38" t="s">
        <v>472</v>
      </c>
      <c r="G276" s="31">
        <f t="shared" si="32"/>
        <v>1480</v>
      </c>
      <c r="H276" s="31">
        <f t="shared" si="36"/>
        <v>0</v>
      </c>
      <c r="I276" s="32">
        <f t="shared" si="33"/>
        <v>4520</v>
      </c>
      <c r="J276" s="33">
        <v>3279</v>
      </c>
      <c r="K276" s="32">
        <f t="shared" si="34"/>
        <v>1241</v>
      </c>
      <c r="L276" s="34">
        <f t="shared" si="35"/>
        <v>0.37846904544068316</v>
      </c>
      <c r="M276" s="44">
        <v>1</v>
      </c>
    </row>
    <row r="277" spans="1:13" ht="50.1" customHeight="1" x14ac:dyDescent="0.2">
      <c r="A277" s="27" t="s">
        <v>538</v>
      </c>
      <c r="B277" s="27" t="s">
        <v>440</v>
      </c>
      <c r="C277" s="49" t="s">
        <v>778</v>
      </c>
      <c r="D277" s="28" t="s">
        <v>441</v>
      </c>
      <c r="E277" s="29">
        <v>6000</v>
      </c>
      <c r="F277" s="38" t="s">
        <v>472</v>
      </c>
      <c r="G277" s="31">
        <f t="shared" si="32"/>
        <v>1480</v>
      </c>
      <c r="H277" s="31">
        <f t="shared" si="36"/>
        <v>0</v>
      </c>
      <c r="I277" s="32">
        <f t="shared" si="33"/>
        <v>4520</v>
      </c>
      <c r="J277" s="33">
        <v>3279</v>
      </c>
      <c r="K277" s="32">
        <f t="shared" si="34"/>
        <v>1241</v>
      </c>
      <c r="L277" s="34">
        <f t="shared" si="35"/>
        <v>0.37846904544068316</v>
      </c>
      <c r="M277" s="44">
        <v>1</v>
      </c>
    </row>
    <row r="278" spans="1:13" ht="50.1" customHeight="1" x14ac:dyDescent="0.2">
      <c r="A278" s="27" t="s">
        <v>544</v>
      </c>
      <c r="B278" s="27" t="s">
        <v>72</v>
      </c>
      <c r="C278" s="49" t="s">
        <v>1088</v>
      </c>
      <c r="D278" s="27" t="s">
        <v>73</v>
      </c>
      <c r="E278" s="29">
        <v>11990</v>
      </c>
      <c r="F278" s="38" t="s">
        <v>467</v>
      </c>
      <c r="G278" s="31">
        <f t="shared" si="32"/>
        <v>2158.1999999999998</v>
      </c>
      <c r="H278" s="31">
        <f t="shared" si="36"/>
        <v>0</v>
      </c>
      <c r="I278" s="32">
        <f t="shared" si="33"/>
        <v>9831.7999999999993</v>
      </c>
      <c r="J278" s="17">
        <v>8948.7999999999993</v>
      </c>
      <c r="K278" s="32">
        <f t="shared" si="34"/>
        <v>883</v>
      </c>
      <c r="L278" s="34">
        <f t="shared" si="35"/>
        <v>9.8672447702485261E-2</v>
      </c>
      <c r="M278" s="44">
        <v>1</v>
      </c>
    </row>
    <row r="279" spans="1:13" ht="50.1" customHeight="1" x14ac:dyDescent="0.2">
      <c r="A279" s="27" t="s">
        <v>544</v>
      </c>
      <c r="B279" s="27" t="s">
        <v>83</v>
      </c>
      <c r="C279" s="49" t="s">
        <v>1087</v>
      </c>
      <c r="D279" s="27" t="s">
        <v>84</v>
      </c>
      <c r="E279" s="29">
        <v>12164</v>
      </c>
      <c r="F279" s="38" t="s">
        <v>467</v>
      </c>
      <c r="G279" s="31">
        <f t="shared" si="32"/>
        <v>2189.52</v>
      </c>
      <c r="H279" s="31">
        <f t="shared" si="36"/>
        <v>0</v>
      </c>
      <c r="I279" s="32">
        <f t="shared" si="33"/>
        <v>9974.48</v>
      </c>
      <c r="J279" s="17">
        <v>8948.7999999999993</v>
      </c>
      <c r="K279" s="32">
        <f t="shared" si="34"/>
        <v>1025.6800000000003</v>
      </c>
      <c r="L279" s="34">
        <f t="shared" si="35"/>
        <v>0.11461648489182912</v>
      </c>
      <c r="M279" s="44">
        <v>1</v>
      </c>
    </row>
    <row r="280" spans="1:13" ht="50.1" customHeight="1" x14ac:dyDescent="0.2">
      <c r="A280" s="27" t="s">
        <v>544</v>
      </c>
      <c r="B280" s="27" t="s">
        <v>155</v>
      </c>
      <c r="C280" s="49" t="s">
        <v>1087</v>
      </c>
      <c r="D280" s="28" t="s">
        <v>156</v>
      </c>
      <c r="E280" s="29">
        <v>12625</v>
      </c>
      <c r="F280" s="38" t="s">
        <v>467</v>
      </c>
      <c r="G280" s="31">
        <f t="shared" si="32"/>
        <v>2272.5</v>
      </c>
      <c r="H280" s="31">
        <f t="shared" si="36"/>
        <v>0</v>
      </c>
      <c r="I280" s="32">
        <f t="shared" si="33"/>
        <v>10352.5</v>
      </c>
      <c r="J280" s="33">
        <v>8948.7999999999993</v>
      </c>
      <c r="K280" s="32">
        <f t="shared" si="34"/>
        <v>1403.7000000000007</v>
      </c>
      <c r="L280" s="34">
        <f t="shared" si="35"/>
        <v>0.1568590202038263</v>
      </c>
      <c r="M280" s="44">
        <v>1</v>
      </c>
    </row>
    <row r="281" spans="1:13" ht="50.1" customHeight="1" x14ac:dyDescent="0.2">
      <c r="A281" s="27" t="s">
        <v>544</v>
      </c>
      <c r="B281" s="27" t="s">
        <v>157</v>
      </c>
      <c r="C281" s="49" t="s">
        <v>1088</v>
      </c>
      <c r="D281" s="28" t="s">
        <v>158</v>
      </c>
      <c r="E281" s="29">
        <v>12625</v>
      </c>
      <c r="F281" s="38" t="s">
        <v>467</v>
      </c>
      <c r="G281" s="31">
        <f t="shared" si="32"/>
        <v>2272.5</v>
      </c>
      <c r="H281" s="31">
        <f t="shared" si="36"/>
        <v>0</v>
      </c>
      <c r="I281" s="32">
        <f t="shared" si="33"/>
        <v>10352.5</v>
      </c>
      <c r="J281" s="33">
        <v>8948.7999999999993</v>
      </c>
      <c r="K281" s="32">
        <f t="shared" si="34"/>
        <v>1403.7000000000007</v>
      </c>
      <c r="L281" s="34">
        <f t="shared" si="35"/>
        <v>0.1568590202038263</v>
      </c>
      <c r="M281" s="44">
        <v>1</v>
      </c>
    </row>
    <row r="282" spans="1:13" ht="50.1" customHeight="1" x14ac:dyDescent="0.2">
      <c r="A282" s="27" t="s">
        <v>544</v>
      </c>
      <c r="B282" s="27" t="s">
        <v>959</v>
      </c>
      <c r="C282" s="49" t="s">
        <v>960</v>
      </c>
      <c r="D282" s="28" t="s">
        <v>962</v>
      </c>
      <c r="E282" s="29"/>
      <c r="F282" s="30"/>
      <c r="G282" s="31">
        <f t="shared" ref="G282:G300" si="37">E282*F282</f>
        <v>0</v>
      </c>
      <c r="H282" s="31"/>
      <c r="I282" s="32">
        <f t="shared" si="33"/>
        <v>0</v>
      </c>
      <c r="J282" s="36">
        <v>8876</v>
      </c>
      <c r="K282" s="32">
        <f t="shared" si="34"/>
        <v>-8876</v>
      </c>
      <c r="L282" s="34">
        <f t="shared" si="35"/>
        <v>-1</v>
      </c>
      <c r="M282" s="44">
        <v>1</v>
      </c>
    </row>
    <row r="283" spans="1:13" ht="50.1" customHeight="1" x14ac:dyDescent="0.2">
      <c r="A283" s="27" t="s">
        <v>544</v>
      </c>
      <c r="B283" s="27" t="s">
        <v>963</v>
      </c>
      <c r="C283" s="49" t="s">
        <v>964</v>
      </c>
      <c r="D283" s="28" t="s">
        <v>965</v>
      </c>
      <c r="E283" s="29"/>
      <c r="F283" s="30"/>
      <c r="G283" s="31">
        <f t="shared" si="37"/>
        <v>0</v>
      </c>
      <c r="H283" s="31"/>
      <c r="I283" s="32">
        <f t="shared" si="33"/>
        <v>0</v>
      </c>
      <c r="J283" s="36">
        <v>8876</v>
      </c>
      <c r="K283" s="32">
        <f t="shared" si="34"/>
        <v>-8876</v>
      </c>
      <c r="L283" s="34">
        <f t="shared" si="35"/>
        <v>-1</v>
      </c>
      <c r="M283" s="44">
        <v>1</v>
      </c>
    </row>
    <row r="284" spans="1:13" ht="50.1" customHeight="1" x14ac:dyDescent="0.2">
      <c r="A284" s="27" t="s">
        <v>544</v>
      </c>
      <c r="B284" s="27" t="s">
        <v>966</v>
      </c>
      <c r="C284" s="49" t="s">
        <v>964</v>
      </c>
      <c r="D284" s="28" t="s">
        <v>967</v>
      </c>
      <c r="E284" s="29"/>
      <c r="F284" s="30"/>
      <c r="G284" s="31">
        <f t="shared" si="37"/>
        <v>0</v>
      </c>
      <c r="H284" s="31"/>
      <c r="I284" s="32">
        <f t="shared" si="33"/>
        <v>0</v>
      </c>
      <c r="J284" s="36">
        <v>8876</v>
      </c>
      <c r="K284" s="32">
        <f t="shared" si="34"/>
        <v>-8876</v>
      </c>
      <c r="L284" s="34">
        <f t="shared" si="35"/>
        <v>-1</v>
      </c>
      <c r="M284" s="44">
        <v>1</v>
      </c>
    </row>
    <row r="285" spans="1:13" ht="50.1" customHeight="1" x14ac:dyDescent="0.2">
      <c r="A285" s="27" t="s">
        <v>544</v>
      </c>
      <c r="B285" s="27" t="s">
        <v>968</v>
      </c>
      <c r="C285" s="49" t="s">
        <v>969</v>
      </c>
      <c r="D285" s="28" t="s">
        <v>970</v>
      </c>
      <c r="E285" s="29"/>
      <c r="F285" s="30"/>
      <c r="G285" s="31">
        <f t="shared" si="37"/>
        <v>0</v>
      </c>
      <c r="H285" s="31"/>
      <c r="I285" s="32">
        <f t="shared" si="33"/>
        <v>0</v>
      </c>
      <c r="J285" s="36">
        <v>8876</v>
      </c>
      <c r="K285" s="32">
        <f t="shared" si="34"/>
        <v>-8876</v>
      </c>
      <c r="L285" s="34">
        <f t="shared" si="35"/>
        <v>-1</v>
      </c>
      <c r="M285" s="44">
        <v>1</v>
      </c>
    </row>
    <row r="286" spans="1:13" ht="50.1" customHeight="1" x14ac:dyDescent="0.2">
      <c r="A286" s="27" t="s">
        <v>544</v>
      </c>
      <c r="B286" s="27" t="s">
        <v>971</v>
      </c>
      <c r="C286" s="49" t="s">
        <v>972</v>
      </c>
      <c r="D286" s="28" t="s">
        <v>973</v>
      </c>
      <c r="E286" s="29"/>
      <c r="F286" s="30"/>
      <c r="G286" s="31">
        <f t="shared" si="37"/>
        <v>0</v>
      </c>
      <c r="H286" s="31"/>
      <c r="I286" s="32">
        <f t="shared" si="33"/>
        <v>0</v>
      </c>
      <c r="J286" s="36">
        <v>8876</v>
      </c>
      <c r="K286" s="32">
        <f t="shared" si="34"/>
        <v>-8876</v>
      </c>
      <c r="L286" s="34">
        <f t="shared" si="35"/>
        <v>-1</v>
      </c>
      <c r="M286" s="44">
        <v>1</v>
      </c>
    </row>
    <row r="287" spans="1:13" ht="50.1" customHeight="1" x14ac:dyDescent="0.2">
      <c r="A287" s="27" t="s">
        <v>544</v>
      </c>
      <c r="B287" s="27" t="s">
        <v>974</v>
      </c>
      <c r="C287" s="49" t="s">
        <v>972</v>
      </c>
      <c r="D287" s="28" t="s">
        <v>975</v>
      </c>
      <c r="E287" s="29"/>
      <c r="F287" s="30"/>
      <c r="G287" s="31">
        <f t="shared" si="37"/>
        <v>0</v>
      </c>
      <c r="H287" s="31"/>
      <c r="I287" s="32">
        <f t="shared" si="33"/>
        <v>0</v>
      </c>
      <c r="J287" s="36">
        <v>8876</v>
      </c>
      <c r="K287" s="32">
        <f t="shared" si="34"/>
        <v>-8876</v>
      </c>
      <c r="L287" s="34">
        <f t="shared" si="35"/>
        <v>-1</v>
      </c>
      <c r="M287" s="44">
        <v>1</v>
      </c>
    </row>
    <row r="288" spans="1:13" ht="50.1" customHeight="1" x14ac:dyDescent="0.2">
      <c r="A288" s="27" t="s">
        <v>544</v>
      </c>
      <c r="B288" s="27" t="s">
        <v>976</v>
      </c>
      <c r="C288" s="49" t="s">
        <v>977</v>
      </c>
      <c r="D288" s="28" t="s">
        <v>978</v>
      </c>
      <c r="E288" s="29"/>
      <c r="F288" s="30"/>
      <c r="G288" s="31">
        <f t="shared" si="37"/>
        <v>0</v>
      </c>
      <c r="H288" s="31"/>
      <c r="I288" s="32">
        <f t="shared" si="33"/>
        <v>0</v>
      </c>
      <c r="J288" s="36">
        <v>8876</v>
      </c>
      <c r="K288" s="32">
        <f t="shared" si="34"/>
        <v>-8876</v>
      </c>
      <c r="L288" s="34">
        <f t="shared" si="35"/>
        <v>-1</v>
      </c>
      <c r="M288" s="44">
        <v>1</v>
      </c>
    </row>
    <row r="289" spans="1:13" ht="50.1" customHeight="1" x14ac:dyDescent="0.2">
      <c r="A289" s="27" t="s">
        <v>544</v>
      </c>
      <c r="B289" s="27" t="s">
        <v>979</v>
      </c>
      <c r="C289" s="49" t="s">
        <v>977</v>
      </c>
      <c r="D289" s="28" t="s">
        <v>980</v>
      </c>
      <c r="E289" s="29"/>
      <c r="F289" s="30"/>
      <c r="G289" s="31">
        <f t="shared" si="37"/>
        <v>0</v>
      </c>
      <c r="H289" s="31"/>
      <c r="I289" s="32">
        <f t="shared" si="33"/>
        <v>0</v>
      </c>
      <c r="J289" s="36">
        <v>8876</v>
      </c>
      <c r="K289" s="32">
        <f t="shared" si="34"/>
        <v>-8876</v>
      </c>
      <c r="L289" s="34">
        <f t="shared" si="35"/>
        <v>-1</v>
      </c>
      <c r="M289" s="44">
        <v>1</v>
      </c>
    </row>
    <row r="290" spans="1:13" ht="50.1" customHeight="1" x14ac:dyDescent="0.2">
      <c r="A290" s="27" t="s">
        <v>544</v>
      </c>
      <c r="B290" s="27" t="s">
        <v>1102</v>
      </c>
      <c r="C290" s="49" t="s">
        <v>969</v>
      </c>
      <c r="D290" s="28" t="s">
        <v>1103</v>
      </c>
      <c r="E290" s="29"/>
      <c r="F290" s="30"/>
      <c r="G290" s="31">
        <f t="shared" si="37"/>
        <v>0</v>
      </c>
      <c r="H290" s="31"/>
      <c r="I290" s="32">
        <f t="shared" si="33"/>
        <v>0</v>
      </c>
      <c r="J290" s="36">
        <v>8948.7999999999993</v>
      </c>
      <c r="K290" s="32">
        <f t="shared" si="34"/>
        <v>-8948.7999999999993</v>
      </c>
      <c r="L290" s="34">
        <f t="shared" si="35"/>
        <v>-1</v>
      </c>
      <c r="M290" s="44">
        <v>1</v>
      </c>
    </row>
    <row r="291" spans="1:13" ht="50.1" customHeight="1" x14ac:dyDescent="0.2">
      <c r="A291" s="27" t="s">
        <v>587</v>
      </c>
      <c r="B291" s="27" t="s">
        <v>588</v>
      </c>
      <c r="C291" s="49" t="s">
        <v>779</v>
      </c>
      <c r="D291" s="28" t="s">
        <v>592</v>
      </c>
      <c r="E291" s="29">
        <v>3500</v>
      </c>
      <c r="F291" s="30">
        <v>0.18</v>
      </c>
      <c r="G291" s="31">
        <f t="shared" si="37"/>
        <v>630</v>
      </c>
      <c r="H291" s="31">
        <f t="shared" ref="H291:H302" si="38">IF(E291&gt;=19990,"ACTIVAR",0)</f>
        <v>0</v>
      </c>
      <c r="I291" s="32">
        <f t="shared" si="33"/>
        <v>2870</v>
      </c>
      <c r="J291" s="36">
        <v>1660.0500000000002</v>
      </c>
      <c r="K291" s="32">
        <f t="shared" si="34"/>
        <v>1209.9499999999998</v>
      </c>
      <c r="L291" s="34">
        <f t="shared" si="35"/>
        <v>0.72886358844613097</v>
      </c>
      <c r="M291" s="44">
        <v>1</v>
      </c>
    </row>
    <row r="292" spans="1:13" ht="50.1" customHeight="1" x14ac:dyDescent="0.2">
      <c r="A292" s="27" t="s">
        <v>587</v>
      </c>
      <c r="B292" s="27" t="s">
        <v>589</v>
      </c>
      <c r="C292" s="49" t="s">
        <v>779</v>
      </c>
      <c r="D292" s="28" t="s">
        <v>592</v>
      </c>
      <c r="E292" s="29">
        <v>3500</v>
      </c>
      <c r="F292" s="30">
        <v>0.18</v>
      </c>
      <c r="G292" s="31">
        <f t="shared" si="37"/>
        <v>630</v>
      </c>
      <c r="H292" s="31">
        <f t="shared" si="38"/>
        <v>0</v>
      </c>
      <c r="I292" s="32">
        <f t="shared" si="33"/>
        <v>2870</v>
      </c>
      <c r="J292" s="36">
        <v>1660.0500000000002</v>
      </c>
      <c r="K292" s="32">
        <f t="shared" si="34"/>
        <v>1209.9499999999998</v>
      </c>
      <c r="L292" s="34">
        <f t="shared" si="35"/>
        <v>0.72886358844613097</v>
      </c>
      <c r="M292" s="44">
        <v>1</v>
      </c>
    </row>
    <row r="293" spans="1:13" ht="50.1" customHeight="1" x14ac:dyDescent="0.2">
      <c r="A293" s="27" t="s">
        <v>587</v>
      </c>
      <c r="B293" s="27" t="s">
        <v>590</v>
      </c>
      <c r="C293" s="49" t="s">
        <v>780</v>
      </c>
      <c r="D293" s="28" t="s">
        <v>593</v>
      </c>
      <c r="E293" s="29">
        <v>3738</v>
      </c>
      <c r="F293" s="30">
        <v>0.18</v>
      </c>
      <c r="G293" s="31">
        <f t="shared" si="37"/>
        <v>672.84</v>
      </c>
      <c r="H293" s="31">
        <f t="shared" si="38"/>
        <v>0</v>
      </c>
      <c r="I293" s="32">
        <f t="shared" si="33"/>
        <v>3065.16</v>
      </c>
      <c r="J293" s="36">
        <v>2434.7400000000002</v>
      </c>
      <c r="K293" s="32">
        <f t="shared" si="34"/>
        <v>630.41999999999962</v>
      </c>
      <c r="L293" s="34">
        <f t="shared" si="35"/>
        <v>0.25892703122304622</v>
      </c>
      <c r="M293" s="44">
        <v>1</v>
      </c>
    </row>
    <row r="294" spans="1:13" ht="50.1" customHeight="1" x14ac:dyDescent="0.2">
      <c r="A294" s="27" t="s">
        <v>587</v>
      </c>
      <c r="B294" s="27" t="s">
        <v>591</v>
      </c>
      <c r="C294" s="49" t="s">
        <v>780</v>
      </c>
      <c r="D294" s="28" t="s">
        <v>593</v>
      </c>
      <c r="E294" s="29">
        <v>3738</v>
      </c>
      <c r="F294" s="30">
        <v>0.18</v>
      </c>
      <c r="G294" s="31">
        <f t="shared" si="37"/>
        <v>672.84</v>
      </c>
      <c r="H294" s="31">
        <f t="shared" si="38"/>
        <v>0</v>
      </c>
      <c r="I294" s="32">
        <f t="shared" si="33"/>
        <v>3065.16</v>
      </c>
      <c r="J294" s="36">
        <v>2434.7400000000002</v>
      </c>
      <c r="K294" s="32">
        <f t="shared" si="34"/>
        <v>630.41999999999962</v>
      </c>
      <c r="L294" s="34">
        <f t="shared" si="35"/>
        <v>0.25892703122304622</v>
      </c>
      <c r="M294" s="44">
        <v>1</v>
      </c>
    </row>
    <row r="295" spans="1:13" ht="50.1" customHeight="1" x14ac:dyDescent="0.2">
      <c r="A295" s="27" t="s">
        <v>587</v>
      </c>
      <c r="B295" s="27" t="s">
        <v>594</v>
      </c>
      <c r="C295" s="49" t="s">
        <v>781</v>
      </c>
      <c r="D295" s="28" t="s">
        <v>623</v>
      </c>
      <c r="E295" s="29">
        <v>7300</v>
      </c>
      <c r="F295" s="30">
        <v>0.18</v>
      </c>
      <c r="G295" s="31">
        <f t="shared" si="37"/>
        <v>1314</v>
      </c>
      <c r="H295" s="31">
        <f t="shared" si="38"/>
        <v>0</v>
      </c>
      <c r="I295" s="32">
        <f t="shared" si="33"/>
        <v>5986</v>
      </c>
      <c r="J295" s="36">
        <v>6104.7</v>
      </c>
      <c r="K295" s="32">
        <f t="shared" si="34"/>
        <v>-118.69999999999982</v>
      </c>
      <c r="L295" s="34">
        <f t="shared" si="35"/>
        <v>-1.9444034923911054E-2</v>
      </c>
      <c r="M295" s="44">
        <v>1</v>
      </c>
    </row>
    <row r="296" spans="1:13" ht="50.1" customHeight="1" x14ac:dyDescent="0.2">
      <c r="A296" s="27" t="s">
        <v>587</v>
      </c>
      <c r="B296" s="27" t="s">
        <v>595</v>
      </c>
      <c r="C296" s="49" t="s">
        <v>781</v>
      </c>
      <c r="D296" s="28" t="s">
        <v>623</v>
      </c>
      <c r="E296" s="29">
        <v>7300</v>
      </c>
      <c r="F296" s="30">
        <v>0.18</v>
      </c>
      <c r="G296" s="31">
        <f t="shared" si="37"/>
        <v>1314</v>
      </c>
      <c r="H296" s="31">
        <f t="shared" si="38"/>
        <v>0</v>
      </c>
      <c r="I296" s="32">
        <f t="shared" si="33"/>
        <v>5986</v>
      </c>
      <c r="J296" s="36">
        <v>6104.7</v>
      </c>
      <c r="K296" s="32">
        <f t="shared" si="34"/>
        <v>-118.69999999999982</v>
      </c>
      <c r="L296" s="34">
        <f t="shared" si="35"/>
        <v>-1.9444034923911054E-2</v>
      </c>
      <c r="M296" s="44">
        <v>1</v>
      </c>
    </row>
    <row r="297" spans="1:13" ht="50.1" customHeight="1" x14ac:dyDescent="0.2">
      <c r="A297" s="27" t="s">
        <v>587</v>
      </c>
      <c r="B297" s="27" t="s">
        <v>596</v>
      </c>
      <c r="C297" s="49" t="s">
        <v>782</v>
      </c>
      <c r="D297" s="28" t="s">
        <v>622</v>
      </c>
      <c r="E297" s="29">
        <v>5990</v>
      </c>
      <c r="F297" s="30">
        <v>0.18</v>
      </c>
      <c r="G297" s="31">
        <f t="shared" si="37"/>
        <v>1078.2</v>
      </c>
      <c r="H297" s="31">
        <f t="shared" si="38"/>
        <v>0</v>
      </c>
      <c r="I297" s="32">
        <f t="shared" si="33"/>
        <v>4911.8</v>
      </c>
      <c r="J297" s="36">
        <v>4747.7429999999995</v>
      </c>
      <c r="K297" s="32">
        <f t="shared" si="34"/>
        <v>164.0570000000007</v>
      </c>
      <c r="L297" s="34">
        <f t="shared" si="35"/>
        <v>3.4554734744488218E-2</v>
      </c>
      <c r="M297" s="44">
        <v>1</v>
      </c>
    </row>
    <row r="298" spans="1:13" ht="50.1" customHeight="1" x14ac:dyDescent="0.2">
      <c r="A298" s="27" t="s">
        <v>587</v>
      </c>
      <c r="B298" s="27" t="s">
        <v>597</v>
      </c>
      <c r="C298" s="49" t="s">
        <v>782</v>
      </c>
      <c r="D298" s="28" t="s">
        <v>622</v>
      </c>
      <c r="E298" s="29">
        <v>5990</v>
      </c>
      <c r="F298" s="30">
        <v>0.18</v>
      </c>
      <c r="G298" s="31">
        <f t="shared" si="37"/>
        <v>1078.2</v>
      </c>
      <c r="H298" s="31">
        <f t="shared" si="38"/>
        <v>0</v>
      </c>
      <c r="I298" s="32">
        <f t="shared" si="33"/>
        <v>4911.8</v>
      </c>
      <c r="J298" s="36">
        <v>4747.7429999999995</v>
      </c>
      <c r="K298" s="32">
        <f t="shared" si="34"/>
        <v>164.0570000000007</v>
      </c>
      <c r="L298" s="34">
        <f t="shared" si="35"/>
        <v>3.4554734744488218E-2</v>
      </c>
      <c r="M298" s="44">
        <v>1</v>
      </c>
    </row>
    <row r="299" spans="1:13" ht="50.1" customHeight="1" x14ac:dyDescent="0.2">
      <c r="A299" s="27" t="s">
        <v>587</v>
      </c>
      <c r="B299" s="27" t="s">
        <v>598</v>
      </c>
      <c r="C299" s="49" t="s">
        <v>783</v>
      </c>
      <c r="D299" s="28" t="s">
        <v>621</v>
      </c>
      <c r="E299" s="29">
        <v>5199</v>
      </c>
      <c r="F299" s="30">
        <v>0.18</v>
      </c>
      <c r="G299" s="31">
        <f t="shared" si="37"/>
        <v>935.81999999999994</v>
      </c>
      <c r="H299" s="31">
        <f t="shared" si="38"/>
        <v>0</v>
      </c>
      <c r="I299" s="32">
        <f t="shared" si="33"/>
        <v>4263.18</v>
      </c>
      <c r="J299" s="36">
        <v>3862.3829999999998</v>
      </c>
      <c r="K299" s="32">
        <f t="shared" si="34"/>
        <v>400.79700000000048</v>
      </c>
      <c r="L299" s="34">
        <f t="shared" si="35"/>
        <v>0.10376935689702459</v>
      </c>
      <c r="M299" s="44">
        <v>1</v>
      </c>
    </row>
    <row r="300" spans="1:13" ht="50.1" customHeight="1" x14ac:dyDescent="0.2">
      <c r="A300" s="27" t="s">
        <v>587</v>
      </c>
      <c r="B300" s="27" t="s">
        <v>599</v>
      </c>
      <c r="C300" s="49" t="s">
        <v>783</v>
      </c>
      <c r="D300" s="28" t="s">
        <v>621</v>
      </c>
      <c r="E300" s="29">
        <v>5199</v>
      </c>
      <c r="F300" s="30">
        <v>0.18</v>
      </c>
      <c r="G300" s="31">
        <f t="shared" si="37"/>
        <v>935.81999999999994</v>
      </c>
      <c r="H300" s="31">
        <f t="shared" si="38"/>
        <v>0</v>
      </c>
      <c r="I300" s="32">
        <f t="shared" si="33"/>
        <v>4263.18</v>
      </c>
      <c r="J300" s="36">
        <v>3862.3829999999998</v>
      </c>
      <c r="K300" s="32">
        <f t="shared" si="34"/>
        <v>400.79700000000048</v>
      </c>
      <c r="L300" s="34">
        <f t="shared" si="35"/>
        <v>0.10376935689702459</v>
      </c>
      <c r="M300" s="44">
        <v>1</v>
      </c>
    </row>
    <row r="301" spans="1:13" ht="50.1" customHeight="1" x14ac:dyDescent="0.2">
      <c r="A301" s="27" t="s">
        <v>549</v>
      </c>
      <c r="B301" s="27" t="s">
        <v>354</v>
      </c>
      <c r="C301" s="49" t="s">
        <v>784</v>
      </c>
      <c r="D301" s="28" t="s">
        <v>355</v>
      </c>
      <c r="E301" s="29">
        <v>13774</v>
      </c>
      <c r="F301" s="38" t="s">
        <v>472</v>
      </c>
      <c r="G301" s="31">
        <f t="shared" ref="G301:G311" si="39">IF(F301&gt;"15%",E301*F301,IF(E301&gt;=19990,F301*E301,IF(E301&gt;=9990,F301*E301+1000,F301*E301+700)))</f>
        <v>2790.62</v>
      </c>
      <c r="H301" s="31">
        <f t="shared" si="38"/>
        <v>0</v>
      </c>
      <c r="I301" s="32">
        <f t="shared" si="33"/>
        <v>10983.380000000001</v>
      </c>
      <c r="J301" s="33">
        <v>8558</v>
      </c>
      <c r="K301" s="32">
        <f t="shared" si="34"/>
        <v>2425.380000000001</v>
      </c>
      <c r="L301" s="34">
        <f t="shared" si="35"/>
        <v>0.28340500116849743</v>
      </c>
      <c r="M301" s="44">
        <v>1</v>
      </c>
    </row>
    <row r="302" spans="1:13" ht="50.1" customHeight="1" x14ac:dyDescent="0.2">
      <c r="A302" s="27" t="s">
        <v>549</v>
      </c>
      <c r="B302" s="27" t="s">
        <v>356</v>
      </c>
      <c r="C302" s="49" t="s">
        <v>785</v>
      </c>
      <c r="D302" s="28" t="s">
        <v>357</v>
      </c>
      <c r="E302" s="29">
        <v>10800</v>
      </c>
      <c r="F302" s="38" t="s">
        <v>473</v>
      </c>
      <c r="G302" s="31">
        <f t="shared" si="39"/>
        <v>2620</v>
      </c>
      <c r="H302" s="31">
        <f t="shared" si="38"/>
        <v>0</v>
      </c>
      <c r="I302" s="32">
        <f t="shared" si="33"/>
        <v>8180</v>
      </c>
      <c r="J302" s="33">
        <v>9000</v>
      </c>
      <c r="K302" s="32">
        <f t="shared" si="34"/>
        <v>-820</v>
      </c>
      <c r="L302" s="34">
        <f t="shared" si="35"/>
        <v>-9.1111111111111115E-2</v>
      </c>
      <c r="M302" s="44">
        <v>1</v>
      </c>
    </row>
    <row r="303" spans="1:13" ht="50.1" customHeight="1" x14ac:dyDescent="0.2">
      <c r="A303" s="27" t="s">
        <v>549</v>
      </c>
      <c r="B303" s="27" t="s">
        <v>442</v>
      </c>
      <c r="C303" s="49" t="s">
        <v>786</v>
      </c>
      <c r="D303" s="28" t="s">
        <v>443</v>
      </c>
      <c r="E303" s="29">
        <v>49990</v>
      </c>
      <c r="F303" s="38" t="s">
        <v>476</v>
      </c>
      <c r="G303" s="31">
        <f t="shared" si="39"/>
        <v>4999</v>
      </c>
      <c r="H303" s="31">
        <v>3000</v>
      </c>
      <c r="I303" s="32">
        <f t="shared" si="33"/>
        <v>41991</v>
      </c>
      <c r="J303" s="33">
        <v>36999</v>
      </c>
      <c r="K303" s="32">
        <f t="shared" si="34"/>
        <v>4992</v>
      </c>
      <c r="L303" s="34">
        <f t="shared" si="35"/>
        <v>0.13492256547474257</v>
      </c>
      <c r="M303" s="44">
        <v>1</v>
      </c>
    </row>
    <row r="304" spans="1:13" ht="50.1" customHeight="1" x14ac:dyDescent="0.2">
      <c r="A304" s="27" t="s">
        <v>549</v>
      </c>
      <c r="B304" s="27" t="s">
        <v>444</v>
      </c>
      <c r="C304" s="49">
        <v>6942007616355</v>
      </c>
      <c r="D304" s="28" t="s">
        <v>445</v>
      </c>
      <c r="E304" s="29">
        <v>13700</v>
      </c>
      <c r="F304" s="38" t="s">
        <v>472</v>
      </c>
      <c r="G304" s="31">
        <f t="shared" si="39"/>
        <v>2781</v>
      </c>
      <c r="H304" s="31">
        <f>IF(E304&gt;=19990,"ACTIVAR",0)</f>
        <v>0</v>
      </c>
      <c r="I304" s="32">
        <f t="shared" si="33"/>
        <v>10919</v>
      </c>
      <c r="J304" s="33">
        <v>10350</v>
      </c>
      <c r="K304" s="32">
        <f t="shared" si="34"/>
        <v>569</v>
      </c>
      <c r="L304" s="34">
        <f t="shared" si="35"/>
        <v>5.497584541062802E-2</v>
      </c>
      <c r="M304" s="44">
        <v>1</v>
      </c>
    </row>
    <row r="305" spans="1:13" ht="50.1" customHeight="1" x14ac:dyDescent="0.2">
      <c r="A305" s="27" t="s">
        <v>549</v>
      </c>
      <c r="B305" s="27" t="s">
        <v>446</v>
      </c>
      <c r="C305" s="49" t="s">
        <v>788</v>
      </c>
      <c r="D305" s="28" t="s">
        <v>447</v>
      </c>
      <c r="E305" s="29">
        <v>19990</v>
      </c>
      <c r="F305" s="38" t="s">
        <v>473</v>
      </c>
      <c r="G305" s="31">
        <f t="shared" si="39"/>
        <v>2998.5</v>
      </c>
      <c r="H305" s="31">
        <v>2560</v>
      </c>
      <c r="I305" s="32">
        <f t="shared" si="33"/>
        <v>14431.5</v>
      </c>
      <c r="J305" s="33">
        <v>13500</v>
      </c>
      <c r="K305" s="32">
        <f t="shared" si="34"/>
        <v>931.5</v>
      </c>
      <c r="L305" s="34">
        <f t="shared" si="35"/>
        <v>6.9000000000000006E-2</v>
      </c>
      <c r="M305" s="44">
        <v>1</v>
      </c>
    </row>
    <row r="306" spans="1:13" ht="50.1" customHeight="1" x14ac:dyDescent="0.2">
      <c r="A306" s="27" t="s">
        <v>549</v>
      </c>
      <c r="B306" s="27" t="s">
        <v>448</v>
      </c>
      <c r="C306" s="49" t="s">
        <v>787</v>
      </c>
      <c r="D306" s="28" t="s">
        <v>449</v>
      </c>
      <c r="E306" s="29">
        <v>13050</v>
      </c>
      <c r="F306" s="38" t="s">
        <v>472</v>
      </c>
      <c r="G306" s="31">
        <f t="shared" si="39"/>
        <v>2696.5</v>
      </c>
      <c r="H306" s="31">
        <f>IF(E306&gt;=19990,"ACTIVAR",0)</f>
        <v>0</v>
      </c>
      <c r="I306" s="32">
        <f t="shared" si="33"/>
        <v>10353.5</v>
      </c>
      <c r="J306" s="33">
        <v>10350</v>
      </c>
      <c r="K306" s="32">
        <f t="shared" si="34"/>
        <v>3.5</v>
      </c>
      <c r="L306" s="34">
        <f t="shared" si="35"/>
        <v>3.3816425120772949E-4</v>
      </c>
      <c r="M306" s="44">
        <v>1</v>
      </c>
    </row>
    <row r="307" spans="1:13" ht="50.1" customHeight="1" x14ac:dyDescent="0.2">
      <c r="A307" s="27" t="s">
        <v>549</v>
      </c>
      <c r="B307" s="27" t="s">
        <v>450</v>
      </c>
      <c r="C307" s="49" t="s">
        <v>789</v>
      </c>
      <c r="D307" s="28" t="s">
        <v>451</v>
      </c>
      <c r="E307" s="29">
        <v>13050</v>
      </c>
      <c r="F307" s="38" t="s">
        <v>472</v>
      </c>
      <c r="G307" s="31">
        <f t="shared" si="39"/>
        <v>2696.5</v>
      </c>
      <c r="H307" s="31">
        <f>IF(E307&gt;=19990,"ACTIVAR",0)</f>
        <v>0</v>
      </c>
      <c r="I307" s="32">
        <f t="shared" ref="I307:I331" si="40">E307-G307-H307</f>
        <v>10353.5</v>
      </c>
      <c r="J307" s="33">
        <v>8558</v>
      </c>
      <c r="K307" s="32">
        <f t="shared" ref="K307:K331" si="41">I307-J307</f>
        <v>1795.5</v>
      </c>
      <c r="L307" s="34">
        <f t="shared" ref="L307:L331" si="42">K307/J307</f>
        <v>0.20980369245150737</v>
      </c>
      <c r="M307" s="44">
        <v>1</v>
      </c>
    </row>
    <row r="308" spans="1:13" ht="50.1" customHeight="1" x14ac:dyDescent="0.2">
      <c r="A308" s="27" t="s">
        <v>549</v>
      </c>
      <c r="B308" s="27" t="s">
        <v>454</v>
      </c>
      <c r="C308" s="49" t="s">
        <v>788</v>
      </c>
      <c r="D308" s="28" t="s">
        <v>455</v>
      </c>
      <c r="E308" s="29">
        <v>19990</v>
      </c>
      <c r="F308" s="38" t="s">
        <v>473</v>
      </c>
      <c r="G308" s="31">
        <f t="shared" si="39"/>
        <v>2998.5</v>
      </c>
      <c r="H308" s="31">
        <v>3000</v>
      </c>
      <c r="I308" s="32">
        <f t="shared" si="40"/>
        <v>13991.5</v>
      </c>
      <c r="J308" s="33">
        <v>13500</v>
      </c>
      <c r="K308" s="32">
        <f t="shared" si="41"/>
        <v>491.5</v>
      </c>
      <c r="L308" s="34">
        <f t="shared" si="42"/>
        <v>3.6407407407407409E-2</v>
      </c>
      <c r="M308" s="44">
        <v>1</v>
      </c>
    </row>
    <row r="309" spans="1:13" ht="50.1" customHeight="1" x14ac:dyDescent="0.2">
      <c r="A309" s="27" t="s">
        <v>549</v>
      </c>
      <c r="B309" s="27" t="s">
        <v>456</v>
      </c>
      <c r="C309" s="52" t="s">
        <v>785</v>
      </c>
      <c r="D309" s="28" t="s">
        <v>357</v>
      </c>
      <c r="E309" s="29">
        <v>10800</v>
      </c>
      <c r="F309" s="38" t="s">
        <v>473</v>
      </c>
      <c r="G309" s="31">
        <f t="shared" si="39"/>
        <v>2620</v>
      </c>
      <c r="H309" s="31">
        <f>IF(E309&gt;=19990,"ACTIVAR",0)</f>
        <v>0</v>
      </c>
      <c r="I309" s="32">
        <f t="shared" si="40"/>
        <v>8180</v>
      </c>
      <c r="J309" s="33">
        <v>9000</v>
      </c>
      <c r="K309" s="32">
        <f t="shared" si="41"/>
        <v>-820</v>
      </c>
      <c r="L309" s="34">
        <f t="shared" si="42"/>
        <v>-9.1111111111111115E-2</v>
      </c>
      <c r="M309" s="44">
        <v>1</v>
      </c>
    </row>
    <row r="310" spans="1:13" ht="50.1" customHeight="1" x14ac:dyDescent="0.2">
      <c r="A310" s="27" t="s">
        <v>549</v>
      </c>
      <c r="B310" s="27" t="s">
        <v>459</v>
      </c>
      <c r="C310" s="52" t="s">
        <v>789</v>
      </c>
      <c r="D310" s="28" t="s">
        <v>460</v>
      </c>
      <c r="E310" s="29">
        <v>12993</v>
      </c>
      <c r="F310" s="38" t="s">
        <v>472</v>
      </c>
      <c r="G310" s="31">
        <f t="shared" si="39"/>
        <v>2689.09</v>
      </c>
      <c r="H310" s="31">
        <f>IF(E310&gt;=19990,"ACTIVAR",0)</f>
        <v>0</v>
      </c>
      <c r="I310" s="32">
        <f t="shared" si="40"/>
        <v>10303.91</v>
      </c>
      <c r="J310" s="33">
        <v>8558</v>
      </c>
      <c r="K310" s="32">
        <f t="shared" si="41"/>
        <v>1745.9099999999999</v>
      </c>
      <c r="L310" s="34">
        <f t="shared" si="42"/>
        <v>0.20400911427903715</v>
      </c>
      <c r="M310" s="44">
        <v>1</v>
      </c>
    </row>
    <row r="311" spans="1:13" ht="50.1" customHeight="1" x14ac:dyDescent="0.2">
      <c r="A311" s="27" t="s">
        <v>549</v>
      </c>
      <c r="B311" s="27" t="s">
        <v>463</v>
      </c>
      <c r="C311" s="52" t="s">
        <v>784</v>
      </c>
      <c r="D311" s="28" t="s">
        <v>464</v>
      </c>
      <c r="E311" s="29">
        <v>13774</v>
      </c>
      <c r="F311" s="38" t="s">
        <v>472</v>
      </c>
      <c r="G311" s="31">
        <f t="shared" si="39"/>
        <v>2790.62</v>
      </c>
      <c r="H311" s="31">
        <f>IF(E311&gt;=19990,"ACTIVAR",0)</f>
        <v>0</v>
      </c>
      <c r="I311" s="32">
        <f t="shared" si="40"/>
        <v>10983.380000000001</v>
      </c>
      <c r="J311" s="33">
        <v>8558</v>
      </c>
      <c r="K311" s="32">
        <f t="shared" si="41"/>
        <v>2425.380000000001</v>
      </c>
      <c r="L311" s="34">
        <f t="shared" si="42"/>
        <v>0.28340500116849743</v>
      </c>
      <c r="M311" s="44">
        <v>1</v>
      </c>
    </row>
    <row r="312" spans="1:13" ht="50.1" customHeight="1" x14ac:dyDescent="0.2">
      <c r="A312" s="27" t="s">
        <v>549</v>
      </c>
      <c r="B312" s="27" t="s">
        <v>573</v>
      </c>
      <c r="C312" s="52" t="s">
        <v>790</v>
      </c>
      <c r="D312" s="28" t="s">
        <v>575</v>
      </c>
      <c r="E312" s="29">
        <v>42990</v>
      </c>
      <c r="F312" s="30">
        <v>0.13</v>
      </c>
      <c r="G312" s="31">
        <f>E312*F312</f>
        <v>5588.7</v>
      </c>
      <c r="H312" s="31">
        <v>3100</v>
      </c>
      <c r="I312" s="32">
        <f t="shared" si="40"/>
        <v>34301.300000000003</v>
      </c>
      <c r="J312" s="35"/>
      <c r="K312" s="32">
        <f t="shared" si="41"/>
        <v>34301.300000000003</v>
      </c>
      <c r="L312" s="34" t="e">
        <f t="shared" si="42"/>
        <v>#DIV/0!</v>
      </c>
      <c r="M312" s="44">
        <v>1</v>
      </c>
    </row>
    <row r="313" spans="1:13" ht="50.1" customHeight="1" x14ac:dyDescent="0.2">
      <c r="A313" s="27" t="s">
        <v>549</v>
      </c>
      <c r="B313" s="27" t="s">
        <v>574</v>
      </c>
      <c r="C313" s="52" t="s">
        <v>790</v>
      </c>
      <c r="D313" s="28" t="s">
        <v>575</v>
      </c>
      <c r="E313" s="29">
        <v>42990</v>
      </c>
      <c r="F313" s="30">
        <v>0.13</v>
      </c>
      <c r="G313" s="31">
        <f>E313*F313</f>
        <v>5588.7</v>
      </c>
      <c r="H313" s="31">
        <v>3100</v>
      </c>
      <c r="I313" s="32">
        <f t="shared" si="40"/>
        <v>34301.300000000003</v>
      </c>
      <c r="J313" s="36"/>
      <c r="K313" s="32">
        <f t="shared" si="41"/>
        <v>34301.300000000003</v>
      </c>
      <c r="L313" s="34" t="e">
        <f t="shared" si="42"/>
        <v>#DIV/0!</v>
      </c>
      <c r="M313" s="44">
        <v>1</v>
      </c>
    </row>
    <row r="314" spans="1:13" ht="50.1" customHeight="1" x14ac:dyDescent="0.2">
      <c r="A314" s="27" t="s">
        <v>549</v>
      </c>
      <c r="B314" s="27" t="s">
        <v>580</v>
      </c>
      <c r="C314" s="52" t="s">
        <v>791</v>
      </c>
      <c r="D314" s="28" t="s">
        <v>582</v>
      </c>
      <c r="E314" s="29">
        <v>13990</v>
      </c>
      <c r="F314" s="30">
        <v>0.13</v>
      </c>
      <c r="G314" s="31">
        <f>Tabla1[[#This Row],[Precio]]*Tabla1[[#This Row],[Comision %]]+1000</f>
        <v>2818.7</v>
      </c>
      <c r="H314" s="31">
        <f>IF(E314&gt;=19990,"ACTIVAR",0)</f>
        <v>0</v>
      </c>
      <c r="I314" s="32">
        <f t="shared" si="40"/>
        <v>11171.3</v>
      </c>
      <c r="J314" s="36">
        <v>8100</v>
      </c>
      <c r="K314" s="32">
        <f t="shared" si="41"/>
        <v>3071.2999999999993</v>
      </c>
      <c r="L314" s="34">
        <f t="shared" si="42"/>
        <v>0.37917283950617275</v>
      </c>
      <c r="M314" s="44">
        <v>1</v>
      </c>
    </row>
    <row r="315" spans="1:13" ht="50.1" customHeight="1" x14ac:dyDescent="0.2">
      <c r="A315" s="27" t="s">
        <v>549</v>
      </c>
      <c r="B315" s="27" t="s">
        <v>581</v>
      </c>
      <c r="C315" s="52" t="s">
        <v>791</v>
      </c>
      <c r="D315" s="28" t="s">
        <v>583</v>
      </c>
      <c r="E315" s="29">
        <v>13990</v>
      </c>
      <c r="F315" s="30">
        <v>0.13</v>
      </c>
      <c r="G315" s="31">
        <f>Tabla1[[#This Row],[Precio]]*Tabla1[[#This Row],[Comision %]]+1000</f>
        <v>2818.7</v>
      </c>
      <c r="H315" s="31">
        <f>IF(E315&gt;=19990,"ACTIVAR",0)</f>
        <v>0</v>
      </c>
      <c r="I315" s="32">
        <f t="shared" si="40"/>
        <v>11171.3</v>
      </c>
      <c r="J315" s="36">
        <v>8100</v>
      </c>
      <c r="K315" s="32">
        <f t="shared" si="41"/>
        <v>3071.2999999999993</v>
      </c>
      <c r="L315" s="34">
        <f t="shared" si="42"/>
        <v>0.37917283950617275</v>
      </c>
      <c r="M315" s="44">
        <v>1</v>
      </c>
    </row>
    <row r="316" spans="1:13" ht="50.1" customHeight="1" x14ac:dyDescent="0.2">
      <c r="A316" s="27" t="s">
        <v>549</v>
      </c>
      <c r="B316" s="27" t="s">
        <v>668</v>
      </c>
      <c r="C316" s="52" t="s">
        <v>792</v>
      </c>
      <c r="D316" s="28" t="s">
        <v>670</v>
      </c>
      <c r="E316" s="29">
        <v>39990</v>
      </c>
      <c r="F316" s="30">
        <v>0.15</v>
      </c>
      <c r="G316" s="31">
        <f>E316*F316</f>
        <v>5998.5</v>
      </c>
      <c r="H316" s="31">
        <v>3500</v>
      </c>
      <c r="I316" s="32">
        <f t="shared" si="40"/>
        <v>30491.5</v>
      </c>
      <c r="J316" s="36">
        <v>19799.577000000001</v>
      </c>
      <c r="K316" s="32">
        <f t="shared" si="41"/>
        <v>10691.922999999999</v>
      </c>
      <c r="L316" s="34">
        <f t="shared" si="42"/>
        <v>0.5400076476381287</v>
      </c>
      <c r="M316" s="44">
        <v>1</v>
      </c>
    </row>
    <row r="317" spans="1:13" ht="50.1" customHeight="1" x14ac:dyDescent="0.2">
      <c r="A317" s="27" t="s">
        <v>549</v>
      </c>
      <c r="B317" s="27" t="s">
        <v>669</v>
      </c>
      <c r="C317" s="52" t="s">
        <v>792</v>
      </c>
      <c r="D317" s="28" t="s">
        <v>670</v>
      </c>
      <c r="E317" s="29">
        <v>39990</v>
      </c>
      <c r="F317" s="30">
        <v>0.15</v>
      </c>
      <c r="G317" s="31">
        <f>E317*F317</f>
        <v>5998.5</v>
      </c>
      <c r="H317" s="31">
        <v>3500</v>
      </c>
      <c r="I317" s="32">
        <f t="shared" si="40"/>
        <v>30491.5</v>
      </c>
      <c r="J317" s="36">
        <v>19799.577000000001</v>
      </c>
      <c r="K317" s="32">
        <f t="shared" si="41"/>
        <v>10691.922999999999</v>
      </c>
      <c r="L317" s="34">
        <f t="shared" si="42"/>
        <v>0.5400076476381287</v>
      </c>
      <c r="M317" s="44">
        <v>1</v>
      </c>
    </row>
    <row r="318" spans="1:13" ht="50.1" customHeight="1" x14ac:dyDescent="0.2">
      <c r="A318" s="27" t="s">
        <v>549</v>
      </c>
      <c r="B318" s="27" t="s">
        <v>671</v>
      </c>
      <c r="C318" s="52">
        <v>6942007606646</v>
      </c>
      <c r="D318" s="28" t="s">
        <v>673</v>
      </c>
      <c r="E318" s="29">
        <v>11990</v>
      </c>
      <c r="F318" s="30">
        <v>0.13</v>
      </c>
      <c r="G318" s="31">
        <f>E318*F318+1000</f>
        <v>2558.6999999999998</v>
      </c>
      <c r="H318" s="31">
        <f>IF(E318&gt;=19990,"ACTIVAR",0)</f>
        <v>0</v>
      </c>
      <c r="I318" s="32">
        <f t="shared" si="40"/>
        <v>9431.2999999999993</v>
      </c>
      <c r="J318" s="36">
        <v>5399.982</v>
      </c>
      <c r="K318" s="32">
        <f t="shared" si="41"/>
        <v>4031.3179999999993</v>
      </c>
      <c r="L318" s="34">
        <f t="shared" si="42"/>
        <v>0.74654285884656635</v>
      </c>
      <c r="M318" s="44">
        <v>1</v>
      </c>
    </row>
    <row r="319" spans="1:13" ht="50.1" customHeight="1" x14ac:dyDescent="0.2">
      <c r="A319" s="27" t="s">
        <v>549</v>
      </c>
      <c r="B319" s="27" t="s">
        <v>672</v>
      </c>
      <c r="C319" s="52">
        <v>6942007606646</v>
      </c>
      <c r="D319" s="28" t="s">
        <v>673</v>
      </c>
      <c r="E319" s="29">
        <v>11990</v>
      </c>
      <c r="F319" s="30">
        <v>0.13</v>
      </c>
      <c r="G319" s="31">
        <f>E319*F319+1000</f>
        <v>2558.6999999999998</v>
      </c>
      <c r="H319" s="31">
        <f>IF(E319&gt;=19990,"ACTIVAR",0)</f>
        <v>0</v>
      </c>
      <c r="I319" s="32">
        <f t="shared" si="40"/>
        <v>9431.2999999999993</v>
      </c>
      <c r="J319" s="36">
        <v>5399.982</v>
      </c>
      <c r="K319" s="32">
        <f t="shared" si="41"/>
        <v>4031.3179999999993</v>
      </c>
      <c r="L319" s="34">
        <f t="shared" si="42"/>
        <v>0.74654285884656635</v>
      </c>
      <c r="M319" s="44">
        <v>1</v>
      </c>
    </row>
    <row r="320" spans="1:13" ht="50.1" customHeight="1" x14ac:dyDescent="0.2">
      <c r="A320" s="27" t="s">
        <v>549</v>
      </c>
      <c r="B320" s="27" t="s">
        <v>675</v>
      </c>
      <c r="C320" s="52" t="s">
        <v>793</v>
      </c>
      <c r="D320" s="28" t="s">
        <v>674</v>
      </c>
      <c r="E320" s="29">
        <v>18490</v>
      </c>
      <c r="F320" s="30">
        <v>0.13</v>
      </c>
      <c r="G320" s="31">
        <f>E320*F320+1000</f>
        <v>3403.7000000000003</v>
      </c>
      <c r="H320" s="31">
        <f>IF(E320&gt;=19990,"ACTIVAR",0)</f>
        <v>0</v>
      </c>
      <c r="I320" s="32">
        <f t="shared" si="40"/>
        <v>15086.3</v>
      </c>
      <c r="J320" s="36">
        <v>11699.603999999999</v>
      </c>
      <c r="K320" s="32">
        <f t="shared" si="41"/>
        <v>3386.6959999999999</v>
      </c>
      <c r="L320" s="34">
        <f t="shared" si="42"/>
        <v>0.28947099406099558</v>
      </c>
      <c r="M320" s="44">
        <v>1</v>
      </c>
    </row>
    <row r="321" spans="1:13" ht="50.1" customHeight="1" x14ac:dyDescent="0.2">
      <c r="A321" s="27" t="s">
        <v>549</v>
      </c>
      <c r="B321" s="27" t="s">
        <v>676</v>
      </c>
      <c r="C321" s="52" t="s">
        <v>793</v>
      </c>
      <c r="D321" s="28" t="s">
        <v>674</v>
      </c>
      <c r="E321" s="29">
        <v>18490</v>
      </c>
      <c r="F321" s="30">
        <v>0.13</v>
      </c>
      <c r="G321" s="31">
        <f>E321*F321+1000</f>
        <v>3403.7000000000003</v>
      </c>
      <c r="H321" s="31">
        <f>IF(E321&gt;=19990,"ACTIVAR",0)</f>
        <v>0</v>
      </c>
      <c r="I321" s="32">
        <f t="shared" si="40"/>
        <v>15086.3</v>
      </c>
      <c r="J321" s="36">
        <v>11699.603999999999</v>
      </c>
      <c r="K321" s="32">
        <f t="shared" si="41"/>
        <v>3386.6959999999999</v>
      </c>
      <c r="L321" s="34">
        <f t="shared" si="42"/>
        <v>0.28947099406099558</v>
      </c>
      <c r="M321" s="44">
        <v>1</v>
      </c>
    </row>
    <row r="322" spans="1:13" ht="50.1" customHeight="1" x14ac:dyDescent="0.2">
      <c r="A322" s="27" t="s">
        <v>549</v>
      </c>
      <c r="B322" s="27" t="s">
        <v>715</v>
      </c>
      <c r="C322" s="52" t="s">
        <v>925</v>
      </c>
      <c r="D322" s="28" t="s">
        <v>745</v>
      </c>
      <c r="E322" s="29"/>
      <c r="F322" s="30"/>
      <c r="G322" s="31">
        <f t="shared" ref="G322:G331" si="43">E322*F322</f>
        <v>0</v>
      </c>
      <c r="H322" s="31"/>
      <c r="I322" s="32">
        <f t="shared" si="40"/>
        <v>0</v>
      </c>
      <c r="J322" s="36">
        <v>11700</v>
      </c>
      <c r="K322" s="32">
        <f t="shared" si="41"/>
        <v>-11700</v>
      </c>
      <c r="L322" s="34">
        <f t="shared" si="42"/>
        <v>-1</v>
      </c>
      <c r="M322" s="44">
        <v>1</v>
      </c>
    </row>
    <row r="323" spans="1:13" ht="50.1" customHeight="1" x14ac:dyDescent="0.2">
      <c r="A323" s="27" t="s">
        <v>549</v>
      </c>
      <c r="B323" s="27" t="s">
        <v>716</v>
      </c>
      <c r="C323" s="52" t="s">
        <v>925</v>
      </c>
      <c r="D323" s="28" t="s">
        <v>745</v>
      </c>
      <c r="E323" s="29"/>
      <c r="F323" s="30"/>
      <c r="G323" s="31">
        <f t="shared" si="43"/>
        <v>0</v>
      </c>
      <c r="H323" s="31"/>
      <c r="I323" s="32">
        <f t="shared" si="40"/>
        <v>0</v>
      </c>
      <c r="J323" s="36">
        <v>11700</v>
      </c>
      <c r="K323" s="32">
        <f t="shared" si="41"/>
        <v>-11700</v>
      </c>
      <c r="L323" s="34">
        <f t="shared" si="42"/>
        <v>-1</v>
      </c>
      <c r="M323" s="44">
        <v>1</v>
      </c>
    </row>
    <row r="324" spans="1:13" ht="50.1" customHeight="1" x14ac:dyDescent="0.2">
      <c r="A324" s="27" t="s">
        <v>549</v>
      </c>
      <c r="B324" s="27" t="s">
        <v>717</v>
      </c>
      <c r="C324" s="52" t="s">
        <v>926</v>
      </c>
      <c r="D324" s="28" t="s">
        <v>744</v>
      </c>
      <c r="E324" s="29"/>
      <c r="F324" s="30"/>
      <c r="G324" s="31">
        <f t="shared" si="43"/>
        <v>0</v>
      </c>
      <c r="H324" s="31"/>
      <c r="I324" s="32">
        <f t="shared" si="40"/>
        <v>0</v>
      </c>
      <c r="J324" s="36">
        <v>11700</v>
      </c>
      <c r="K324" s="32">
        <f t="shared" si="41"/>
        <v>-11700</v>
      </c>
      <c r="L324" s="34">
        <f t="shared" si="42"/>
        <v>-1</v>
      </c>
      <c r="M324" s="44">
        <v>1</v>
      </c>
    </row>
    <row r="325" spans="1:13" ht="50.1" customHeight="1" x14ac:dyDescent="0.2">
      <c r="A325" s="27" t="s">
        <v>549</v>
      </c>
      <c r="B325" s="27" t="s">
        <v>718</v>
      </c>
      <c r="C325" s="52" t="s">
        <v>926</v>
      </c>
      <c r="D325" s="28" t="s">
        <v>744</v>
      </c>
      <c r="E325" s="29"/>
      <c r="F325" s="30"/>
      <c r="G325" s="31">
        <f t="shared" si="43"/>
        <v>0</v>
      </c>
      <c r="H325" s="31"/>
      <c r="I325" s="32">
        <f t="shared" si="40"/>
        <v>0</v>
      </c>
      <c r="J325" s="36">
        <v>11700</v>
      </c>
      <c r="K325" s="32">
        <f t="shared" si="41"/>
        <v>-11700</v>
      </c>
      <c r="L325" s="34">
        <f t="shared" si="42"/>
        <v>-1</v>
      </c>
      <c r="M325" s="44">
        <v>1</v>
      </c>
    </row>
    <row r="326" spans="1:13" ht="50.1" customHeight="1" x14ac:dyDescent="0.2">
      <c r="A326" s="27" t="s">
        <v>549</v>
      </c>
      <c r="B326" s="27" t="s">
        <v>732</v>
      </c>
      <c r="C326" s="52" t="s">
        <v>935</v>
      </c>
      <c r="D326" s="28" t="s">
        <v>734</v>
      </c>
      <c r="E326" s="29"/>
      <c r="F326" s="30"/>
      <c r="G326" s="31">
        <f t="shared" si="43"/>
        <v>0</v>
      </c>
      <c r="H326" s="31"/>
      <c r="I326" s="32">
        <f t="shared" si="40"/>
        <v>0</v>
      </c>
      <c r="J326" s="36">
        <v>2700</v>
      </c>
      <c r="K326" s="32">
        <f t="shared" si="41"/>
        <v>-2700</v>
      </c>
      <c r="L326" s="34">
        <f t="shared" si="42"/>
        <v>-1</v>
      </c>
      <c r="M326" s="44">
        <v>1</v>
      </c>
    </row>
    <row r="327" spans="1:13" ht="50.1" customHeight="1" x14ac:dyDescent="0.2">
      <c r="A327" s="27" t="s">
        <v>549</v>
      </c>
      <c r="B327" s="27" t="s">
        <v>733</v>
      </c>
      <c r="C327" s="52" t="s">
        <v>935</v>
      </c>
      <c r="D327" s="45" t="s">
        <v>734</v>
      </c>
      <c r="E327" s="29"/>
      <c r="F327" s="30"/>
      <c r="G327" s="31">
        <f t="shared" si="43"/>
        <v>0</v>
      </c>
      <c r="H327" s="31"/>
      <c r="I327" s="32">
        <f t="shared" si="40"/>
        <v>0</v>
      </c>
      <c r="J327" s="36">
        <v>2700</v>
      </c>
      <c r="K327" s="32">
        <f t="shared" si="41"/>
        <v>-2700</v>
      </c>
      <c r="L327" s="34">
        <f t="shared" si="42"/>
        <v>-1</v>
      </c>
      <c r="M327" s="44">
        <v>1</v>
      </c>
    </row>
    <row r="328" spans="1:13" ht="50.1" customHeight="1" x14ac:dyDescent="0.2">
      <c r="A328" s="27" t="s">
        <v>549</v>
      </c>
      <c r="B328" s="27" t="s">
        <v>986</v>
      </c>
      <c r="C328" s="52">
        <v>6931474758507</v>
      </c>
      <c r="D328" s="45" t="s">
        <v>987</v>
      </c>
      <c r="E328" s="29"/>
      <c r="F328" s="30"/>
      <c r="G328" s="31">
        <f t="shared" si="43"/>
        <v>0</v>
      </c>
      <c r="H328" s="31"/>
      <c r="I328" s="32">
        <f t="shared" si="40"/>
        <v>0</v>
      </c>
      <c r="J328" s="36">
        <v>2989</v>
      </c>
      <c r="K328" s="32">
        <f t="shared" si="41"/>
        <v>-2989</v>
      </c>
      <c r="L328" s="34">
        <f t="shared" si="42"/>
        <v>-1</v>
      </c>
      <c r="M328" s="44">
        <v>1</v>
      </c>
    </row>
    <row r="329" spans="1:13" ht="50.1" customHeight="1" x14ac:dyDescent="0.2">
      <c r="A329" s="27" t="s">
        <v>549</v>
      </c>
      <c r="B329" s="27" t="s">
        <v>988</v>
      </c>
      <c r="C329" s="52">
        <v>6931474758507</v>
      </c>
      <c r="D329" s="28" t="s">
        <v>987</v>
      </c>
      <c r="E329" s="29"/>
      <c r="F329" s="30"/>
      <c r="G329" s="31">
        <f t="shared" si="43"/>
        <v>0</v>
      </c>
      <c r="H329" s="31"/>
      <c r="I329" s="32">
        <f t="shared" si="40"/>
        <v>0</v>
      </c>
      <c r="J329" s="36">
        <v>2989</v>
      </c>
      <c r="K329" s="32">
        <f t="shared" si="41"/>
        <v>-2989</v>
      </c>
      <c r="L329" s="34">
        <f t="shared" si="42"/>
        <v>-1</v>
      </c>
      <c r="M329" s="44">
        <v>1</v>
      </c>
    </row>
    <row r="330" spans="1:13" ht="50.1" customHeight="1" x14ac:dyDescent="0.2">
      <c r="A330" s="27" t="s">
        <v>549</v>
      </c>
      <c r="B330" s="27" t="s">
        <v>1030</v>
      </c>
      <c r="C330" s="52">
        <v>6942007606660</v>
      </c>
      <c r="D330" s="28" t="s">
        <v>1032</v>
      </c>
      <c r="E330" s="29"/>
      <c r="F330" s="30"/>
      <c r="G330" s="31">
        <f t="shared" si="43"/>
        <v>0</v>
      </c>
      <c r="H330" s="31"/>
      <c r="I330" s="32">
        <f t="shared" si="40"/>
        <v>0</v>
      </c>
      <c r="J330" s="36">
        <v>5400</v>
      </c>
      <c r="K330" s="32">
        <f t="shared" si="41"/>
        <v>-5400</v>
      </c>
      <c r="L330" s="34">
        <f t="shared" si="42"/>
        <v>-1</v>
      </c>
      <c r="M330" s="44">
        <v>1</v>
      </c>
    </row>
    <row r="331" spans="1:13" ht="50.1" customHeight="1" x14ac:dyDescent="0.2">
      <c r="A331" s="27" t="s">
        <v>549</v>
      </c>
      <c r="B331" s="27" t="s">
        <v>1031</v>
      </c>
      <c r="C331" s="52">
        <v>6942007606660</v>
      </c>
      <c r="D331" s="28" t="s">
        <v>1032</v>
      </c>
      <c r="E331" s="29"/>
      <c r="F331" s="30"/>
      <c r="G331" s="31">
        <f t="shared" si="43"/>
        <v>0</v>
      </c>
      <c r="H331" s="31"/>
      <c r="I331" s="32">
        <f t="shared" si="40"/>
        <v>0</v>
      </c>
      <c r="J331" s="36">
        <v>5400</v>
      </c>
      <c r="K331" s="32">
        <f t="shared" si="41"/>
        <v>-5400</v>
      </c>
      <c r="L331" s="34">
        <f t="shared" si="42"/>
        <v>-1</v>
      </c>
      <c r="M331" s="44">
        <v>1</v>
      </c>
    </row>
    <row r="332" spans="1:13" ht="50.1" customHeight="1" x14ac:dyDescent="0.2">
      <c r="A332" s="27" t="s">
        <v>1310</v>
      </c>
      <c r="B332" s="27" t="s">
        <v>1294</v>
      </c>
      <c r="C332" s="52" t="s">
        <v>1295</v>
      </c>
      <c r="D332" s="28" t="s">
        <v>1319</v>
      </c>
      <c r="E332" s="29"/>
      <c r="F332" s="30"/>
      <c r="G332" s="31"/>
      <c r="H332" s="31"/>
      <c r="I332" s="32"/>
      <c r="J332" s="36">
        <v>6902</v>
      </c>
      <c r="K332" s="32"/>
      <c r="L332" s="34"/>
      <c r="M332" s="44">
        <v>1</v>
      </c>
    </row>
    <row r="333" spans="1:13" ht="50.1" customHeight="1" x14ac:dyDescent="0.2">
      <c r="A333" s="27" t="s">
        <v>1310</v>
      </c>
      <c r="B333" s="27" t="s">
        <v>1296</v>
      </c>
      <c r="C333" s="52" t="s">
        <v>1297</v>
      </c>
      <c r="D333" s="28" t="s">
        <v>1320</v>
      </c>
      <c r="E333" s="29"/>
      <c r="F333" s="30"/>
      <c r="G333" s="31"/>
      <c r="H333" s="31"/>
      <c r="I333" s="32"/>
      <c r="J333" s="36">
        <v>1666</v>
      </c>
      <c r="K333" s="32"/>
      <c r="L333" s="34"/>
      <c r="M333" s="44">
        <v>1</v>
      </c>
    </row>
    <row r="334" spans="1:13" ht="50.1" customHeight="1" x14ac:dyDescent="0.2">
      <c r="A334" s="27" t="s">
        <v>1310</v>
      </c>
      <c r="B334" s="27" t="s">
        <v>1298</v>
      </c>
      <c r="C334" s="52" t="s">
        <v>1299</v>
      </c>
      <c r="D334" s="28" t="s">
        <v>1321</v>
      </c>
      <c r="E334" s="29"/>
      <c r="F334" s="30"/>
      <c r="G334" s="31"/>
      <c r="H334" s="31"/>
      <c r="I334" s="32"/>
      <c r="J334" s="36">
        <v>1547</v>
      </c>
      <c r="K334" s="32"/>
      <c r="L334" s="34"/>
      <c r="M334" s="44">
        <v>1</v>
      </c>
    </row>
    <row r="335" spans="1:13" ht="50.1" customHeight="1" x14ac:dyDescent="0.2">
      <c r="A335" s="27" t="s">
        <v>1310</v>
      </c>
      <c r="B335" s="27" t="s">
        <v>1300</v>
      </c>
      <c r="C335" s="52" t="s">
        <v>1301</v>
      </c>
      <c r="D335" s="28" t="s">
        <v>1322</v>
      </c>
      <c r="E335" s="29"/>
      <c r="F335" s="30"/>
      <c r="G335" s="31"/>
      <c r="H335" s="31"/>
      <c r="I335" s="32"/>
      <c r="J335" s="36">
        <v>8330</v>
      </c>
      <c r="K335" s="32"/>
      <c r="L335" s="34"/>
      <c r="M335" s="44">
        <v>1</v>
      </c>
    </row>
    <row r="336" spans="1:13" ht="50.1" customHeight="1" x14ac:dyDescent="0.2">
      <c r="A336" s="27" t="s">
        <v>1310</v>
      </c>
      <c r="B336" s="27" t="s">
        <v>1302</v>
      </c>
      <c r="C336" s="52" t="s">
        <v>1303</v>
      </c>
      <c r="D336" s="28" t="s">
        <v>1322</v>
      </c>
      <c r="E336" s="29"/>
      <c r="F336" s="30"/>
      <c r="G336" s="31"/>
      <c r="H336" s="31"/>
      <c r="I336" s="32"/>
      <c r="J336" s="36">
        <v>4760</v>
      </c>
      <c r="K336" s="32"/>
      <c r="L336" s="34"/>
      <c r="M336" s="44">
        <v>1</v>
      </c>
    </row>
    <row r="337" spans="1:13" ht="50.1" customHeight="1" x14ac:dyDescent="0.2">
      <c r="A337" s="27" t="s">
        <v>1310</v>
      </c>
      <c r="B337" s="27" t="s">
        <v>1304</v>
      </c>
      <c r="C337" s="52" t="s">
        <v>1305</v>
      </c>
      <c r="D337" s="28" t="s">
        <v>1323</v>
      </c>
      <c r="E337" s="29"/>
      <c r="F337" s="30"/>
      <c r="G337" s="31"/>
      <c r="H337" s="31"/>
      <c r="I337" s="32"/>
      <c r="J337" s="36">
        <v>9520</v>
      </c>
      <c r="K337" s="32"/>
      <c r="L337" s="34"/>
      <c r="M337" s="44">
        <v>1</v>
      </c>
    </row>
    <row r="338" spans="1:13" ht="50.1" customHeight="1" x14ac:dyDescent="0.2">
      <c r="A338" s="27" t="s">
        <v>1310</v>
      </c>
      <c r="B338" s="27" t="s">
        <v>1306</v>
      </c>
      <c r="C338" s="52" t="s">
        <v>1307</v>
      </c>
      <c r="D338" s="28" t="s">
        <v>1323</v>
      </c>
      <c r="E338" s="29"/>
      <c r="F338" s="30"/>
      <c r="G338" s="31"/>
      <c r="H338" s="31"/>
      <c r="I338" s="32"/>
      <c r="J338" s="36">
        <v>9520</v>
      </c>
      <c r="K338" s="32"/>
      <c r="L338" s="34"/>
      <c r="M338" s="44">
        <v>1</v>
      </c>
    </row>
    <row r="339" spans="1:13" ht="50.1" customHeight="1" x14ac:dyDescent="0.2">
      <c r="A339" s="27" t="s">
        <v>1310</v>
      </c>
      <c r="B339" s="27" t="s">
        <v>1308</v>
      </c>
      <c r="C339" s="52" t="s">
        <v>1309</v>
      </c>
      <c r="D339" s="28" t="s">
        <v>1324</v>
      </c>
      <c r="E339" s="29"/>
      <c r="F339" s="30"/>
      <c r="G339" s="31"/>
      <c r="H339" s="31"/>
      <c r="I339" s="32"/>
      <c r="J339" s="36">
        <v>8687</v>
      </c>
      <c r="K339" s="32"/>
      <c r="L339" s="34"/>
      <c r="M339" s="44">
        <v>1</v>
      </c>
    </row>
    <row r="340" spans="1:13" ht="50.1" customHeight="1" x14ac:dyDescent="0.2">
      <c r="A340" s="27" t="s">
        <v>1310</v>
      </c>
      <c r="B340" s="27" t="s">
        <v>1438</v>
      </c>
      <c r="C340" s="52" t="s">
        <v>1436</v>
      </c>
      <c r="D340" s="28" t="s">
        <v>1437</v>
      </c>
      <c r="E340" s="29"/>
      <c r="F340" s="30"/>
      <c r="G340" s="31"/>
      <c r="H340" s="31"/>
      <c r="I340" s="32"/>
      <c r="J340" s="36">
        <v>4760</v>
      </c>
      <c r="K340" s="32"/>
      <c r="L340" s="34"/>
      <c r="M340" s="44">
        <v>1</v>
      </c>
    </row>
    <row r="341" spans="1:13" ht="50.1" customHeight="1" x14ac:dyDescent="0.2">
      <c r="A341" s="27" t="s">
        <v>1310</v>
      </c>
      <c r="B341" s="27" t="s">
        <v>1440</v>
      </c>
      <c r="C341" s="52" t="s">
        <v>1441</v>
      </c>
      <c r="D341" s="28" t="s">
        <v>1442</v>
      </c>
      <c r="E341" s="29"/>
      <c r="F341" s="30"/>
      <c r="G341" s="31"/>
      <c r="H341" s="31"/>
      <c r="I341" s="32"/>
      <c r="J341" s="36">
        <v>7021</v>
      </c>
      <c r="K341" s="32"/>
      <c r="L341" s="34"/>
      <c r="M341" s="44">
        <v>1</v>
      </c>
    </row>
    <row r="342" spans="1:13" ht="50.1" customHeight="1" x14ac:dyDescent="0.2">
      <c r="A342" s="27" t="s">
        <v>551</v>
      </c>
      <c r="B342" s="27" t="s">
        <v>457</v>
      </c>
      <c r="C342" s="52" t="s">
        <v>794</v>
      </c>
      <c r="D342" s="28" t="s">
        <v>458</v>
      </c>
      <c r="E342" s="29">
        <v>5990</v>
      </c>
      <c r="F342" s="38" t="s">
        <v>470</v>
      </c>
      <c r="G342" s="31">
        <f>IF(F342&gt;"15%",E342*F342,IF(E342&gt;=19990,F342*E342,IF(E342&gt;=9990,F342*E342+1000,F342*E342+700)))</f>
        <v>1358.9</v>
      </c>
      <c r="H342" s="31">
        <f>IF(E342&gt;=19990,"ACTIVAR",0)</f>
        <v>0</v>
      </c>
      <c r="I342" s="32">
        <f t="shared" ref="I342:I348" si="44">E342-G342-H342</f>
        <v>4631.1000000000004</v>
      </c>
      <c r="J342" s="33">
        <v>3865</v>
      </c>
      <c r="K342" s="32">
        <f t="shared" ref="K342:K348" si="45">I342-J342</f>
        <v>766.10000000000036</v>
      </c>
      <c r="L342" s="34">
        <f t="shared" ref="L342:L348" si="46">K342/J342</f>
        <v>0.19821474773609324</v>
      </c>
      <c r="M342" s="44">
        <v>1</v>
      </c>
    </row>
    <row r="343" spans="1:13" ht="50.1" customHeight="1" x14ac:dyDescent="0.2">
      <c r="A343" s="27" t="s">
        <v>551</v>
      </c>
      <c r="B343" s="27" t="s">
        <v>678</v>
      </c>
      <c r="C343" s="52" t="s">
        <v>795</v>
      </c>
      <c r="D343" s="28" t="s">
        <v>689</v>
      </c>
      <c r="E343" s="29"/>
      <c r="F343" s="30"/>
      <c r="G343" s="31">
        <f t="shared" ref="G343:G348" si="47">E343*F343</f>
        <v>0</v>
      </c>
      <c r="H343" s="31"/>
      <c r="I343" s="32">
        <f t="shared" si="44"/>
        <v>0</v>
      </c>
      <c r="J343" s="36">
        <v>2303</v>
      </c>
      <c r="K343" s="32">
        <f t="shared" si="45"/>
        <v>-2303</v>
      </c>
      <c r="L343" s="34">
        <f t="shared" si="46"/>
        <v>-1</v>
      </c>
      <c r="M343" s="44">
        <v>1</v>
      </c>
    </row>
    <row r="344" spans="1:13" ht="50.1" customHeight="1" x14ac:dyDescent="0.2">
      <c r="A344" s="27" t="s">
        <v>551</v>
      </c>
      <c r="B344" s="27" t="s">
        <v>679</v>
      </c>
      <c r="C344" s="52" t="s">
        <v>796</v>
      </c>
      <c r="D344" s="28" t="s">
        <v>690</v>
      </c>
      <c r="E344" s="29"/>
      <c r="F344" s="30"/>
      <c r="G344" s="31">
        <f t="shared" si="47"/>
        <v>0</v>
      </c>
      <c r="H344" s="31"/>
      <c r="I344" s="32">
        <f t="shared" si="44"/>
        <v>0</v>
      </c>
      <c r="J344" s="36">
        <v>2303</v>
      </c>
      <c r="K344" s="32">
        <f t="shared" si="45"/>
        <v>-2303</v>
      </c>
      <c r="L344" s="34">
        <f t="shared" si="46"/>
        <v>-1</v>
      </c>
      <c r="M344" s="44">
        <v>1</v>
      </c>
    </row>
    <row r="345" spans="1:13" ht="50.1" customHeight="1" x14ac:dyDescent="0.2">
      <c r="A345" s="27" t="s">
        <v>551</v>
      </c>
      <c r="B345" s="27" t="s">
        <v>680</v>
      </c>
      <c r="C345" s="52" t="s">
        <v>797</v>
      </c>
      <c r="D345" s="28" t="s">
        <v>691</v>
      </c>
      <c r="E345" s="29"/>
      <c r="F345" s="30"/>
      <c r="G345" s="31">
        <f t="shared" si="47"/>
        <v>0</v>
      </c>
      <c r="H345" s="31"/>
      <c r="I345" s="32">
        <f t="shared" si="44"/>
        <v>0</v>
      </c>
      <c r="J345" s="36">
        <v>2303</v>
      </c>
      <c r="K345" s="32">
        <f t="shared" si="45"/>
        <v>-2303</v>
      </c>
      <c r="L345" s="34">
        <f t="shared" si="46"/>
        <v>-1</v>
      </c>
      <c r="M345" s="44">
        <v>1</v>
      </c>
    </row>
    <row r="346" spans="1:13" ht="50.1" customHeight="1" x14ac:dyDescent="0.2">
      <c r="A346" s="27" t="s">
        <v>551</v>
      </c>
      <c r="B346" s="27" t="s">
        <v>681</v>
      </c>
      <c r="C346" s="52" t="s">
        <v>797</v>
      </c>
      <c r="D346" s="28" t="s">
        <v>691</v>
      </c>
      <c r="E346" s="29"/>
      <c r="F346" s="30"/>
      <c r="G346" s="31">
        <f t="shared" si="47"/>
        <v>0</v>
      </c>
      <c r="H346" s="31"/>
      <c r="I346" s="32">
        <f t="shared" si="44"/>
        <v>0</v>
      </c>
      <c r="J346" s="36">
        <v>2303</v>
      </c>
      <c r="K346" s="32">
        <f t="shared" si="45"/>
        <v>-2303</v>
      </c>
      <c r="L346" s="34">
        <f t="shared" si="46"/>
        <v>-1</v>
      </c>
      <c r="M346" s="44">
        <v>1</v>
      </c>
    </row>
    <row r="347" spans="1:13" ht="50.1" customHeight="1" x14ac:dyDescent="0.2">
      <c r="A347" s="27" t="s">
        <v>551</v>
      </c>
      <c r="B347" s="27" t="s">
        <v>682</v>
      </c>
      <c r="C347" s="52" t="s">
        <v>798</v>
      </c>
      <c r="D347" s="28" t="s">
        <v>692</v>
      </c>
      <c r="E347" s="29"/>
      <c r="F347" s="30"/>
      <c r="G347" s="31">
        <f t="shared" si="47"/>
        <v>0</v>
      </c>
      <c r="H347" s="31"/>
      <c r="I347" s="32">
        <f t="shared" si="44"/>
        <v>0</v>
      </c>
      <c r="J347" s="36">
        <v>2303</v>
      </c>
      <c r="K347" s="32">
        <f t="shared" si="45"/>
        <v>-2303</v>
      </c>
      <c r="L347" s="34">
        <f t="shared" si="46"/>
        <v>-1</v>
      </c>
      <c r="M347" s="44">
        <v>1</v>
      </c>
    </row>
    <row r="348" spans="1:13" ht="50.1" customHeight="1" x14ac:dyDescent="0.2">
      <c r="A348" s="27" t="s">
        <v>551</v>
      </c>
      <c r="B348" s="27" t="s">
        <v>683</v>
      </c>
      <c r="C348" s="52" t="s">
        <v>796</v>
      </c>
      <c r="D348" s="28" t="s">
        <v>690</v>
      </c>
      <c r="E348" s="29"/>
      <c r="F348" s="30"/>
      <c r="G348" s="31">
        <f t="shared" si="47"/>
        <v>0</v>
      </c>
      <c r="H348" s="31"/>
      <c r="I348" s="32">
        <f t="shared" si="44"/>
        <v>0</v>
      </c>
      <c r="J348" s="36">
        <v>2303</v>
      </c>
      <c r="K348" s="32">
        <f t="shared" si="45"/>
        <v>-2303</v>
      </c>
      <c r="L348" s="34">
        <f t="shared" si="46"/>
        <v>-1</v>
      </c>
      <c r="M348" s="44">
        <v>1</v>
      </c>
    </row>
    <row r="349" spans="1:13" ht="50.1" customHeight="1" x14ac:dyDescent="0.2">
      <c r="A349" s="4" t="s">
        <v>551</v>
      </c>
      <c r="B349" s="27" t="s">
        <v>1443</v>
      </c>
      <c r="C349" s="53" t="s">
        <v>798</v>
      </c>
      <c r="D349" s="28" t="s">
        <v>1444</v>
      </c>
      <c r="E349" s="29"/>
      <c r="F349" s="30"/>
      <c r="G349" s="31"/>
      <c r="H349" s="31"/>
      <c r="I349" s="32"/>
      <c r="J349" s="36">
        <v>2303</v>
      </c>
      <c r="K349" s="32"/>
      <c r="L349" s="34"/>
      <c r="M349" s="44">
        <v>1</v>
      </c>
    </row>
    <row r="350" spans="1:13" ht="50.1" customHeight="1" x14ac:dyDescent="0.2">
      <c r="A350" s="4" t="s">
        <v>600</v>
      </c>
      <c r="B350" s="4" t="s">
        <v>601</v>
      </c>
      <c r="C350" s="52" t="s">
        <v>799</v>
      </c>
      <c r="D350" s="8" t="s">
        <v>602</v>
      </c>
      <c r="E350" s="5">
        <v>5490</v>
      </c>
      <c r="F350" s="19">
        <v>0.16</v>
      </c>
      <c r="G350" s="15">
        <f>E350*F350</f>
        <v>878.4</v>
      </c>
      <c r="H350" s="15">
        <f>IF(E350&gt;=19990,"ACTIVAR",0)</f>
        <v>0</v>
      </c>
      <c r="I350" s="16">
        <f t="shared" ref="I350:I381" si="48">E350-G350-H350</f>
        <v>4611.6000000000004</v>
      </c>
      <c r="J350" s="35">
        <v>3773.49</v>
      </c>
      <c r="K350" s="16">
        <f t="shared" ref="K350:K381" si="49">I350-J350</f>
        <v>838.11000000000058</v>
      </c>
      <c r="L350" s="18">
        <f t="shared" ref="L350:L381" si="50">K350/J350</f>
        <v>0.2221047359341089</v>
      </c>
      <c r="M350" s="44">
        <v>1</v>
      </c>
    </row>
    <row r="351" spans="1:13" ht="50.1" customHeight="1" x14ac:dyDescent="0.2">
      <c r="A351" s="4" t="s">
        <v>576</v>
      </c>
      <c r="B351" s="4" t="s">
        <v>577</v>
      </c>
      <c r="C351" s="52" t="s">
        <v>800</v>
      </c>
      <c r="D351" s="8" t="s">
        <v>579</v>
      </c>
      <c r="E351" s="5">
        <v>34990</v>
      </c>
      <c r="F351" s="19">
        <v>0.15</v>
      </c>
      <c r="G351" s="15">
        <f>E351*F351</f>
        <v>5248.5</v>
      </c>
      <c r="H351" s="15">
        <v>3100</v>
      </c>
      <c r="I351" s="16">
        <f t="shared" si="48"/>
        <v>26641.5</v>
      </c>
      <c r="J351" s="35">
        <v>16218.509999999998</v>
      </c>
      <c r="K351" s="16">
        <f t="shared" si="49"/>
        <v>10422.990000000002</v>
      </c>
      <c r="L351" s="18">
        <f t="shared" si="50"/>
        <v>0.64266014572238772</v>
      </c>
      <c r="M351" s="44">
        <v>1</v>
      </c>
    </row>
    <row r="352" spans="1:13" ht="50.1" customHeight="1" x14ac:dyDescent="0.2">
      <c r="A352" s="4" t="s">
        <v>576</v>
      </c>
      <c r="B352" s="4" t="s">
        <v>578</v>
      </c>
      <c r="C352" s="49" t="s">
        <v>800</v>
      </c>
      <c r="D352" s="8" t="s">
        <v>579</v>
      </c>
      <c r="E352" s="5">
        <v>34990</v>
      </c>
      <c r="F352" s="19">
        <v>0.15</v>
      </c>
      <c r="G352" s="15">
        <f>E352*F352</f>
        <v>5248.5</v>
      </c>
      <c r="H352" s="15">
        <v>3100</v>
      </c>
      <c r="I352" s="16">
        <f t="shared" si="48"/>
        <v>26641.5</v>
      </c>
      <c r="J352" s="35">
        <v>16218.509999999998</v>
      </c>
      <c r="K352" s="16">
        <f t="shared" si="49"/>
        <v>10422.990000000002</v>
      </c>
      <c r="L352" s="18">
        <f t="shared" si="50"/>
        <v>0.64266014572238772</v>
      </c>
      <c r="M352" s="44">
        <v>1</v>
      </c>
    </row>
    <row r="353" spans="1:13" ht="50.1" customHeight="1" x14ac:dyDescent="0.2">
      <c r="A353" s="4" t="s">
        <v>576</v>
      </c>
      <c r="B353" s="4" t="s">
        <v>585</v>
      </c>
      <c r="C353" s="49" t="s">
        <v>801</v>
      </c>
      <c r="D353" s="8" t="s">
        <v>586</v>
      </c>
      <c r="E353" s="5">
        <v>24990</v>
      </c>
      <c r="F353" s="19">
        <v>0.15</v>
      </c>
      <c r="G353" s="15">
        <f>E353*F353</f>
        <v>3748.5</v>
      </c>
      <c r="H353" s="15">
        <v>3100</v>
      </c>
      <c r="I353" s="16">
        <f t="shared" si="48"/>
        <v>18141.5</v>
      </c>
      <c r="J353" s="35">
        <v>11241.93</v>
      </c>
      <c r="K353" s="16">
        <f t="shared" si="49"/>
        <v>6899.57</v>
      </c>
      <c r="L353" s="18">
        <f t="shared" si="50"/>
        <v>0.61373536394551464</v>
      </c>
      <c r="M353" s="44">
        <v>1</v>
      </c>
    </row>
    <row r="354" spans="1:13" ht="50.1" customHeight="1" x14ac:dyDescent="0.2">
      <c r="A354" s="4" t="s">
        <v>576</v>
      </c>
      <c r="B354" s="4" t="s">
        <v>584</v>
      </c>
      <c r="C354" s="49" t="s">
        <v>801</v>
      </c>
      <c r="D354" s="8" t="s">
        <v>586</v>
      </c>
      <c r="E354" s="5">
        <v>24990</v>
      </c>
      <c r="F354" s="19">
        <v>0.15</v>
      </c>
      <c r="G354" s="15">
        <f>E354*F354</f>
        <v>3748.5</v>
      </c>
      <c r="H354" s="15">
        <v>3100</v>
      </c>
      <c r="I354" s="16">
        <f t="shared" si="48"/>
        <v>18141.5</v>
      </c>
      <c r="J354" s="35">
        <v>11241.93</v>
      </c>
      <c r="K354" s="16">
        <f t="shared" si="49"/>
        <v>6899.57</v>
      </c>
      <c r="L354" s="18">
        <f t="shared" si="50"/>
        <v>0.61373536394551464</v>
      </c>
      <c r="M354" s="44">
        <v>1</v>
      </c>
    </row>
    <row r="355" spans="1:13" ht="50.1" customHeight="1" x14ac:dyDescent="0.2">
      <c r="A355" s="4" t="s">
        <v>539</v>
      </c>
      <c r="B355" s="4" t="s">
        <v>12</v>
      </c>
      <c r="C355" s="49" t="s">
        <v>802</v>
      </c>
      <c r="D355" s="4" t="s">
        <v>13</v>
      </c>
      <c r="E355" s="5">
        <v>6990</v>
      </c>
      <c r="F355" s="3" t="s">
        <v>468</v>
      </c>
      <c r="G355" s="15">
        <f>Tabla1[[#This Row],[Precio]]*Tabla1[[#This Row],[Comision %]]+700</f>
        <v>1818.4</v>
      </c>
      <c r="H355" s="15">
        <f t="shared" ref="H355:H366" si="51">IF(E355&gt;=19990,"ACTIVAR",0)</f>
        <v>0</v>
      </c>
      <c r="I355" s="16">
        <f t="shared" si="48"/>
        <v>5171.6000000000004</v>
      </c>
      <c r="J355" s="17">
        <v>4200</v>
      </c>
      <c r="K355" s="16">
        <f t="shared" si="49"/>
        <v>971.60000000000036</v>
      </c>
      <c r="L355" s="18">
        <f t="shared" si="50"/>
        <v>0.23133333333333342</v>
      </c>
      <c r="M355" s="44">
        <v>1</v>
      </c>
    </row>
    <row r="356" spans="1:13" ht="50.1" customHeight="1" x14ac:dyDescent="0.2">
      <c r="A356" s="4" t="s">
        <v>539</v>
      </c>
      <c r="B356" s="4" t="s">
        <v>16</v>
      </c>
      <c r="C356" s="49" t="s">
        <v>803</v>
      </c>
      <c r="D356" s="4" t="s">
        <v>17</v>
      </c>
      <c r="E356" s="5">
        <v>5733</v>
      </c>
      <c r="F356" s="3" t="s">
        <v>469</v>
      </c>
      <c r="G356" s="15">
        <f t="shared" ref="G356:G387" si="52">IF(F356&gt;"15%",E356*F356,IF(E356&gt;=19990,F356*E356,IF(E356&gt;=9990,F356*E356+1000,F356*E356+700)))</f>
        <v>1502.6200000000001</v>
      </c>
      <c r="H356" s="15">
        <f t="shared" si="51"/>
        <v>0</v>
      </c>
      <c r="I356" s="16">
        <f t="shared" si="48"/>
        <v>4230.38</v>
      </c>
      <c r="J356" s="17">
        <v>1848</v>
      </c>
      <c r="K356" s="16">
        <f t="shared" si="49"/>
        <v>2382.38</v>
      </c>
      <c r="L356" s="18">
        <f t="shared" si="50"/>
        <v>1.2891666666666668</v>
      </c>
      <c r="M356" s="44">
        <v>1</v>
      </c>
    </row>
    <row r="357" spans="1:13" ht="50.1" customHeight="1" x14ac:dyDescent="0.2">
      <c r="A357" s="4" t="s">
        <v>539</v>
      </c>
      <c r="B357" s="4" t="s">
        <v>30</v>
      </c>
      <c r="C357" s="49" t="s">
        <v>804</v>
      </c>
      <c r="D357" s="6" t="s">
        <v>31</v>
      </c>
      <c r="E357" s="7">
        <v>5800</v>
      </c>
      <c r="F357" s="3" t="s">
        <v>468</v>
      </c>
      <c r="G357" s="15">
        <f t="shared" si="52"/>
        <v>928</v>
      </c>
      <c r="H357" s="15">
        <f t="shared" si="51"/>
        <v>0</v>
      </c>
      <c r="I357" s="16">
        <f t="shared" si="48"/>
        <v>4872</v>
      </c>
      <c r="J357" s="17">
        <v>2730</v>
      </c>
      <c r="K357" s="16">
        <f t="shared" si="49"/>
        <v>2142</v>
      </c>
      <c r="L357" s="18">
        <f t="shared" si="50"/>
        <v>0.7846153846153846</v>
      </c>
      <c r="M357" s="44">
        <v>1</v>
      </c>
    </row>
    <row r="358" spans="1:13" ht="50.1" customHeight="1" x14ac:dyDescent="0.2">
      <c r="A358" s="4" t="s">
        <v>539</v>
      </c>
      <c r="B358" s="4" t="s">
        <v>34</v>
      </c>
      <c r="C358" s="49" t="s">
        <v>805</v>
      </c>
      <c r="D358" s="4" t="s">
        <v>35</v>
      </c>
      <c r="E358" s="5">
        <v>2425</v>
      </c>
      <c r="F358" s="3" t="s">
        <v>471</v>
      </c>
      <c r="G358" s="15">
        <f t="shared" si="52"/>
        <v>412.25000000000006</v>
      </c>
      <c r="H358" s="15">
        <f t="shared" si="51"/>
        <v>0</v>
      </c>
      <c r="I358" s="16">
        <f t="shared" si="48"/>
        <v>2012.75</v>
      </c>
      <c r="J358" s="17">
        <v>1260</v>
      </c>
      <c r="K358" s="16">
        <f t="shared" si="49"/>
        <v>752.75</v>
      </c>
      <c r="L358" s="18">
        <f t="shared" si="50"/>
        <v>0.59742063492063491</v>
      </c>
      <c r="M358" s="44">
        <v>1</v>
      </c>
    </row>
    <row r="359" spans="1:13" ht="50.1" customHeight="1" x14ac:dyDescent="0.2">
      <c r="A359" s="4" t="s">
        <v>539</v>
      </c>
      <c r="B359" s="4" t="s">
        <v>40</v>
      </c>
      <c r="C359" s="49" t="s">
        <v>806</v>
      </c>
      <c r="D359" s="4" t="s">
        <v>41</v>
      </c>
      <c r="E359" s="5">
        <v>11554</v>
      </c>
      <c r="F359" s="3" t="s">
        <v>469</v>
      </c>
      <c r="G359" s="15">
        <f t="shared" si="52"/>
        <v>2617.5600000000004</v>
      </c>
      <c r="H359" s="15">
        <f t="shared" si="51"/>
        <v>0</v>
      </c>
      <c r="I359" s="16">
        <f t="shared" si="48"/>
        <v>8936.4399999999987</v>
      </c>
      <c r="J359" s="17">
        <v>5880</v>
      </c>
      <c r="K359" s="16">
        <f t="shared" si="49"/>
        <v>3056.4399999999987</v>
      </c>
      <c r="L359" s="18">
        <f t="shared" si="50"/>
        <v>0.51980272108843517</v>
      </c>
      <c r="M359" s="44">
        <v>1</v>
      </c>
    </row>
    <row r="360" spans="1:13" ht="50.1" customHeight="1" x14ac:dyDescent="0.2">
      <c r="A360" s="4" t="s">
        <v>539</v>
      </c>
      <c r="B360" s="4" t="s">
        <v>42</v>
      </c>
      <c r="C360" s="49" t="s">
        <v>807</v>
      </c>
      <c r="D360" s="4" t="s">
        <v>43</v>
      </c>
      <c r="E360" s="5">
        <v>15354</v>
      </c>
      <c r="F360" s="3" t="s">
        <v>468</v>
      </c>
      <c r="G360" s="15">
        <f t="shared" si="52"/>
        <v>2456.64</v>
      </c>
      <c r="H360" s="15">
        <f t="shared" si="51"/>
        <v>0</v>
      </c>
      <c r="I360" s="16">
        <f t="shared" si="48"/>
        <v>12897.36</v>
      </c>
      <c r="J360" s="17">
        <v>6720</v>
      </c>
      <c r="K360" s="16">
        <f t="shared" si="49"/>
        <v>6177.3600000000006</v>
      </c>
      <c r="L360" s="18">
        <f t="shared" si="50"/>
        <v>0.91925000000000012</v>
      </c>
      <c r="M360" s="44">
        <v>1</v>
      </c>
    </row>
    <row r="361" spans="1:13" ht="50.1" customHeight="1" x14ac:dyDescent="0.2">
      <c r="A361" s="4" t="s">
        <v>539</v>
      </c>
      <c r="B361" s="4" t="s">
        <v>46</v>
      </c>
      <c r="C361" s="49" t="s">
        <v>808</v>
      </c>
      <c r="D361" s="4" t="s">
        <v>47</v>
      </c>
      <c r="E361" s="5">
        <v>14493</v>
      </c>
      <c r="F361" s="3" t="s">
        <v>468</v>
      </c>
      <c r="G361" s="15">
        <f t="shared" si="52"/>
        <v>2318.88</v>
      </c>
      <c r="H361" s="15">
        <f t="shared" si="51"/>
        <v>0</v>
      </c>
      <c r="I361" s="16">
        <f t="shared" si="48"/>
        <v>12174.119999999999</v>
      </c>
      <c r="J361" s="17">
        <v>5880</v>
      </c>
      <c r="K361" s="16">
        <f t="shared" si="49"/>
        <v>6294.119999999999</v>
      </c>
      <c r="L361" s="18">
        <f t="shared" si="50"/>
        <v>1.0704285714285713</v>
      </c>
      <c r="M361" s="44">
        <v>1</v>
      </c>
    </row>
    <row r="362" spans="1:13" ht="50.1" customHeight="1" x14ac:dyDescent="0.2">
      <c r="A362" s="4" t="s">
        <v>539</v>
      </c>
      <c r="B362" s="4" t="s">
        <v>54</v>
      </c>
      <c r="C362" s="49" t="s">
        <v>809</v>
      </c>
      <c r="D362" s="4" t="s">
        <v>55</v>
      </c>
      <c r="E362" s="5">
        <v>14993</v>
      </c>
      <c r="F362" s="3" t="s">
        <v>468</v>
      </c>
      <c r="G362" s="15">
        <f t="shared" si="52"/>
        <v>2398.88</v>
      </c>
      <c r="H362" s="15">
        <f t="shared" si="51"/>
        <v>0</v>
      </c>
      <c r="I362" s="16">
        <f t="shared" si="48"/>
        <v>12594.119999999999</v>
      </c>
      <c r="J362" s="17">
        <v>5880</v>
      </c>
      <c r="K362" s="16">
        <f t="shared" si="49"/>
        <v>6714.119999999999</v>
      </c>
      <c r="L362" s="18">
        <f t="shared" si="50"/>
        <v>1.1418571428571427</v>
      </c>
      <c r="M362" s="44">
        <v>16</v>
      </c>
    </row>
    <row r="363" spans="1:13" ht="50.1" customHeight="1" x14ac:dyDescent="0.2">
      <c r="A363" s="4" t="s">
        <v>539</v>
      </c>
      <c r="B363" s="4" t="s">
        <v>56</v>
      </c>
      <c r="C363" s="49" t="s">
        <v>810</v>
      </c>
      <c r="D363" s="4" t="s">
        <v>17</v>
      </c>
      <c r="E363" s="5">
        <v>3128</v>
      </c>
      <c r="F363" s="3" t="s">
        <v>469</v>
      </c>
      <c r="G363" s="15">
        <f t="shared" si="52"/>
        <v>1137.92</v>
      </c>
      <c r="H363" s="15">
        <f t="shared" si="51"/>
        <v>0</v>
      </c>
      <c r="I363" s="16">
        <f t="shared" si="48"/>
        <v>1990.08</v>
      </c>
      <c r="J363" s="17">
        <v>756</v>
      </c>
      <c r="K363" s="16">
        <f t="shared" si="49"/>
        <v>1234.08</v>
      </c>
      <c r="L363" s="18">
        <f t="shared" si="50"/>
        <v>1.6323809523809523</v>
      </c>
      <c r="M363" s="44">
        <v>1</v>
      </c>
    </row>
    <row r="364" spans="1:13" ht="50.1" customHeight="1" x14ac:dyDescent="0.2">
      <c r="A364" s="4" t="s">
        <v>539</v>
      </c>
      <c r="B364" s="4" t="s">
        <v>61</v>
      </c>
      <c r="C364" s="49" t="s">
        <v>811</v>
      </c>
      <c r="D364" s="4" t="s">
        <v>62</v>
      </c>
      <c r="E364" s="5">
        <v>15457</v>
      </c>
      <c r="F364" s="3" t="s">
        <v>470</v>
      </c>
      <c r="G364" s="15">
        <f t="shared" si="52"/>
        <v>2700.27</v>
      </c>
      <c r="H364" s="15">
        <f t="shared" si="51"/>
        <v>0</v>
      </c>
      <c r="I364" s="16">
        <f t="shared" si="48"/>
        <v>12756.73</v>
      </c>
      <c r="J364" s="17">
        <v>6720</v>
      </c>
      <c r="K364" s="16">
        <f t="shared" si="49"/>
        <v>6036.73</v>
      </c>
      <c r="L364" s="18">
        <f t="shared" si="50"/>
        <v>0.89832291666666664</v>
      </c>
      <c r="M364" s="44">
        <v>1</v>
      </c>
    </row>
    <row r="365" spans="1:13" ht="50.1" customHeight="1" x14ac:dyDescent="0.2">
      <c r="A365" s="4" t="s">
        <v>539</v>
      </c>
      <c r="B365" s="4" t="s">
        <v>63</v>
      </c>
      <c r="C365" s="49" t="s">
        <v>811</v>
      </c>
      <c r="D365" s="4" t="s">
        <v>64</v>
      </c>
      <c r="E365" s="5">
        <v>11041</v>
      </c>
      <c r="F365" s="3" t="s">
        <v>470</v>
      </c>
      <c r="G365" s="15">
        <f t="shared" si="52"/>
        <v>2214.5100000000002</v>
      </c>
      <c r="H365" s="15">
        <f t="shared" si="51"/>
        <v>0</v>
      </c>
      <c r="I365" s="16">
        <f t="shared" si="48"/>
        <v>8826.49</v>
      </c>
      <c r="J365" s="17">
        <v>6720</v>
      </c>
      <c r="K365" s="16">
        <f t="shared" si="49"/>
        <v>2106.4899999999998</v>
      </c>
      <c r="L365" s="18">
        <f t="shared" si="50"/>
        <v>0.31346577380952378</v>
      </c>
      <c r="M365" s="44">
        <v>1</v>
      </c>
    </row>
    <row r="366" spans="1:13" ht="50.1" customHeight="1" x14ac:dyDescent="0.2">
      <c r="A366" s="4" t="s">
        <v>539</v>
      </c>
      <c r="B366" s="4" t="s">
        <v>65</v>
      </c>
      <c r="C366" s="49" t="s">
        <v>809</v>
      </c>
      <c r="D366" s="4" t="s">
        <v>66</v>
      </c>
      <c r="E366" s="5">
        <v>14993</v>
      </c>
      <c r="F366" s="3" t="s">
        <v>468</v>
      </c>
      <c r="G366" s="15">
        <f t="shared" si="52"/>
        <v>2398.88</v>
      </c>
      <c r="H366" s="15">
        <f t="shared" si="51"/>
        <v>0</v>
      </c>
      <c r="I366" s="16">
        <f t="shared" si="48"/>
        <v>12594.119999999999</v>
      </c>
      <c r="J366" s="17">
        <v>5880</v>
      </c>
      <c r="K366" s="16">
        <f t="shared" si="49"/>
        <v>6714.119999999999</v>
      </c>
      <c r="L366" s="18">
        <f t="shared" si="50"/>
        <v>1.1418571428571427</v>
      </c>
      <c r="M366" s="44">
        <v>16</v>
      </c>
    </row>
    <row r="367" spans="1:13" ht="50.1" customHeight="1" x14ac:dyDescent="0.2">
      <c r="A367" s="4" t="s">
        <v>539</v>
      </c>
      <c r="B367" s="4" t="s">
        <v>69</v>
      </c>
      <c r="C367" s="49" t="s">
        <v>812</v>
      </c>
      <c r="D367" s="4" t="s">
        <v>70</v>
      </c>
      <c r="E367" s="5">
        <v>19990</v>
      </c>
      <c r="F367" s="3" t="s">
        <v>469</v>
      </c>
      <c r="G367" s="15">
        <f t="shared" si="52"/>
        <v>2798.6000000000004</v>
      </c>
      <c r="H367" s="15">
        <v>3100</v>
      </c>
      <c r="I367" s="16">
        <f t="shared" si="48"/>
        <v>14091.400000000001</v>
      </c>
      <c r="J367" s="17">
        <v>6852</v>
      </c>
      <c r="K367" s="16">
        <f t="shared" si="49"/>
        <v>7239.4000000000015</v>
      </c>
      <c r="L367" s="18">
        <f t="shared" si="50"/>
        <v>1.0565382370110918</v>
      </c>
      <c r="M367" s="44">
        <v>1</v>
      </c>
    </row>
    <row r="368" spans="1:13" ht="50.1" customHeight="1" x14ac:dyDescent="0.2">
      <c r="A368" s="4" t="s">
        <v>539</v>
      </c>
      <c r="B368" s="4" t="s">
        <v>74</v>
      </c>
      <c r="C368" s="49" t="s">
        <v>807</v>
      </c>
      <c r="D368" s="4" t="s">
        <v>75</v>
      </c>
      <c r="E368" s="5">
        <v>11054</v>
      </c>
      <c r="F368" s="3" t="s">
        <v>468</v>
      </c>
      <c r="G368" s="15">
        <f t="shared" si="52"/>
        <v>1768.64</v>
      </c>
      <c r="H368" s="15">
        <f>IF(E368&gt;=19990,"ACTIVAR",0)</f>
        <v>0</v>
      </c>
      <c r="I368" s="16">
        <f t="shared" si="48"/>
        <v>9285.36</v>
      </c>
      <c r="J368" s="17">
        <v>6720</v>
      </c>
      <c r="K368" s="16">
        <f t="shared" si="49"/>
        <v>2565.3600000000006</v>
      </c>
      <c r="L368" s="18">
        <f t="shared" si="50"/>
        <v>0.38175000000000009</v>
      </c>
      <c r="M368" s="44">
        <v>1</v>
      </c>
    </row>
    <row r="369" spans="1:13" ht="50.1" customHeight="1" x14ac:dyDescent="0.2">
      <c r="A369" s="4" t="s">
        <v>539</v>
      </c>
      <c r="B369" s="4" t="s">
        <v>76</v>
      </c>
      <c r="C369" s="49" t="s">
        <v>813</v>
      </c>
      <c r="D369" s="4" t="s">
        <v>77</v>
      </c>
      <c r="E369" s="5">
        <v>19375</v>
      </c>
      <c r="F369" s="3" t="s">
        <v>469</v>
      </c>
      <c r="G369" s="15">
        <f t="shared" si="52"/>
        <v>3712.5000000000005</v>
      </c>
      <c r="H369" s="15">
        <f>IF(E369&gt;=19990,"ACTIVAR",0)</f>
        <v>0</v>
      </c>
      <c r="I369" s="16">
        <f t="shared" si="48"/>
        <v>15662.5</v>
      </c>
      <c r="J369" s="17">
        <v>7710</v>
      </c>
      <c r="K369" s="16">
        <f t="shared" si="49"/>
        <v>7952.5</v>
      </c>
      <c r="L369" s="18">
        <f t="shared" si="50"/>
        <v>1.0314526588845656</v>
      </c>
      <c r="M369" s="44">
        <v>1</v>
      </c>
    </row>
    <row r="370" spans="1:13" ht="50.1" customHeight="1" x14ac:dyDescent="0.2">
      <c r="A370" s="4" t="s">
        <v>539</v>
      </c>
      <c r="B370" s="4" t="s">
        <v>78</v>
      </c>
      <c r="C370" s="49" t="s">
        <v>814</v>
      </c>
      <c r="D370" s="4" t="s">
        <v>79</v>
      </c>
      <c r="E370" s="5">
        <v>53320</v>
      </c>
      <c r="F370" s="3" t="s">
        <v>468</v>
      </c>
      <c r="G370" s="15">
        <f t="shared" si="52"/>
        <v>8531.2000000000007</v>
      </c>
      <c r="H370" s="15">
        <v>4600</v>
      </c>
      <c r="I370" s="16">
        <f t="shared" si="48"/>
        <v>40188.800000000003</v>
      </c>
      <c r="J370" s="17">
        <v>12800</v>
      </c>
      <c r="K370" s="16">
        <f t="shared" si="49"/>
        <v>27388.800000000003</v>
      </c>
      <c r="L370" s="18">
        <f t="shared" si="50"/>
        <v>2.1397500000000003</v>
      </c>
      <c r="M370" s="44">
        <v>1</v>
      </c>
    </row>
    <row r="371" spans="1:13" ht="50.1" customHeight="1" x14ac:dyDescent="0.2">
      <c r="A371" s="4" t="s">
        <v>539</v>
      </c>
      <c r="B371" s="4" t="s">
        <v>80</v>
      </c>
      <c r="C371" s="49" t="s">
        <v>814</v>
      </c>
      <c r="D371" s="4" t="s">
        <v>81</v>
      </c>
      <c r="E371" s="5">
        <v>31992</v>
      </c>
      <c r="F371" s="3" t="s">
        <v>468</v>
      </c>
      <c r="G371" s="15">
        <f t="shared" si="52"/>
        <v>5118.72</v>
      </c>
      <c r="H371" s="15">
        <v>4600</v>
      </c>
      <c r="I371" s="16">
        <f t="shared" si="48"/>
        <v>22273.279999999999</v>
      </c>
      <c r="J371" s="17">
        <v>12600</v>
      </c>
      <c r="K371" s="16">
        <f t="shared" si="49"/>
        <v>9673.2799999999988</v>
      </c>
      <c r="L371" s="18">
        <f t="shared" si="50"/>
        <v>0.7677206349206348</v>
      </c>
      <c r="M371" s="44">
        <v>1</v>
      </c>
    </row>
    <row r="372" spans="1:13" ht="50.1" customHeight="1" x14ac:dyDescent="0.2">
      <c r="A372" s="4" t="s">
        <v>539</v>
      </c>
      <c r="B372" s="4" t="s">
        <v>91</v>
      </c>
      <c r="C372" s="49" t="s">
        <v>815</v>
      </c>
      <c r="D372" s="4" t="s">
        <v>92</v>
      </c>
      <c r="E372" s="5">
        <v>8604</v>
      </c>
      <c r="F372" s="3" t="s">
        <v>468</v>
      </c>
      <c r="G372" s="15">
        <f t="shared" si="52"/>
        <v>1376.64</v>
      </c>
      <c r="H372" s="15">
        <f>IF(E372&gt;=19990,"ACTIVAR",0)</f>
        <v>0</v>
      </c>
      <c r="I372" s="16">
        <f t="shared" si="48"/>
        <v>7227.36</v>
      </c>
      <c r="J372" s="17">
        <v>2730</v>
      </c>
      <c r="K372" s="16">
        <f t="shared" si="49"/>
        <v>4497.3599999999997</v>
      </c>
      <c r="L372" s="18">
        <f t="shared" si="50"/>
        <v>1.6473846153846152</v>
      </c>
      <c r="M372" s="44">
        <v>1</v>
      </c>
    </row>
    <row r="373" spans="1:13" ht="50.1" customHeight="1" x14ac:dyDescent="0.2">
      <c r="A373" s="4" t="s">
        <v>539</v>
      </c>
      <c r="B373" s="4" t="s">
        <v>93</v>
      </c>
      <c r="C373" s="49" t="s">
        <v>816</v>
      </c>
      <c r="D373" s="4" t="s">
        <v>94</v>
      </c>
      <c r="E373" s="5">
        <v>4800</v>
      </c>
      <c r="F373" s="3" t="s">
        <v>469</v>
      </c>
      <c r="G373" s="15">
        <f t="shared" si="52"/>
        <v>1372</v>
      </c>
      <c r="H373" s="15">
        <f>IF(E373&gt;=19990,"ACTIVAR",0)</f>
        <v>0</v>
      </c>
      <c r="I373" s="16">
        <f t="shared" si="48"/>
        <v>3428</v>
      </c>
      <c r="J373" s="17">
        <v>1344</v>
      </c>
      <c r="K373" s="16">
        <f t="shared" si="49"/>
        <v>2084</v>
      </c>
      <c r="L373" s="18">
        <f t="shared" si="50"/>
        <v>1.5505952380952381</v>
      </c>
      <c r="M373" s="44">
        <v>1</v>
      </c>
    </row>
    <row r="374" spans="1:13" ht="50.1" customHeight="1" x14ac:dyDescent="0.2">
      <c r="A374" s="4" t="s">
        <v>539</v>
      </c>
      <c r="B374" s="4" t="s">
        <v>97</v>
      </c>
      <c r="C374" s="49" t="s">
        <v>806</v>
      </c>
      <c r="D374" s="4" t="s">
        <v>98</v>
      </c>
      <c r="E374" s="5">
        <v>11554</v>
      </c>
      <c r="F374" s="3" t="s">
        <v>469</v>
      </c>
      <c r="G374" s="15">
        <f t="shared" si="52"/>
        <v>2617.5600000000004</v>
      </c>
      <c r="H374" s="15">
        <f>IF(E374&gt;=19990,"ACTIVAR",0)</f>
        <v>0</v>
      </c>
      <c r="I374" s="16">
        <f t="shared" si="48"/>
        <v>8936.4399999999987</v>
      </c>
      <c r="J374" s="17">
        <v>5880</v>
      </c>
      <c r="K374" s="16">
        <f t="shared" si="49"/>
        <v>3056.4399999999987</v>
      </c>
      <c r="L374" s="18">
        <f t="shared" si="50"/>
        <v>0.51980272108843517</v>
      </c>
      <c r="M374" s="44">
        <v>1</v>
      </c>
    </row>
    <row r="375" spans="1:13" ht="50.1" customHeight="1" x14ac:dyDescent="0.2">
      <c r="A375" s="4" t="s">
        <v>539</v>
      </c>
      <c r="B375" s="4" t="s">
        <v>99</v>
      </c>
      <c r="C375" s="49" t="s">
        <v>817</v>
      </c>
      <c r="D375" s="4" t="s">
        <v>100</v>
      </c>
      <c r="E375" s="5">
        <v>14103</v>
      </c>
      <c r="F375" s="3" t="s">
        <v>468</v>
      </c>
      <c r="G375" s="15">
        <f t="shared" si="52"/>
        <v>2256.48</v>
      </c>
      <c r="H375" s="15">
        <f>IF(E375&gt;=19990,"ACTIVAR",0)</f>
        <v>0</v>
      </c>
      <c r="I375" s="16">
        <f t="shared" si="48"/>
        <v>11846.52</v>
      </c>
      <c r="J375" s="17">
        <v>6300</v>
      </c>
      <c r="K375" s="16">
        <f t="shared" si="49"/>
        <v>5546.52</v>
      </c>
      <c r="L375" s="18">
        <f t="shared" si="50"/>
        <v>0.88040000000000007</v>
      </c>
      <c r="M375" s="44">
        <v>1</v>
      </c>
    </row>
    <row r="376" spans="1:13" ht="50.1" customHeight="1" x14ac:dyDescent="0.2">
      <c r="A376" s="4" t="s">
        <v>539</v>
      </c>
      <c r="B376" s="4" t="s">
        <v>101</v>
      </c>
      <c r="C376" s="49" t="s">
        <v>818</v>
      </c>
      <c r="D376" s="4" t="s">
        <v>102</v>
      </c>
      <c r="E376" s="5">
        <v>31992</v>
      </c>
      <c r="F376" s="3" t="s">
        <v>468</v>
      </c>
      <c r="G376" s="15">
        <f t="shared" si="52"/>
        <v>5118.72</v>
      </c>
      <c r="H376" s="15">
        <v>5850</v>
      </c>
      <c r="I376" s="16">
        <f t="shared" si="48"/>
        <v>21023.279999999999</v>
      </c>
      <c r="J376" s="17">
        <v>15000</v>
      </c>
      <c r="K376" s="16">
        <f t="shared" si="49"/>
        <v>6023.2799999999988</v>
      </c>
      <c r="L376" s="18">
        <f t="shared" si="50"/>
        <v>0.40155199999999991</v>
      </c>
      <c r="M376" s="44">
        <v>1</v>
      </c>
    </row>
    <row r="377" spans="1:13" ht="50.1" customHeight="1" x14ac:dyDescent="0.2">
      <c r="A377" s="4" t="s">
        <v>539</v>
      </c>
      <c r="B377" s="4" t="s">
        <v>105</v>
      </c>
      <c r="C377" s="49" t="s">
        <v>819</v>
      </c>
      <c r="D377" s="4" t="s">
        <v>106</v>
      </c>
      <c r="E377" s="5">
        <v>9980</v>
      </c>
      <c r="F377" s="3" t="s">
        <v>469</v>
      </c>
      <c r="G377" s="15">
        <f t="shared" si="52"/>
        <v>2097.1999999999998</v>
      </c>
      <c r="H377" s="15">
        <f t="shared" ref="H377:H386" si="53">IF(E377&gt;=19990,"ACTIVAR",0)</f>
        <v>0</v>
      </c>
      <c r="I377" s="16">
        <f t="shared" si="48"/>
        <v>7882.8</v>
      </c>
      <c r="J377" s="17">
        <v>4032</v>
      </c>
      <c r="K377" s="16">
        <f t="shared" si="49"/>
        <v>3850.8</v>
      </c>
      <c r="L377" s="18">
        <f t="shared" si="50"/>
        <v>0.95505952380952386</v>
      </c>
      <c r="M377" s="44">
        <v>1</v>
      </c>
    </row>
    <row r="378" spans="1:13" ht="50.1" customHeight="1" x14ac:dyDescent="0.2">
      <c r="A378" s="4" t="s">
        <v>539</v>
      </c>
      <c r="B378" s="4" t="s">
        <v>107</v>
      </c>
      <c r="C378" s="49" t="s">
        <v>819</v>
      </c>
      <c r="D378" s="4" t="s">
        <v>108</v>
      </c>
      <c r="E378" s="5">
        <v>15354</v>
      </c>
      <c r="F378" s="3" t="s">
        <v>469</v>
      </c>
      <c r="G378" s="15">
        <f t="shared" si="52"/>
        <v>3149.5600000000004</v>
      </c>
      <c r="H378" s="15">
        <f t="shared" si="53"/>
        <v>0</v>
      </c>
      <c r="I378" s="16">
        <f t="shared" si="48"/>
        <v>12204.439999999999</v>
      </c>
      <c r="J378" s="17">
        <v>4032</v>
      </c>
      <c r="K378" s="16">
        <f t="shared" si="49"/>
        <v>8172.4399999999987</v>
      </c>
      <c r="L378" s="18">
        <f t="shared" si="50"/>
        <v>2.0268948412698409</v>
      </c>
      <c r="M378" s="44">
        <v>1</v>
      </c>
    </row>
    <row r="379" spans="1:13" ht="50.1" customHeight="1" x14ac:dyDescent="0.2">
      <c r="A379" s="4" t="s">
        <v>539</v>
      </c>
      <c r="B379" s="4" t="s">
        <v>109</v>
      </c>
      <c r="C379" s="49" t="s">
        <v>805</v>
      </c>
      <c r="D379" s="4" t="s">
        <v>110</v>
      </c>
      <c r="E379" s="5">
        <v>2500</v>
      </c>
      <c r="F379" s="3" t="s">
        <v>471</v>
      </c>
      <c r="G379" s="15">
        <f t="shared" si="52"/>
        <v>425.00000000000006</v>
      </c>
      <c r="H379" s="15">
        <f t="shared" si="53"/>
        <v>0</v>
      </c>
      <c r="I379" s="16">
        <f t="shared" si="48"/>
        <v>2075</v>
      </c>
      <c r="J379" s="17">
        <v>1260</v>
      </c>
      <c r="K379" s="16">
        <f t="shared" si="49"/>
        <v>815</v>
      </c>
      <c r="L379" s="18">
        <f t="shared" si="50"/>
        <v>0.64682539682539686</v>
      </c>
      <c r="M379" s="44">
        <v>1</v>
      </c>
    </row>
    <row r="380" spans="1:13" ht="50.1" customHeight="1" x14ac:dyDescent="0.2">
      <c r="A380" s="4" t="s">
        <v>539</v>
      </c>
      <c r="B380" s="4" t="s">
        <v>111</v>
      </c>
      <c r="C380" s="49" t="s">
        <v>820</v>
      </c>
      <c r="D380" s="4" t="s">
        <v>112</v>
      </c>
      <c r="E380" s="5">
        <v>5100</v>
      </c>
      <c r="F380" s="3" t="s">
        <v>469</v>
      </c>
      <c r="G380" s="15">
        <f t="shared" si="52"/>
        <v>1414</v>
      </c>
      <c r="H380" s="15">
        <f t="shared" si="53"/>
        <v>0</v>
      </c>
      <c r="I380" s="16">
        <f t="shared" si="48"/>
        <v>3686</v>
      </c>
      <c r="J380" s="17">
        <v>1848</v>
      </c>
      <c r="K380" s="16">
        <f t="shared" si="49"/>
        <v>1838</v>
      </c>
      <c r="L380" s="18">
        <f t="shared" si="50"/>
        <v>0.99458874458874458</v>
      </c>
      <c r="M380" s="44">
        <v>1</v>
      </c>
    </row>
    <row r="381" spans="1:13" ht="50.1" customHeight="1" x14ac:dyDescent="0.2">
      <c r="A381" s="4" t="s">
        <v>539</v>
      </c>
      <c r="B381" s="4" t="s">
        <v>113</v>
      </c>
      <c r="C381" s="49" t="s">
        <v>821</v>
      </c>
      <c r="D381" s="4" t="s">
        <v>114</v>
      </c>
      <c r="E381" s="5">
        <v>5300</v>
      </c>
      <c r="F381" s="3" t="s">
        <v>469</v>
      </c>
      <c r="G381" s="15">
        <f t="shared" si="52"/>
        <v>1442</v>
      </c>
      <c r="H381" s="15">
        <f t="shared" si="53"/>
        <v>0</v>
      </c>
      <c r="I381" s="16">
        <f t="shared" si="48"/>
        <v>3858</v>
      </c>
      <c r="J381" s="17">
        <v>1848</v>
      </c>
      <c r="K381" s="16">
        <f t="shared" si="49"/>
        <v>2010</v>
      </c>
      <c r="L381" s="18">
        <f t="shared" si="50"/>
        <v>1.0876623376623376</v>
      </c>
      <c r="M381" s="44">
        <v>1</v>
      </c>
    </row>
    <row r="382" spans="1:13" ht="50.1" customHeight="1" x14ac:dyDescent="0.2">
      <c r="A382" s="4" t="s">
        <v>539</v>
      </c>
      <c r="B382" s="4" t="s">
        <v>115</v>
      </c>
      <c r="C382" s="49" t="s">
        <v>822</v>
      </c>
      <c r="D382" s="4" t="s">
        <v>116</v>
      </c>
      <c r="E382" s="5">
        <v>4300</v>
      </c>
      <c r="F382" s="3" t="s">
        <v>469</v>
      </c>
      <c r="G382" s="15">
        <f t="shared" si="52"/>
        <v>1302</v>
      </c>
      <c r="H382" s="15">
        <f t="shared" si="53"/>
        <v>0</v>
      </c>
      <c r="I382" s="16">
        <f t="shared" ref="I382:I413" si="54">E382-G382-H382</f>
        <v>2998</v>
      </c>
      <c r="J382" s="17">
        <v>1176</v>
      </c>
      <c r="K382" s="16">
        <f t="shared" ref="K382:K413" si="55">I382-J382</f>
        <v>1822</v>
      </c>
      <c r="L382" s="18">
        <f t="shared" ref="L382:L413" si="56">K382/J382</f>
        <v>1.5493197278911566</v>
      </c>
      <c r="M382" s="44">
        <v>1</v>
      </c>
    </row>
    <row r="383" spans="1:13" ht="50.1" customHeight="1" x14ac:dyDescent="0.2">
      <c r="A383" s="4" t="s">
        <v>539</v>
      </c>
      <c r="B383" s="4" t="s">
        <v>117</v>
      </c>
      <c r="C383" s="49" t="s">
        <v>823</v>
      </c>
      <c r="D383" s="4" t="s">
        <v>118</v>
      </c>
      <c r="E383" s="5">
        <v>4500</v>
      </c>
      <c r="F383" s="3" t="s">
        <v>469</v>
      </c>
      <c r="G383" s="15">
        <f t="shared" si="52"/>
        <v>1330</v>
      </c>
      <c r="H383" s="15">
        <f t="shared" si="53"/>
        <v>0</v>
      </c>
      <c r="I383" s="16">
        <f t="shared" si="54"/>
        <v>3170</v>
      </c>
      <c r="J383" s="17">
        <v>1680</v>
      </c>
      <c r="K383" s="16">
        <f t="shared" si="55"/>
        <v>1490</v>
      </c>
      <c r="L383" s="18">
        <f t="shared" si="56"/>
        <v>0.88690476190476186</v>
      </c>
      <c r="M383" s="44">
        <v>1</v>
      </c>
    </row>
    <row r="384" spans="1:13" ht="50.1" customHeight="1" x14ac:dyDescent="0.2">
      <c r="A384" s="4" t="s">
        <v>539</v>
      </c>
      <c r="B384" s="4" t="s">
        <v>121</v>
      </c>
      <c r="C384" s="49" t="s">
        <v>824</v>
      </c>
      <c r="D384" s="4" t="s">
        <v>122</v>
      </c>
      <c r="E384" s="5">
        <v>17326</v>
      </c>
      <c r="F384" s="3" t="s">
        <v>468</v>
      </c>
      <c r="G384" s="15">
        <f t="shared" si="52"/>
        <v>2772.16</v>
      </c>
      <c r="H384" s="15">
        <f t="shared" si="53"/>
        <v>0</v>
      </c>
      <c r="I384" s="16">
        <f t="shared" si="54"/>
        <v>14553.84</v>
      </c>
      <c r="J384" s="17">
        <v>9800</v>
      </c>
      <c r="K384" s="16">
        <f t="shared" si="55"/>
        <v>4753.84</v>
      </c>
      <c r="L384" s="18">
        <f t="shared" si="56"/>
        <v>0.48508571428571429</v>
      </c>
      <c r="M384" s="44">
        <v>1</v>
      </c>
    </row>
    <row r="385" spans="1:13" ht="50.1" customHeight="1" x14ac:dyDescent="0.2">
      <c r="A385" s="4" t="s">
        <v>539</v>
      </c>
      <c r="B385" s="4" t="s">
        <v>125</v>
      </c>
      <c r="C385" s="49" t="s">
        <v>825</v>
      </c>
      <c r="D385" s="8" t="s">
        <v>126</v>
      </c>
      <c r="E385" s="5">
        <v>14992</v>
      </c>
      <c r="F385" s="3" t="s">
        <v>469</v>
      </c>
      <c r="G385" s="15">
        <f t="shared" si="52"/>
        <v>3098.88</v>
      </c>
      <c r="H385" s="15">
        <f t="shared" si="53"/>
        <v>0</v>
      </c>
      <c r="I385" s="16">
        <f t="shared" si="54"/>
        <v>11893.119999999999</v>
      </c>
      <c r="J385" s="17">
        <v>7560</v>
      </c>
      <c r="K385" s="16">
        <f t="shared" si="55"/>
        <v>4333.119999999999</v>
      </c>
      <c r="L385" s="18">
        <f t="shared" si="56"/>
        <v>0.57316402116402099</v>
      </c>
      <c r="M385" s="44">
        <v>1</v>
      </c>
    </row>
    <row r="386" spans="1:13" ht="50.1" customHeight="1" x14ac:dyDescent="0.2">
      <c r="A386" s="4" t="s">
        <v>539</v>
      </c>
      <c r="B386" s="4" t="s">
        <v>127</v>
      </c>
      <c r="C386" s="49" t="s">
        <v>826</v>
      </c>
      <c r="D386" s="8" t="s">
        <v>128</v>
      </c>
      <c r="E386" s="5">
        <v>8219</v>
      </c>
      <c r="F386" s="3" t="s">
        <v>468</v>
      </c>
      <c r="G386" s="15">
        <f t="shared" si="52"/>
        <v>1315.04</v>
      </c>
      <c r="H386" s="15">
        <f t="shared" si="53"/>
        <v>0</v>
      </c>
      <c r="I386" s="16">
        <f t="shared" si="54"/>
        <v>6903.96</v>
      </c>
      <c r="J386" s="17">
        <v>2030</v>
      </c>
      <c r="K386" s="16">
        <f t="shared" si="55"/>
        <v>4873.96</v>
      </c>
      <c r="L386" s="18">
        <f t="shared" si="56"/>
        <v>2.4009655172413793</v>
      </c>
      <c r="M386" s="44">
        <v>1</v>
      </c>
    </row>
    <row r="387" spans="1:13" ht="50.1" customHeight="1" x14ac:dyDescent="0.2">
      <c r="A387" s="4" t="s">
        <v>539</v>
      </c>
      <c r="B387" s="4" t="s">
        <v>129</v>
      </c>
      <c r="C387" s="49" t="s">
        <v>827</v>
      </c>
      <c r="D387" s="8" t="s">
        <v>130</v>
      </c>
      <c r="E387" s="5">
        <v>24988</v>
      </c>
      <c r="F387" s="3" t="s">
        <v>468</v>
      </c>
      <c r="G387" s="15">
        <f t="shared" si="52"/>
        <v>3998.08</v>
      </c>
      <c r="H387" s="15">
        <v>3150</v>
      </c>
      <c r="I387" s="16">
        <f t="shared" si="54"/>
        <v>17839.919999999998</v>
      </c>
      <c r="J387" s="17">
        <v>3360</v>
      </c>
      <c r="K387" s="16">
        <f t="shared" si="55"/>
        <v>14479.919999999998</v>
      </c>
      <c r="L387" s="18">
        <f t="shared" si="56"/>
        <v>4.3094999999999999</v>
      </c>
      <c r="M387" s="44">
        <v>1</v>
      </c>
    </row>
    <row r="388" spans="1:13" ht="50.1" customHeight="1" x14ac:dyDescent="0.2">
      <c r="A388" s="4" t="s">
        <v>539</v>
      </c>
      <c r="B388" s="4" t="s">
        <v>131</v>
      </c>
      <c r="C388" s="49" t="s">
        <v>828</v>
      </c>
      <c r="D388" s="8" t="s">
        <v>132</v>
      </c>
      <c r="E388" s="5">
        <v>19989</v>
      </c>
      <c r="F388" s="3" t="s">
        <v>468</v>
      </c>
      <c r="G388" s="15">
        <f t="shared" ref="G388:G419" si="57">IF(F388&gt;"15%",E388*F388,IF(E388&gt;=19990,F388*E388,IF(E388&gt;=9990,F388*E388+1000,F388*E388+700)))</f>
        <v>3198.2400000000002</v>
      </c>
      <c r="H388" s="15">
        <f>IF(E388&gt;=19990,"ACTIVAR",0)</f>
        <v>0</v>
      </c>
      <c r="I388" s="16">
        <f t="shared" si="54"/>
        <v>16790.759999999998</v>
      </c>
      <c r="J388" s="17">
        <v>6300</v>
      </c>
      <c r="K388" s="16">
        <f t="shared" si="55"/>
        <v>10490.759999999998</v>
      </c>
      <c r="L388" s="18">
        <f t="shared" si="56"/>
        <v>1.6651999999999998</v>
      </c>
      <c r="M388" s="44">
        <v>1</v>
      </c>
    </row>
    <row r="389" spans="1:13" ht="50.1" customHeight="1" x14ac:dyDescent="0.2">
      <c r="A389" s="4" t="s">
        <v>539</v>
      </c>
      <c r="B389" s="4" t="s">
        <v>133</v>
      </c>
      <c r="C389" s="49" t="s">
        <v>829</v>
      </c>
      <c r="D389" s="8" t="s">
        <v>134</v>
      </c>
      <c r="E389" s="5">
        <v>28490</v>
      </c>
      <c r="F389" s="3" t="s">
        <v>468</v>
      </c>
      <c r="G389" s="15">
        <f t="shared" si="57"/>
        <v>4558.4000000000005</v>
      </c>
      <c r="H389" s="15">
        <v>4400</v>
      </c>
      <c r="I389" s="16">
        <f t="shared" si="54"/>
        <v>19531.599999999999</v>
      </c>
      <c r="J389" s="17">
        <v>16800</v>
      </c>
      <c r="K389" s="16">
        <f t="shared" si="55"/>
        <v>2731.5999999999985</v>
      </c>
      <c r="L389" s="18">
        <f t="shared" si="56"/>
        <v>0.16259523809523801</v>
      </c>
      <c r="M389" s="44">
        <v>1</v>
      </c>
    </row>
    <row r="390" spans="1:13" ht="50.1" customHeight="1" x14ac:dyDescent="0.2">
      <c r="A390" s="4" t="s">
        <v>539</v>
      </c>
      <c r="B390" s="4" t="s">
        <v>137</v>
      </c>
      <c r="C390" s="49" t="s">
        <v>830</v>
      </c>
      <c r="D390" s="8" t="s">
        <v>138</v>
      </c>
      <c r="E390" s="5">
        <v>76790</v>
      </c>
      <c r="F390" s="3" t="s">
        <v>471</v>
      </c>
      <c r="G390" s="15">
        <f t="shared" si="57"/>
        <v>13054.300000000001</v>
      </c>
      <c r="H390" s="15">
        <v>9700</v>
      </c>
      <c r="I390" s="16">
        <f t="shared" si="54"/>
        <v>54035.7</v>
      </c>
      <c r="J390" s="17">
        <v>40700</v>
      </c>
      <c r="K390" s="16">
        <f t="shared" si="55"/>
        <v>13335.699999999997</v>
      </c>
      <c r="L390" s="18">
        <f t="shared" si="56"/>
        <v>0.32765847665847658</v>
      </c>
      <c r="M390" s="44">
        <v>1</v>
      </c>
    </row>
    <row r="391" spans="1:13" ht="50.1" customHeight="1" x14ac:dyDescent="0.2">
      <c r="A391" s="4" t="s">
        <v>539</v>
      </c>
      <c r="B391" s="4" t="s">
        <v>141</v>
      </c>
      <c r="C391" s="49" t="s">
        <v>831</v>
      </c>
      <c r="D391" s="8" t="s">
        <v>142</v>
      </c>
      <c r="E391" s="5">
        <v>4700</v>
      </c>
      <c r="F391" s="3" t="s">
        <v>469</v>
      </c>
      <c r="G391" s="15">
        <f t="shared" si="57"/>
        <v>1358</v>
      </c>
      <c r="H391" s="15">
        <f>IF(E391&gt;=19990,"ACTIVAR",0)</f>
        <v>0</v>
      </c>
      <c r="I391" s="16">
        <f t="shared" si="54"/>
        <v>3342</v>
      </c>
      <c r="J391" s="17">
        <v>1848</v>
      </c>
      <c r="K391" s="16">
        <f t="shared" si="55"/>
        <v>1494</v>
      </c>
      <c r="L391" s="18">
        <f t="shared" si="56"/>
        <v>0.80844155844155841</v>
      </c>
      <c r="M391" s="44">
        <v>1</v>
      </c>
    </row>
    <row r="392" spans="1:13" ht="50.1" customHeight="1" x14ac:dyDescent="0.2">
      <c r="A392" s="4" t="s">
        <v>539</v>
      </c>
      <c r="B392" s="4" t="s">
        <v>143</v>
      </c>
      <c r="C392" s="49" t="s">
        <v>832</v>
      </c>
      <c r="D392" s="8" t="s">
        <v>144</v>
      </c>
      <c r="E392" s="5">
        <v>5278</v>
      </c>
      <c r="F392" s="3" t="s">
        <v>469</v>
      </c>
      <c r="G392" s="15">
        <f t="shared" si="57"/>
        <v>1438.92</v>
      </c>
      <c r="H392" s="15">
        <f>IF(E392&gt;=19990,"ACTIVAR",0)</f>
        <v>0</v>
      </c>
      <c r="I392" s="16">
        <f t="shared" si="54"/>
        <v>3839.08</v>
      </c>
      <c r="J392" s="17">
        <v>2520</v>
      </c>
      <c r="K392" s="16">
        <f t="shared" si="55"/>
        <v>1319.08</v>
      </c>
      <c r="L392" s="18">
        <f t="shared" si="56"/>
        <v>0.52344444444444438</v>
      </c>
      <c r="M392" s="44">
        <v>1</v>
      </c>
    </row>
    <row r="393" spans="1:13" ht="50.1" customHeight="1" x14ac:dyDescent="0.2">
      <c r="A393" s="4" t="s">
        <v>539</v>
      </c>
      <c r="B393" s="4" t="s">
        <v>145</v>
      </c>
      <c r="C393" s="49" t="s">
        <v>833</v>
      </c>
      <c r="D393" s="8" t="s">
        <v>146</v>
      </c>
      <c r="E393" s="5">
        <v>8700</v>
      </c>
      <c r="F393" s="3" t="s">
        <v>469</v>
      </c>
      <c r="G393" s="15">
        <f t="shared" si="57"/>
        <v>1918.0000000000002</v>
      </c>
      <c r="H393" s="15">
        <f>IF(E393&gt;=19990,"ACTIVAR",0)</f>
        <v>0</v>
      </c>
      <c r="I393" s="16">
        <f t="shared" si="54"/>
        <v>6782</v>
      </c>
      <c r="J393" s="17">
        <v>3780</v>
      </c>
      <c r="K393" s="16">
        <f t="shared" si="55"/>
        <v>3002</v>
      </c>
      <c r="L393" s="18">
        <f t="shared" si="56"/>
        <v>0.79417989417989421</v>
      </c>
      <c r="M393" s="44">
        <v>1</v>
      </c>
    </row>
    <row r="394" spans="1:13" ht="50.1" customHeight="1" x14ac:dyDescent="0.2">
      <c r="A394" s="4" t="s">
        <v>539</v>
      </c>
      <c r="B394" s="4" t="s">
        <v>147</v>
      </c>
      <c r="C394" s="49" t="s">
        <v>834</v>
      </c>
      <c r="D394" s="8" t="s">
        <v>148</v>
      </c>
      <c r="E394" s="5">
        <v>6300</v>
      </c>
      <c r="F394" s="3" t="s">
        <v>469</v>
      </c>
      <c r="G394" s="15">
        <f t="shared" si="57"/>
        <v>1582</v>
      </c>
      <c r="H394" s="15">
        <f>IF(E394&gt;=19990,"ACTIVAR",0)</f>
        <v>0</v>
      </c>
      <c r="I394" s="16">
        <f t="shared" si="54"/>
        <v>4718</v>
      </c>
      <c r="J394" s="17">
        <v>2730</v>
      </c>
      <c r="K394" s="16">
        <f t="shared" si="55"/>
        <v>1988</v>
      </c>
      <c r="L394" s="18">
        <f t="shared" si="56"/>
        <v>0.72820512820512817</v>
      </c>
      <c r="M394" s="44">
        <v>1</v>
      </c>
    </row>
    <row r="395" spans="1:13" ht="50.1" customHeight="1" x14ac:dyDescent="0.2">
      <c r="A395" s="4" t="s">
        <v>539</v>
      </c>
      <c r="B395" s="4" t="s">
        <v>151</v>
      </c>
      <c r="C395" s="49" t="s">
        <v>835</v>
      </c>
      <c r="D395" s="8" t="s">
        <v>152</v>
      </c>
      <c r="E395" s="5">
        <v>20000</v>
      </c>
      <c r="F395" s="3" t="s">
        <v>468</v>
      </c>
      <c r="G395" s="15">
        <f t="shared" si="57"/>
        <v>3200</v>
      </c>
      <c r="H395" s="15">
        <v>5500</v>
      </c>
      <c r="I395" s="16">
        <f t="shared" si="54"/>
        <v>11300</v>
      </c>
      <c r="J395" s="17">
        <v>10080</v>
      </c>
      <c r="K395" s="16">
        <f t="shared" si="55"/>
        <v>1220</v>
      </c>
      <c r="L395" s="18">
        <f t="shared" si="56"/>
        <v>0.12103174603174603</v>
      </c>
      <c r="M395" s="44">
        <v>1</v>
      </c>
    </row>
    <row r="396" spans="1:13" ht="50.1" customHeight="1" x14ac:dyDescent="0.2">
      <c r="A396" s="4" t="s">
        <v>539</v>
      </c>
      <c r="B396" s="4" t="s">
        <v>163</v>
      </c>
      <c r="C396" s="49" t="s">
        <v>802</v>
      </c>
      <c r="D396" s="8" t="s">
        <v>164</v>
      </c>
      <c r="E396" s="5">
        <v>8713</v>
      </c>
      <c r="F396" s="3" t="s">
        <v>468</v>
      </c>
      <c r="G396" s="15">
        <f t="shared" si="57"/>
        <v>1394.08</v>
      </c>
      <c r="H396" s="15">
        <f t="shared" ref="H396:H410" si="58">IF(E396&gt;=19990,"ACTIVAR",0)</f>
        <v>0</v>
      </c>
      <c r="I396" s="16">
        <f t="shared" si="54"/>
        <v>7318.92</v>
      </c>
      <c r="J396" s="17">
        <v>4200</v>
      </c>
      <c r="K396" s="16">
        <f t="shared" si="55"/>
        <v>3118.92</v>
      </c>
      <c r="L396" s="18">
        <f t="shared" si="56"/>
        <v>0.74260000000000004</v>
      </c>
      <c r="M396" s="44">
        <v>1</v>
      </c>
    </row>
    <row r="397" spans="1:13" ht="50.1" customHeight="1" x14ac:dyDescent="0.2">
      <c r="A397" s="4" t="s">
        <v>539</v>
      </c>
      <c r="B397" s="4" t="s">
        <v>167</v>
      </c>
      <c r="C397" s="49" t="s">
        <v>808</v>
      </c>
      <c r="D397" s="8" t="s">
        <v>168</v>
      </c>
      <c r="E397" s="5">
        <v>14493</v>
      </c>
      <c r="F397" s="3" t="s">
        <v>468</v>
      </c>
      <c r="G397" s="15">
        <f t="shared" si="57"/>
        <v>2318.88</v>
      </c>
      <c r="H397" s="15">
        <f t="shared" si="58"/>
        <v>0</v>
      </c>
      <c r="I397" s="16">
        <f t="shared" si="54"/>
        <v>12174.119999999999</v>
      </c>
      <c r="J397" s="17">
        <v>5880</v>
      </c>
      <c r="K397" s="16">
        <f t="shared" si="55"/>
        <v>6294.119999999999</v>
      </c>
      <c r="L397" s="18">
        <f t="shared" si="56"/>
        <v>1.0704285714285713</v>
      </c>
      <c r="M397" s="44">
        <v>1</v>
      </c>
    </row>
    <row r="398" spans="1:13" ht="50.1" customHeight="1" x14ac:dyDescent="0.2">
      <c r="A398" s="4" t="s">
        <v>539</v>
      </c>
      <c r="B398" s="4" t="s">
        <v>169</v>
      </c>
      <c r="C398" s="49" t="s">
        <v>817</v>
      </c>
      <c r="D398" s="8" t="s">
        <v>170</v>
      </c>
      <c r="E398" s="5">
        <v>14103</v>
      </c>
      <c r="F398" s="3" t="s">
        <v>468</v>
      </c>
      <c r="G398" s="15">
        <f t="shared" si="57"/>
        <v>2256.48</v>
      </c>
      <c r="H398" s="15">
        <f t="shared" si="58"/>
        <v>0</v>
      </c>
      <c r="I398" s="16">
        <f t="shared" si="54"/>
        <v>11846.52</v>
      </c>
      <c r="J398" s="17">
        <v>6300</v>
      </c>
      <c r="K398" s="16">
        <f t="shared" si="55"/>
        <v>5546.52</v>
      </c>
      <c r="L398" s="18">
        <f t="shared" si="56"/>
        <v>0.88040000000000007</v>
      </c>
      <c r="M398" s="44">
        <v>1</v>
      </c>
    </row>
    <row r="399" spans="1:13" ht="50.1" customHeight="1" x14ac:dyDescent="0.2">
      <c r="A399" s="4" t="s">
        <v>539</v>
      </c>
      <c r="B399" s="4" t="s">
        <v>175</v>
      </c>
      <c r="C399" s="49" t="s">
        <v>836</v>
      </c>
      <c r="D399" s="8" t="s">
        <v>176</v>
      </c>
      <c r="E399" s="5">
        <v>10000</v>
      </c>
      <c r="F399" s="3" t="s">
        <v>469</v>
      </c>
      <c r="G399" s="15">
        <f t="shared" si="57"/>
        <v>2400</v>
      </c>
      <c r="H399" s="15">
        <f t="shared" si="58"/>
        <v>0</v>
      </c>
      <c r="I399" s="16">
        <f t="shared" si="54"/>
        <v>7600</v>
      </c>
      <c r="J399" s="17">
        <v>2520</v>
      </c>
      <c r="K399" s="16">
        <f t="shared" si="55"/>
        <v>5080</v>
      </c>
      <c r="L399" s="18">
        <f t="shared" si="56"/>
        <v>2.0158730158730158</v>
      </c>
      <c r="M399" s="44">
        <v>1</v>
      </c>
    </row>
    <row r="400" spans="1:13" ht="50.1" customHeight="1" x14ac:dyDescent="0.2">
      <c r="A400" s="4" t="s">
        <v>539</v>
      </c>
      <c r="B400" s="4" t="s">
        <v>177</v>
      </c>
      <c r="C400" s="49" t="s">
        <v>837</v>
      </c>
      <c r="D400" s="8" t="s">
        <v>178</v>
      </c>
      <c r="E400" s="5">
        <v>10000</v>
      </c>
      <c r="F400" s="3" t="s">
        <v>469</v>
      </c>
      <c r="G400" s="15">
        <f t="shared" si="57"/>
        <v>2400</v>
      </c>
      <c r="H400" s="15">
        <f t="shared" si="58"/>
        <v>0</v>
      </c>
      <c r="I400" s="16">
        <f t="shared" si="54"/>
        <v>7600</v>
      </c>
      <c r="J400" s="17">
        <v>1512</v>
      </c>
      <c r="K400" s="16">
        <f t="shared" si="55"/>
        <v>6088</v>
      </c>
      <c r="L400" s="18">
        <f t="shared" si="56"/>
        <v>4.0264550264550261</v>
      </c>
      <c r="M400" s="44">
        <v>1</v>
      </c>
    </row>
    <row r="401" spans="1:13" ht="50.1" customHeight="1" x14ac:dyDescent="0.2">
      <c r="A401" s="4" t="s">
        <v>539</v>
      </c>
      <c r="B401" s="4" t="s">
        <v>179</v>
      </c>
      <c r="C401" s="49" t="s">
        <v>838</v>
      </c>
      <c r="D401" s="8" t="s">
        <v>180</v>
      </c>
      <c r="E401" s="5">
        <v>10000</v>
      </c>
      <c r="F401" s="3" t="s">
        <v>469</v>
      </c>
      <c r="G401" s="15">
        <f t="shared" si="57"/>
        <v>2400</v>
      </c>
      <c r="H401" s="15">
        <f t="shared" si="58"/>
        <v>0</v>
      </c>
      <c r="I401" s="16">
        <f t="shared" si="54"/>
        <v>7600</v>
      </c>
      <c r="J401" s="17">
        <v>1512</v>
      </c>
      <c r="K401" s="16">
        <f t="shared" si="55"/>
        <v>6088</v>
      </c>
      <c r="L401" s="18">
        <f t="shared" si="56"/>
        <v>4.0264550264550261</v>
      </c>
      <c r="M401" s="44">
        <v>1</v>
      </c>
    </row>
    <row r="402" spans="1:13" ht="50.1" customHeight="1" x14ac:dyDescent="0.2">
      <c r="A402" s="4" t="s">
        <v>539</v>
      </c>
      <c r="B402" s="4" t="s">
        <v>181</v>
      </c>
      <c r="C402" s="49" t="s">
        <v>839</v>
      </c>
      <c r="D402" s="8" t="s">
        <v>182</v>
      </c>
      <c r="E402" s="5">
        <v>10000</v>
      </c>
      <c r="F402" s="3" t="s">
        <v>469</v>
      </c>
      <c r="G402" s="15">
        <f t="shared" si="57"/>
        <v>2400</v>
      </c>
      <c r="H402" s="15">
        <f t="shared" si="58"/>
        <v>0</v>
      </c>
      <c r="I402" s="16">
        <f t="shared" si="54"/>
        <v>7600</v>
      </c>
      <c r="J402" s="17">
        <v>1512</v>
      </c>
      <c r="K402" s="16">
        <f t="shared" si="55"/>
        <v>6088</v>
      </c>
      <c r="L402" s="18">
        <f t="shared" si="56"/>
        <v>4.0264550264550261</v>
      </c>
      <c r="M402" s="44">
        <v>1</v>
      </c>
    </row>
    <row r="403" spans="1:13" ht="50.1" customHeight="1" x14ac:dyDescent="0.2">
      <c r="A403" s="4" t="s">
        <v>539</v>
      </c>
      <c r="B403" s="4" t="s">
        <v>183</v>
      </c>
      <c r="C403" s="49" t="s">
        <v>840</v>
      </c>
      <c r="D403" s="8" t="s">
        <v>184</v>
      </c>
      <c r="E403" s="5">
        <v>10000</v>
      </c>
      <c r="F403" s="3" t="s">
        <v>469</v>
      </c>
      <c r="G403" s="15">
        <f t="shared" si="57"/>
        <v>2400</v>
      </c>
      <c r="H403" s="15">
        <f t="shared" si="58"/>
        <v>0</v>
      </c>
      <c r="I403" s="16">
        <f t="shared" si="54"/>
        <v>7600</v>
      </c>
      <c r="J403" s="17">
        <v>3360</v>
      </c>
      <c r="K403" s="16">
        <f t="shared" si="55"/>
        <v>4240</v>
      </c>
      <c r="L403" s="18">
        <f t="shared" si="56"/>
        <v>1.2619047619047619</v>
      </c>
      <c r="M403" s="44">
        <v>1</v>
      </c>
    </row>
    <row r="404" spans="1:13" ht="50.1" customHeight="1" x14ac:dyDescent="0.2">
      <c r="A404" s="4" t="s">
        <v>539</v>
      </c>
      <c r="B404" s="4" t="s">
        <v>185</v>
      </c>
      <c r="C404" s="49" t="s">
        <v>832</v>
      </c>
      <c r="D404" s="8" t="s">
        <v>186</v>
      </c>
      <c r="E404" s="5">
        <v>5278</v>
      </c>
      <c r="F404" s="3" t="s">
        <v>469</v>
      </c>
      <c r="G404" s="15">
        <f t="shared" si="57"/>
        <v>1438.92</v>
      </c>
      <c r="H404" s="15">
        <f t="shared" si="58"/>
        <v>0</v>
      </c>
      <c r="I404" s="16">
        <f t="shared" si="54"/>
        <v>3839.08</v>
      </c>
      <c r="J404" s="17">
        <v>2520</v>
      </c>
      <c r="K404" s="16">
        <f t="shared" si="55"/>
        <v>1319.08</v>
      </c>
      <c r="L404" s="18">
        <f t="shared" si="56"/>
        <v>0.52344444444444438</v>
      </c>
      <c r="M404" s="44">
        <v>1</v>
      </c>
    </row>
    <row r="405" spans="1:13" ht="50.1" customHeight="1" x14ac:dyDescent="0.2">
      <c r="A405" s="4" t="s">
        <v>539</v>
      </c>
      <c r="B405" s="4" t="s">
        <v>215</v>
      </c>
      <c r="C405" s="49" t="s">
        <v>841</v>
      </c>
      <c r="D405" s="4" t="s">
        <v>216</v>
      </c>
      <c r="E405" s="5">
        <v>6100</v>
      </c>
      <c r="F405" s="3" t="s">
        <v>468</v>
      </c>
      <c r="G405" s="15">
        <f t="shared" si="57"/>
        <v>976</v>
      </c>
      <c r="H405" s="15">
        <f t="shared" si="58"/>
        <v>0</v>
      </c>
      <c r="I405" s="16">
        <f t="shared" si="54"/>
        <v>5124</v>
      </c>
      <c r="J405" s="17">
        <v>2730</v>
      </c>
      <c r="K405" s="16">
        <f t="shared" si="55"/>
        <v>2394</v>
      </c>
      <c r="L405" s="18">
        <f t="shared" si="56"/>
        <v>0.87692307692307692</v>
      </c>
      <c r="M405" s="44">
        <v>1</v>
      </c>
    </row>
    <row r="406" spans="1:13" ht="50.1" customHeight="1" x14ac:dyDescent="0.2">
      <c r="A406" s="4" t="s">
        <v>539</v>
      </c>
      <c r="B406" s="4" t="s">
        <v>223</v>
      </c>
      <c r="C406" s="49" t="s">
        <v>842</v>
      </c>
      <c r="D406" s="4" t="s">
        <v>43</v>
      </c>
      <c r="E406" s="5">
        <v>15354</v>
      </c>
      <c r="F406" s="3" t="s">
        <v>468</v>
      </c>
      <c r="G406" s="15">
        <f t="shared" si="57"/>
        <v>2456.64</v>
      </c>
      <c r="H406" s="15">
        <f t="shared" si="58"/>
        <v>0</v>
      </c>
      <c r="I406" s="16">
        <f t="shared" si="54"/>
        <v>12897.36</v>
      </c>
      <c r="J406" s="17">
        <v>5880</v>
      </c>
      <c r="K406" s="16">
        <f t="shared" si="55"/>
        <v>7017.3600000000006</v>
      </c>
      <c r="L406" s="18">
        <f t="shared" si="56"/>
        <v>1.1934285714285715</v>
      </c>
      <c r="M406" s="44">
        <v>1</v>
      </c>
    </row>
    <row r="407" spans="1:13" ht="50.1" customHeight="1" x14ac:dyDescent="0.2">
      <c r="A407" s="4" t="s">
        <v>539</v>
      </c>
      <c r="B407" s="4" t="s">
        <v>224</v>
      </c>
      <c r="C407" s="49" t="s">
        <v>843</v>
      </c>
      <c r="D407" s="4" t="s">
        <v>225</v>
      </c>
      <c r="E407" s="5">
        <v>19980</v>
      </c>
      <c r="F407" s="3" t="s">
        <v>470</v>
      </c>
      <c r="G407" s="15">
        <f t="shared" si="57"/>
        <v>3197.8</v>
      </c>
      <c r="H407" s="15">
        <f t="shared" si="58"/>
        <v>0</v>
      </c>
      <c r="I407" s="16">
        <f t="shared" si="54"/>
        <v>16782.2</v>
      </c>
      <c r="J407" s="17">
        <v>11760</v>
      </c>
      <c r="K407" s="16">
        <f t="shared" si="55"/>
        <v>5022.2000000000007</v>
      </c>
      <c r="L407" s="18">
        <f t="shared" si="56"/>
        <v>0.42705782312925178</v>
      </c>
      <c r="M407" s="44">
        <v>1</v>
      </c>
    </row>
    <row r="408" spans="1:13" ht="50.1" customHeight="1" x14ac:dyDescent="0.2">
      <c r="A408" s="4" t="s">
        <v>539</v>
      </c>
      <c r="B408" s="4" t="s">
        <v>228</v>
      </c>
      <c r="C408" s="49" t="s">
        <v>844</v>
      </c>
      <c r="D408" s="4" t="s">
        <v>229</v>
      </c>
      <c r="E408" s="5">
        <v>5200</v>
      </c>
      <c r="F408" s="3" t="s">
        <v>470</v>
      </c>
      <c r="G408" s="15">
        <f t="shared" si="57"/>
        <v>1272</v>
      </c>
      <c r="H408" s="15">
        <f t="shared" si="58"/>
        <v>0</v>
      </c>
      <c r="I408" s="16">
        <f t="shared" si="54"/>
        <v>3928</v>
      </c>
      <c r="J408" s="17">
        <v>3780</v>
      </c>
      <c r="K408" s="16">
        <f t="shared" si="55"/>
        <v>148</v>
      </c>
      <c r="L408" s="18">
        <f t="shared" si="56"/>
        <v>3.9153439153439155E-2</v>
      </c>
      <c r="M408" s="44">
        <v>1</v>
      </c>
    </row>
    <row r="409" spans="1:13" ht="50.1" customHeight="1" x14ac:dyDescent="0.2">
      <c r="A409" s="4" t="s">
        <v>539</v>
      </c>
      <c r="B409" s="4" t="s">
        <v>230</v>
      </c>
      <c r="C409" s="49" t="s">
        <v>845</v>
      </c>
      <c r="D409" s="4" t="s">
        <v>231</v>
      </c>
      <c r="E409" s="5">
        <v>6100</v>
      </c>
      <c r="F409" s="3" t="s">
        <v>468</v>
      </c>
      <c r="G409" s="15">
        <f t="shared" si="57"/>
        <v>976</v>
      </c>
      <c r="H409" s="15">
        <f t="shared" si="58"/>
        <v>0</v>
      </c>
      <c r="I409" s="16">
        <f t="shared" si="54"/>
        <v>5124</v>
      </c>
      <c r="J409" s="17">
        <v>2730</v>
      </c>
      <c r="K409" s="16">
        <f t="shared" si="55"/>
        <v>2394</v>
      </c>
      <c r="L409" s="18">
        <f t="shared" si="56"/>
        <v>0.87692307692307692</v>
      </c>
      <c r="M409" s="44">
        <v>1</v>
      </c>
    </row>
    <row r="410" spans="1:13" ht="50.1" customHeight="1" x14ac:dyDescent="0.2">
      <c r="A410" s="4" t="s">
        <v>539</v>
      </c>
      <c r="B410" s="4" t="s">
        <v>232</v>
      </c>
      <c r="C410" s="49" t="s">
        <v>846</v>
      </c>
      <c r="D410" s="4" t="s">
        <v>233</v>
      </c>
      <c r="E410" s="5">
        <v>6100</v>
      </c>
      <c r="F410" s="3" t="s">
        <v>468</v>
      </c>
      <c r="G410" s="15">
        <f t="shared" si="57"/>
        <v>976</v>
      </c>
      <c r="H410" s="15">
        <f t="shared" si="58"/>
        <v>0</v>
      </c>
      <c r="I410" s="16">
        <f t="shared" si="54"/>
        <v>5124</v>
      </c>
      <c r="J410" s="17">
        <v>2730</v>
      </c>
      <c r="K410" s="16">
        <f t="shared" si="55"/>
        <v>2394</v>
      </c>
      <c r="L410" s="18">
        <f t="shared" si="56"/>
        <v>0.87692307692307692</v>
      </c>
      <c r="M410" s="44">
        <v>1</v>
      </c>
    </row>
    <row r="411" spans="1:13" ht="50.1" customHeight="1" x14ac:dyDescent="0.2">
      <c r="A411" s="4" t="s">
        <v>539</v>
      </c>
      <c r="B411" s="4" t="s">
        <v>236</v>
      </c>
      <c r="C411" s="49" t="s">
        <v>847</v>
      </c>
      <c r="D411" s="4" t="s">
        <v>237</v>
      </c>
      <c r="E411" s="5">
        <v>42843</v>
      </c>
      <c r="F411" s="3" t="s">
        <v>473</v>
      </c>
      <c r="G411" s="15">
        <f t="shared" si="57"/>
        <v>6426.45</v>
      </c>
      <c r="H411" s="15">
        <v>4400</v>
      </c>
      <c r="I411" s="16">
        <f t="shared" si="54"/>
        <v>32016.550000000003</v>
      </c>
      <c r="J411" s="17">
        <v>14400</v>
      </c>
      <c r="K411" s="16">
        <f t="shared" si="55"/>
        <v>17616.550000000003</v>
      </c>
      <c r="L411" s="18">
        <f t="shared" si="56"/>
        <v>1.2233715277777779</v>
      </c>
      <c r="M411" s="44">
        <v>1</v>
      </c>
    </row>
    <row r="412" spans="1:13" ht="50.1" customHeight="1" x14ac:dyDescent="0.2">
      <c r="A412" s="4" t="s">
        <v>539</v>
      </c>
      <c r="B412" s="4" t="s">
        <v>240</v>
      </c>
      <c r="C412" s="49" t="s">
        <v>848</v>
      </c>
      <c r="D412" s="4" t="s">
        <v>241</v>
      </c>
      <c r="E412" s="5">
        <v>13500</v>
      </c>
      <c r="F412" s="3" t="s">
        <v>470</v>
      </c>
      <c r="G412" s="15">
        <f t="shared" si="57"/>
        <v>2485</v>
      </c>
      <c r="H412" s="15">
        <f t="shared" ref="H412:H420" si="59">IF(E412&gt;=19990,"ACTIVAR",0)</f>
        <v>0</v>
      </c>
      <c r="I412" s="16">
        <f t="shared" si="54"/>
        <v>11015</v>
      </c>
      <c r="J412" s="17">
        <v>8400</v>
      </c>
      <c r="K412" s="16">
        <f t="shared" si="55"/>
        <v>2615</v>
      </c>
      <c r="L412" s="18">
        <f t="shared" si="56"/>
        <v>0.31130952380952381</v>
      </c>
      <c r="M412" s="44">
        <v>1</v>
      </c>
    </row>
    <row r="413" spans="1:13" ht="50.1" customHeight="1" x14ac:dyDescent="0.2">
      <c r="A413" s="4" t="s">
        <v>539</v>
      </c>
      <c r="B413" s="4" t="s">
        <v>242</v>
      </c>
      <c r="C413" s="49" t="s">
        <v>849</v>
      </c>
      <c r="D413" s="4" t="s">
        <v>243</v>
      </c>
      <c r="E413" s="5">
        <v>14993</v>
      </c>
      <c r="F413" s="3" t="s">
        <v>468</v>
      </c>
      <c r="G413" s="15">
        <f t="shared" si="57"/>
        <v>2398.88</v>
      </c>
      <c r="H413" s="15">
        <f t="shared" si="59"/>
        <v>0</v>
      </c>
      <c r="I413" s="16">
        <f t="shared" si="54"/>
        <v>12594.119999999999</v>
      </c>
      <c r="J413" s="17">
        <v>5580</v>
      </c>
      <c r="K413" s="16">
        <f t="shared" si="55"/>
        <v>7014.119999999999</v>
      </c>
      <c r="L413" s="18">
        <f t="shared" si="56"/>
        <v>1.2570107526881718</v>
      </c>
      <c r="M413" s="44">
        <v>1</v>
      </c>
    </row>
    <row r="414" spans="1:13" ht="50.1" customHeight="1" x14ac:dyDescent="0.2">
      <c r="A414" s="4" t="s">
        <v>539</v>
      </c>
      <c r="B414" s="4" t="s">
        <v>249</v>
      </c>
      <c r="C414" s="49" t="s">
        <v>848</v>
      </c>
      <c r="D414" s="4" t="s">
        <v>250</v>
      </c>
      <c r="E414" s="5">
        <v>13500</v>
      </c>
      <c r="F414" s="3" t="s">
        <v>470</v>
      </c>
      <c r="G414" s="15">
        <f t="shared" si="57"/>
        <v>2485</v>
      </c>
      <c r="H414" s="15">
        <f t="shared" si="59"/>
        <v>0</v>
      </c>
      <c r="I414" s="16">
        <f t="shared" ref="I414:I445" si="60">E414-G414-H414</f>
        <v>11015</v>
      </c>
      <c r="J414" s="17">
        <v>8400</v>
      </c>
      <c r="K414" s="16">
        <f t="shared" ref="K414:K445" si="61">I414-J414</f>
        <v>2615</v>
      </c>
      <c r="L414" s="18">
        <f t="shared" ref="L414:L445" si="62">K414/J414</f>
        <v>0.31130952380952381</v>
      </c>
      <c r="M414" s="44">
        <v>1</v>
      </c>
    </row>
    <row r="415" spans="1:13" ht="50.1" customHeight="1" x14ac:dyDescent="0.2">
      <c r="A415" s="4" t="s">
        <v>539</v>
      </c>
      <c r="B415" s="4" t="s">
        <v>251</v>
      </c>
      <c r="C415" s="49" t="s">
        <v>850</v>
      </c>
      <c r="D415" s="4" t="s">
        <v>252</v>
      </c>
      <c r="E415" s="5">
        <v>7000</v>
      </c>
      <c r="F415" s="3" t="s">
        <v>470</v>
      </c>
      <c r="G415" s="15">
        <f t="shared" si="57"/>
        <v>1470</v>
      </c>
      <c r="H415" s="15">
        <f t="shared" si="59"/>
        <v>0</v>
      </c>
      <c r="I415" s="16">
        <f t="shared" si="60"/>
        <v>5530</v>
      </c>
      <c r="J415" s="17">
        <v>4550</v>
      </c>
      <c r="K415" s="16">
        <f t="shared" si="61"/>
        <v>980</v>
      </c>
      <c r="L415" s="18">
        <f t="shared" si="62"/>
        <v>0.2153846153846154</v>
      </c>
      <c r="M415" s="44">
        <v>1</v>
      </c>
    </row>
    <row r="416" spans="1:13" ht="50.1" customHeight="1" x14ac:dyDescent="0.2">
      <c r="A416" s="4" t="s">
        <v>539</v>
      </c>
      <c r="B416" s="4" t="s">
        <v>255</v>
      </c>
      <c r="C416" s="49" t="s">
        <v>843</v>
      </c>
      <c r="D416" s="4" t="s">
        <v>256</v>
      </c>
      <c r="E416" s="5">
        <v>19980</v>
      </c>
      <c r="F416" s="3" t="s">
        <v>470</v>
      </c>
      <c r="G416" s="15">
        <f t="shared" si="57"/>
        <v>3197.8</v>
      </c>
      <c r="H416" s="15">
        <f t="shared" si="59"/>
        <v>0</v>
      </c>
      <c r="I416" s="16">
        <f t="shared" si="60"/>
        <v>16782.2</v>
      </c>
      <c r="J416" s="17">
        <v>11760</v>
      </c>
      <c r="K416" s="16">
        <f t="shared" si="61"/>
        <v>5022.2000000000007</v>
      </c>
      <c r="L416" s="18">
        <f t="shared" si="62"/>
        <v>0.42705782312925178</v>
      </c>
      <c r="M416" s="44">
        <v>1</v>
      </c>
    </row>
    <row r="417" spans="1:13" ht="50.1" customHeight="1" x14ac:dyDescent="0.2">
      <c r="A417" s="4" t="s">
        <v>539</v>
      </c>
      <c r="B417" s="4" t="s">
        <v>257</v>
      </c>
      <c r="C417" s="49" t="s">
        <v>851</v>
      </c>
      <c r="D417" s="4" t="s">
        <v>258</v>
      </c>
      <c r="E417" s="5">
        <v>19980</v>
      </c>
      <c r="F417" s="3" t="s">
        <v>468</v>
      </c>
      <c r="G417" s="15">
        <f t="shared" si="57"/>
        <v>3196.8</v>
      </c>
      <c r="H417" s="15">
        <f t="shared" si="59"/>
        <v>0</v>
      </c>
      <c r="I417" s="16">
        <f t="shared" si="60"/>
        <v>16783.2</v>
      </c>
      <c r="J417" s="17">
        <v>11760</v>
      </c>
      <c r="K417" s="16">
        <f t="shared" si="61"/>
        <v>5023.2000000000007</v>
      </c>
      <c r="L417" s="18">
        <f t="shared" si="62"/>
        <v>0.42714285714285721</v>
      </c>
      <c r="M417" s="44">
        <v>1</v>
      </c>
    </row>
    <row r="418" spans="1:13" ht="50.1" customHeight="1" x14ac:dyDescent="0.2">
      <c r="A418" s="4" t="s">
        <v>539</v>
      </c>
      <c r="B418" s="4" t="s">
        <v>259</v>
      </c>
      <c r="C418" s="49" t="s">
        <v>852</v>
      </c>
      <c r="D418" s="4" t="s">
        <v>110</v>
      </c>
      <c r="E418" s="5">
        <v>5000</v>
      </c>
      <c r="F418" s="3" t="s">
        <v>471</v>
      </c>
      <c r="G418" s="15">
        <f t="shared" si="57"/>
        <v>850.00000000000011</v>
      </c>
      <c r="H418" s="15">
        <f t="shared" si="59"/>
        <v>0</v>
      </c>
      <c r="I418" s="16">
        <f t="shared" si="60"/>
        <v>4150</v>
      </c>
      <c r="J418" s="17">
        <v>456</v>
      </c>
      <c r="K418" s="16">
        <f t="shared" si="61"/>
        <v>3694</v>
      </c>
      <c r="L418" s="18">
        <f t="shared" si="62"/>
        <v>8.1008771929824555</v>
      </c>
      <c r="M418" s="44">
        <v>1</v>
      </c>
    </row>
    <row r="419" spans="1:13" ht="50.1" customHeight="1" x14ac:dyDescent="0.2">
      <c r="A419" s="4" t="s">
        <v>539</v>
      </c>
      <c r="B419" s="4" t="s">
        <v>264</v>
      </c>
      <c r="C419" s="49" t="s">
        <v>853</v>
      </c>
      <c r="D419" s="4" t="s">
        <v>265</v>
      </c>
      <c r="E419" s="5">
        <v>19980</v>
      </c>
      <c r="F419" s="3" t="s">
        <v>470</v>
      </c>
      <c r="G419" s="15">
        <f t="shared" si="57"/>
        <v>3197.8</v>
      </c>
      <c r="H419" s="15">
        <f t="shared" si="59"/>
        <v>0</v>
      </c>
      <c r="I419" s="16">
        <f t="shared" si="60"/>
        <v>16782.2</v>
      </c>
      <c r="J419" s="17">
        <v>8400</v>
      </c>
      <c r="K419" s="16">
        <f t="shared" si="61"/>
        <v>8382.2000000000007</v>
      </c>
      <c r="L419" s="18">
        <f t="shared" si="62"/>
        <v>0.99788095238095242</v>
      </c>
      <c r="M419" s="44">
        <v>1</v>
      </c>
    </row>
    <row r="420" spans="1:13" ht="50.1" customHeight="1" x14ac:dyDescent="0.2">
      <c r="A420" s="4" t="s">
        <v>539</v>
      </c>
      <c r="B420" s="4" t="s">
        <v>266</v>
      </c>
      <c r="C420" s="49" t="s">
        <v>854</v>
      </c>
      <c r="D420" s="4" t="s">
        <v>267</v>
      </c>
      <c r="E420" s="5">
        <v>18741</v>
      </c>
      <c r="F420" s="3" t="s">
        <v>471</v>
      </c>
      <c r="G420" s="15">
        <f t="shared" ref="G420:G447" si="63">IF(F420&gt;"15%",E420*F420,IF(E420&gt;=19990,F420*E420,IF(E420&gt;=9990,F420*E420+1000,F420*E420+700)))</f>
        <v>3185.9700000000003</v>
      </c>
      <c r="H420" s="15">
        <f t="shared" si="59"/>
        <v>0</v>
      </c>
      <c r="I420" s="16">
        <f t="shared" si="60"/>
        <v>15555.029999999999</v>
      </c>
      <c r="J420" s="17">
        <v>6720</v>
      </c>
      <c r="K420" s="16">
        <f t="shared" si="61"/>
        <v>8835.0299999999988</v>
      </c>
      <c r="L420" s="18">
        <f t="shared" si="62"/>
        <v>1.314736607142857</v>
      </c>
      <c r="M420" s="44">
        <v>1</v>
      </c>
    </row>
    <row r="421" spans="1:13" ht="50.1" customHeight="1" x14ac:dyDescent="0.2">
      <c r="A421" s="4" t="s">
        <v>539</v>
      </c>
      <c r="B421" s="4" t="s">
        <v>277</v>
      </c>
      <c r="C421" s="49" t="s">
        <v>855</v>
      </c>
      <c r="D421" s="4" t="s">
        <v>278</v>
      </c>
      <c r="E421" s="5">
        <v>39990</v>
      </c>
      <c r="F421" s="3" t="s">
        <v>468</v>
      </c>
      <c r="G421" s="15">
        <f t="shared" si="63"/>
        <v>6398.4000000000005</v>
      </c>
      <c r="H421" s="15">
        <v>5500</v>
      </c>
      <c r="I421" s="16">
        <f t="shared" si="60"/>
        <v>28091.599999999999</v>
      </c>
      <c r="J421" s="17">
        <v>16800</v>
      </c>
      <c r="K421" s="16">
        <f t="shared" si="61"/>
        <v>11291.599999999999</v>
      </c>
      <c r="L421" s="18">
        <f t="shared" si="62"/>
        <v>0.6721190476190475</v>
      </c>
      <c r="M421" s="44">
        <v>1</v>
      </c>
    </row>
    <row r="422" spans="1:13" ht="50.1" customHeight="1" x14ac:dyDescent="0.2">
      <c r="A422" s="4" t="s">
        <v>539</v>
      </c>
      <c r="B422" s="4" t="s">
        <v>279</v>
      </c>
      <c r="C422" s="49" t="s">
        <v>844</v>
      </c>
      <c r="D422" s="4" t="s">
        <v>280</v>
      </c>
      <c r="E422" s="5">
        <v>5200</v>
      </c>
      <c r="F422" s="3" t="s">
        <v>470</v>
      </c>
      <c r="G422" s="15">
        <f t="shared" si="63"/>
        <v>1272</v>
      </c>
      <c r="H422" s="15">
        <f>IF(E422&gt;=19990,"ACTIVAR",0)</f>
        <v>0</v>
      </c>
      <c r="I422" s="16">
        <f t="shared" si="60"/>
        <v>3928</v>
      </c>
      <c r="J422" s="17">
        <v>3780</v>
      </c>
      <c r="K422" s="16">
        <f t="shared" si="61"/>
        <v>148</v>
      </c>
      <c r="L422" s="18">
        <f t="shared" si="62"/>
        <v>3.9153439153439155E-2</v>
      </c>
      <c r="M422" s="44">
        <v>1</v>
      </c>
    </row>
    <row r="423" spans="1:13" ht="50.1" customHeight="1" x14ac:dyDescent="0.2">
      <c r="A423" s="4" t="s">
        <v>539</v>
      </c>
      <c r="B423" s="4" t="s">
        <v>283</v>
      </c>
      <c r="C423" s="49" t="s">
        <v>850</v>
      </c>
      <c r="D423" s="4" t="s">
        <v>284</v>
      </c>
      <c r="E423" s="5">
        <v>7000</v>
      </c>
      <c r="F423" s="3" t="s">
        <v>470</v>
      </c>
      <c r="G423" s="15">
        <f t="shared" si="63"/>
        <v>1470</v>
      </c>
      <c r="H423" s="15">
        <f>IF(E423&gt;=19990,"ACTIVAR",0)</f>
        <v>0</v>
      </c>
      <c r="I423" s="16">
        <f t="shared" si="60"/>
        <v>5530</v>
      </c>
      <c r="J423" s="17">
        <v>4550</v>
      </c>
      <c r="K423" s="16">
        <f t="shared" si="61"/>
        <v>980</v>
      </c>
      <c r="L423" s="18">
        <f t="shared" si="62"/>
        <v>0.2153846153846154</v>
      </c>
      <c r="M423" s="44">
        <v>1</v>
      </c>
    </row>
    <row r="424" spans="1:13" ht="50.1" customHeight="1" x14ac:dyDescent="0.2">
      <c r="A424" s="4" t="s">
        <v>539</v>
      </c>
      <c r="B424" s="4" t="s">
        <v>290</v>
      </c>
      <c r="C424" s="49" t="s">
        <v>856</v>
      </c>
      <c r="D424" s="4" t="s">
        <v>291</v>
      </c>
      <c r="E424" s="5">
        <v>14993</v>
      </c>
      <c r="F424" s="3" t="s">
        <v>468</v>
      </c>
      <c r="G424" s="15">
        <f t="shared" si="63"/>
        <v>2398.88</v>
      </c>
      <c r="H424" s="15">
        <f>IF(E424&gt;=19990,"ACTIVAR",0)</f>
        <v>0</v>
      </c>
      <c r="I424" s="16">
        <f t="shared" si="60"/>
        <v>12594.119999999999</v>
      </c>
      <c r="J424" s="17">
        <v>5880</v>
      </c>
      <c r="K424" s="16">
        <f t="shared" si="61"/>
        <v>6714.119999999999</v>
      </c>
      <c r="L424" s="18">
        <f t="shared" si="62"/>
        <v>1.1418571428571427</v>
      </c>
      <c r="M424" s="44">
        <v>16</v>
      </c>
    </row>
    <row r="425" spans="1:13" ht="50.1" customHeight="1" x14ac:dyDescent="0.2">
      <c r="A425" s="4" t="s">
        <v>539</v>
      </c>
      <c r="B425" s="4" t="s">
        <v>294</v>
      </c>
      <c r="C425" s="49" t="s">
        <v>857</v>
      </c>
      <c r="D425" s="4" t="s">
        <v>295</v>
      </c>
      <c r="E425" s="5">
        <v>17493</v>
      </c>
      <c r="F425" s="3" t="s">
        <v>468</v>
      </c>
      <c r="G425" s="15">
        <f t="shared" si="63"/>
        <v>2798.88</v>
      </c>
      <c r="H425" s="15">
        <f>IF(E425&gt;=19990,"ACTIVAR",0)</f>
        <v>0</v>
      </c>
      <c r="I425" s="16">
        <f t="shared" si="60"/>
        <v>14694.119999999999</v>
      </c>
      <c r="J425" s="17">
        <v>9240</v>
      </c>
      <c r="K425" s="16">
        <f t="shared" si="61"/>
        <v>5454.119999999999</v>
      </c>
      <c r="L425" s="18">
        <f t="shared" si="62"/>
        <v>0.59027272727272717</v>
      </c>
      <c r="M425" s="44">
        <v>1</v>
      </c>
    </row>
    <row r="426" spans="1:13" ht="50.1" customHeight="1" x14ac:dyDescent="0.2">
      <c r="A426" s="4" t="s">
        <v>539</v>
      </c>
      <c r="B426" s="4" t="s">
        <v>302</v>
      </c>
      <c r="C426" s="49" t="s">
        <v>858</v>
      </c>
      <c r="D426" s="4" t="s">
        <v>303</v>
      </c>
      <c r="E426" s="5">
        <v>19980</v>
      </c>
      <c r="F426" s="3" t="s">
        <v>468</v>
      </c>
      <c r="G426" s="15">
        <f t="shared" si="63"/>
        <v>3196.8</v>
      </c>
      <c r="H426" s="15">
        <f>IF(E426&gt;=19990,"ACTIVAR",0)</f>
        <v>0</v>
      </c>
      <c r="I426" s="16">
        <f t="shared" si="60"/>
        <v>16783.2</v>
      </c>
      <c r="J426" s="17">
        <v>12800</v>
      </c>
      <c r="K426" s="16">
        <f t="shared" si="61"/>
        <v>3983.2000000000007</v>
      </c>
      <c r="L426" s="18">
        <f t="shared" si="62"/>
        <v>0.31118750000000006</v>
      </c>
      <c r="M426" s="44">
        <v>1</v>
      </c>
    </row>
    <row r="427" spans="1:13" ht="50.1" customHeight="1" x14ac:dyDescent="0.2">
      <c r="A427" s="4" t="s">
        <v>539</v>
      </c>
      <c r="B427" s="4" t="s">
        <v>304</v>
      </c>
      <c r="C427" s="49" t="s">
        <v>859</v>
      </c>
      <c r="D427" s="4" t="s">
        <v>305</v>
      </c>
      <c r="E427" s="5">
        <v>53320</v>
      </c>
      <c r="F427" s="3" t="s">
        <v>468</v>
      </c>
      <c r="G427" s="15">
        <f t="shared" si="63"/>
        <v>8531.2000000000007</v>
      </c>
      <c r="H427" s="15">
        <v>3150</v>
      </c>
      <c r="I427" s="16">
        <f t="shared" si="60"/>
        <v>41638.800000000003</v>
      </c>
      <c r="J427" s="17">
        <v>12800</v>
      </c>
      <c r="K427" s="16">
        <f t="shared" si="61"/>
        <v>28838.800000000003</v>
      </c>
      <c r="L427" s="18">
        <f t="shared" si="62"/>
        <v>2.2530312500000003</v>
      </c>
      <c r="M427" s="44">
        <v>1</v>
      </c>
    </row>
    <row r="428" spans="1:13" ht="50.1" customHeight="1" x14ac:dyDescent="0.2">
      <c r="A428" s="4" t="s">
        <v>539</v>
      </c>
      <c r="B428" s="4" t="s">
        <v>320</v>
      </c>
      <c r="C428" s="49" t="s">
        <v>860</v>
      </c>
      <c r="D428" s="8" t="s">
        <v>321</v>
      </c>
      <c r="E428" s="5">
        <v>19980</v>
      </c>
      <c r="F428" s="3" t="s">
        <v>469</v>
      </c>
      <c r="G428" s="15">
        <f t="shared" si="63"/>
        <v>3797.2000000000003</v>
      </c>
      <c r="H428" s="15">
        <f>IF(E428&gt;=19990,"ACTIVAR",0)</f>
        <v>0</v>
      </c>
      <c r="I428" s="16">
        <f t="shared" si="60"/>
        <v>16182.8</v>
      </c>
      <c r="J428" s="17">
        <v>10080</v>
      </c>
      <c r="K428" s="16">
        <f t="shared" si="61"/>
        <v>6102.7999999999993</v>
      </c>
      <c r="L428" s="18">
        <f t="shared" si="62"/>
        <v>0.60543650793650783</v>
      </c>
      <c r="M428" s="44">
        <v>1</v>
      </c>
    </row>
    <row r="429" spans="1:13" ht="45" customHeight="1" x14ac:dyDescent="0.2">
      <c r="A429" s="4" t="s">
        <v>539</v>
      </c>
      <c r="B429" s="4" t="s">
        <v>322</v>
      </c>
      <c r="C429" s="49" t="s">
        <v>859</v>
      </c>
      <c r="D429" s="8" t="s">
        <v>323</v>
      </c>
      <c r="E429" s="5">
        <v>53320</v>
      </c>
      <c r="F429" s="3" t="s">
        <v>468</v>
      </c>
      <c r="G429" s="15">
        <f t="shared" si="63"/>
        <v>8531.2000000000007</v>
      </c>
      <c r="H429" s="15">
        <v>3100</v>
      </c>
      <c r="I429" s="16">
        <f t="shared" si="60"/>
        <v>41688.800000000003</v>
      </c>
      <c r="J429" s="17">
        <v>12600</v>
      </c>
      <c r="K429" s="16">
        <f t="shared" si="61"/>
        <v>29088.800000000003</v>
      </c>
      <c r="L429" s="18">
        <f t="shared" si="62"/>
        <v>2.3086349206349208</v>
      </c>
      <c r="M429" s="44">
        <v>1</v>
      </c>
    </row>
    <row r="430" spans="1:13" ht="45" customHeight="1" x14ac:dyDescent="0.2">
      <c r="A430" s="4" t="s">
        <v>539</v>
      </c>
      <c r="B430" s="4" t="s">
        <v>324</v>
      </c>
      <c r="C430" s="49" t="s">
        <v>861</v>
      </c>
      <c r="D430" s="8" t="s">
        <v>325</v>
      </c>
      <c r="E430" s="5">
        <v>59987</v>
      </c>
      <c r="F430" s="3" t="s">
        <v>468</v>
      </c>
      <c r="G430" s="15">
        <f t="shared" si="63"/>
        <v>9597.92</v>
      </c>
      <c r="H430" s="15">
        <v>4600</v>
      </c>
      <c r="I430" s="16">
        <f t="shared" si="60"/>
        <v>45789.08</v>
      </c>
      <c r="J430" s="17">
        <v>16800</v>
      </c>
      <c r="K430" s="16">
        <f t="shared" si="61"/>
        <v>28989.08</v>
      </c>
      <c r="L430" s="18">
        <f t="shared" si="62"/>
        <v>1.7255404761904762</v>
      </c>
      <c r="M430" s="44">
        <v>1</v>
      </c>
    </row>
    <row r="431" spans="1:13" ht="45" customHeight="1" x14ac:dyDescent="0.2">
      <c r="A431" s="4" t="s">
        <v>539</v>
      </c>
      <c r="B431" s="4" t="s">
        <v>326</v>
      </c>
      <c r="C431" s="49" t="s">
        <v>862</v>
      </c>
      <c r="D431" s="8" t="s">
        <v>327</v>
      </c>
      <c r="E431" s="5">
        <v>61320</v>
      </c>
      <c r="F431" s="3" t="s">
        <v>469</v>
      </c>
      <c r="G431" s="15">
        <f t="shared" si="63"/>
        <v>8584.8000000000011</v>
      </c>
      <c r="H431" s="15">
        <v>5500</v>
      </c>
      <c r="I431" s="16">
        <f t="shared" si="60"/>
        <v>47235.199999999997</v>
      </c>
      <c r="J431" s="17">
        <v>26208</v>
      </c>
      <c r="K431" s="16">
        <f t="shared" si="61"/>
        <v>21027.199999999997</v>
      </c>
      <c r="L431" s="18">
        <f t="shared" si="62"/>
        <v>0.80231990231990225</v>
      </c>
      <c r="M431" s="44">
        <v>1</v>
      </c>
    </row>
    <row r="432" spans="1:13" ht="45" customHeight="1" x14ac:dyDescent="0.2">
      <c r="A432" s="4" t="s">
        <v>539</v>
      </c>
      <c r="B432" s="4" t="s">
        <v>328</v>
      </c>
      <c r="C432" s="49" t="s">
        <v>863</v>
      </c>
      <c r="D432" s="8" t="s">
        <v>329</v>
      </c>
      <c r="E432" s="5">
        <v>29400</v>
      </c>
      <c r="F432" s="3" t="s">
        <v>468</v>
      </c>
      <c r="G432" s="15">
        <f t="shared" si="63"/>
        <v>4704</v>
      </c>
      <c r="H432" s="15">
        <v>3500</v>
      </c>
      <c r="I432" s="16">
        <f t="shared" si="60"/>
        <v>21196</v>
      </c>
      <c r="J432" s="17">
        <v>8400</v>
      </c>
      <c r="K432" s="16">
        <f t="shared" si="61"/>
        <v>12796</v>
      </c>
      <c r="L432" s="18">
        <f t="shared" si="62"/>
        <v>1.5233333333333334</v>
      </c>
      <c r="M432" s="44">
        <v>1</v>
      </c>
    </row>
    <row r="433" spans="1:13" ht="45" customHeight="1" x14ac:dyDescent="0.2">
      <c r="A433" s="4" t="s">
        <v>539</v>
      </c>
      <c r="B433" s="4" t="s">
        <v>330</v>
      </c>
      <c r="C433" s="49" t="s">
        <v>864</v>
      </c>
      <c r="D433" s="8" t="s">
        <v>331</v>
      </c>
      <c r="E433" s="5">
        <v>31238</v>
      </c>
      <c r="F433" s="3" t="s">
        <v>468</v>
      </c>
      <c r="G433" s="15">
        <f t="shared" si="63"/>
        <v>4998.08</v>
      </c>
      <c r="H433" s="15">
        <v>3100</v>
      </c>
      <c r="I433" s="16">
        <f t="shared" si="60"/>
        <v>23139.919999999998</v>
      </c>
      <c r="J433" s="17">
        <v>11760</v>
      </c>
      <c r="K433" s="16">
        <f t="shared" si="61"/>
        <v>11379.919999999998</v>
      </c>
      <c r="L433" s="18">
        <f t="shared" si="62"/>
        <v>0.96768027210884344</v>
      </c>
      <c r="M433" s="44">
        <v>1</v>
      </c>
    </row>
    <row r="434" spans="1:13" ht="45" customHeight="1" x14ac:dyDescent="0.2">
      <c r="A434" s="4" t="s">
        <v>539</v>
      </c>
      <c r="B434" s="4" t="s">
        <v>334</v>
      </c>
      <c r="C434" s="49" t="s">
        <v>857</v>
      </c>
      <c r="D434" s="8" t="s">
        <v>335</v>
      </c>
      <c r="E434" s="5">
        <v>17493</v>
      </c>
      <c r="F434" s="3" t="s">
        <v>468</v>
      </c>
      <c r="G434" s="15">
        <f t="shared" si="63"/>
        <v>2798.88</v>
      </c>
      <c r="H434" s="15">
        <f>IF(E434&gt;=19990,"ACTIVAR",0)</f>
        <v>0</v>
      </c>
      <c r="I434" s="16">
        <f t="shared" si="60"/>
        <v>14694.119999999999</v>
      </c>
      <c r="J434" s="17">
        <v>9240</v>
      </c>
      <c r="K434" s="16">
        <f t="shared" si="61"/>
        <v>5454.119999999999</v>
      </c>
      <c r="L434" s="18">
        <f t="shared" si="62"/>
        <v>0.59027272727272717</v>
      </c>
      <c r="M434" s="44">
        <v>1</v>
      </c>
    </row>
    <row r="435" spans="1:13" ht="45" customHeight="1" x14ac:dyDescent="0.2">
      <c r="A435" s="4" t="s">
        <v>539</v>
      </c>
      <c r="B435" s="4" t="s">
        <v>336</v>
      </c>
      <c r="C435" s="49" t="s">
        <v>865</v>
      </c>
      <c r="D435" s="8" t="s">
        <v>337</v>
      </c>
      <c r="E435" s="5">
        <v>24988</v>
      </c>
      <c r="F435" s="3" t="s">
        <v>468</v>
      </c>
      <c r="G435" s="15">
        <f t="shared" si="63"/>
        <v>3998.08</v>
      </c>
      <c r="H435" s="15">
        <v>3100</v>
      </c>
      <c r="I435" s="16">
        <f t="shared" si="60"/>
        <v>17889.919999999998</v>
      </c>
      <c r="J435" s="17">
        <v>5880</v>
      </c>
      <c r="K435" s="16">
        <f t="shared" si="61"/>
        <v>12009.919999999998</v>
      </c>
      <c r="L435" s="18">
        <f t="shared" si="62"/>
        <v>2.0425034013605439</v>
      </c>
      <c r="M435" s="44">
        <v>1</v>
      </c>
    </row>
    <row r="436" spans="1:13" ht="45" customHeight="1" x14ac:dyDescent="0.2">
      <c r="A436" s="4" t="s">
        <v>539</v>
      </c>
      <c r="B436" s="4" t="s">
        <v>342</v>
      </c>
      <c r="C436" s="49" t="s">
        <v>866</v>
      </c>
      <c r="D436" s="8" t="s">
        <v>343</v>
      </c>
      <c r="E436" s="5">
        <v>10000</v>
      </c>
      <c r="F436" s="3" t="s">
        <v>468</v>
      </c>
      <c r="G436" s="15">
        <f t="shared" si="63"/>
        <v>1600</v>
      </c>
      <c r="H436" s="15">
        <f>IF(E436&gt;=19990,"ACTIVAR",0)</f>
        <v>0</v>
      </c>
      <c r="I436" s="16">
        <f t="shared" si="60"/>
        <v>8400</v>
      </c>
      <c r="J436" s="17">
        <v>2100</v>
      </c>
      <c r="K436" s="16">
        <f t="shared" si="61"/>
        <v>6300</v>
      </c>
      <c r="L436" s="18">
        <f t="shared" si="62"/>
        <v>3</v>
      </c>
      <c r="M436" s="44">
        <v>1</v>
      </c>
    </row>
    <row r="437" spans="1:13" ht="45" customHeight="1" x14ac:dyDescent="0.2">
      <c r="A437" s="4" t="s">
        <v>539</v>
      </c>
      <c r="B437" s="4" t="s">
        <v>347</v>
      </c>
      <c r="C437" s="49" t="s">
        <v>867</v>
      </c>
      <c r="D437" s="8" t="s">
        <v>345</v>
      </c>
      <c r="E437" s="5">
        <v>10000</v>
      </c>
      <c r="F437" s="3" t="s">
        <v>468</v>
      </c>
      <c r="G437" s="15">
        <f t="shared" si="63"/>
        <v>1600</v>
      </c>
      <c r="H437" s="15">
        <f>IF(E437&gt;=19990,"ACTIVAR",0)</f>
        <v>0</v>
      </c>
      <c r="I437" s="16">
        <f t="shared" si="60"/>
        <v>8400</v>
      </c>
      <c r="J437" s="17">
        <v>924</v>
      </c>
      <c r="K437" s="16">
        <f t="shared" si="61"/>
        <v>7476</v>
      </c>
      <c r="L437" s="18">
        <f t="shared" si="62"/>
        <v>8.0909090909090917</v>
      </c>
      <c r="M437" s="44">
        <v>1</v>
      </c>
    </row>
    <row r="438" spans="1:13" ht="45" customHeight="1" x14ac:dyDescent="0.2">
      <c r="A438" s="4" t="s">
        <v>539</v>
      </c>
      <c r="B438" s="4" t="s">
        <v>358</v>
      </c>
      <c r="C438" s="49" t="s">
        <v>868</v>
      </c>
      <c r="D438" s="8" t="s">
        <v>359</v>
      </c>
      <c r="E438" s="5">
        <v>28557</v>
      </c>
      <c r="F438" s="3" t="s">
        <v>468</v>
      </c>
      <c r="G438" s="15">
        <f t="shared" si="63"/>
        <v>4569.12</v>
      </c>
      <c r="H438" s="15">
        <v>3500</v>
      </c>
      <c r="I438" s="16">
        <f t="shared" si="60"/>
        <v>20487.88</v>
      </c>
      <c r="J438" s="17">
        <v>6720</v>
      </c>
      <c r="K438" s="16">
        <f t="shared" si="61"/>
        <v>13767.880000000001</v>
      </c>
      <c r="L438" s="18">
        <f t="shared" si="62"/>
        <v>2.0487916666666668</v>
      </c>
      <c r="M438" s="44">
        <v>1</v>
      </c>
    </row>
    <row r="439" spans="1:13" ht="45" customHeight="1" x14ac:dyDescent="0.2">
      <c r="A439" s="4" t="s">
        <v>539</v>
      </c>
      <c r="B439" s="4" t="s">
        <v>360</v>
      </c>
      <c r="C439" s="49" t="s">
        <v>869</v>
      </c>
      <c r="D439" s="8" t="s">
        <v>361</v>
      </c>
      <c r="E439" s="5">
        <v>24988</v>
      </c>
      <c r="F439" s="3" t="s">
        <v>469</v>
      </c>
      <c r="G439" s="15">
        <f t="shared" si="63"/>
        <v>3498.32</v>
      </c>
      <c r="H439" s="15">
        <v>6800</v>
      </c>
      <c r="I439" s="16">
        <f t="shared" si="60"/>
        <v>14689.68</v>
      </c>
      <c r="J439" s="17">
        <v>7560</v>
      </c>
      <c r="K439" s="16">
        <f t="shared" si="61"/>
        <v>7129.68</v>
      </c>
      <c r="L439" s="18">
        <f t="shared" si="62"/>
        <v>0.94307936507936507</v>
      </c>
      <c r="M439" s="44">
        <v>1</v>
      </c>
    </row>
    <row r="440" spans="1:13" ht="45" customHeight="1" x14ac:dyDescent="0.2">
      <c r="A440" s="4" t="s">
        <v>539</v>
      </c>
      <c r="B440" s="4" t="s">
        <v>364</v>
      </c>
      <c r="C440" s="49" t="s">
        <v>870</v>
      </c>
      <c r="D440" s="8" t="s">
        <v>365</v>
      </c>
      <c r="E440" s="5">
        <v>39990</v>
      </c>
      <c r="F440" s="3" t="s">
        <v>468</v>
      </c>
      <c r="G440" s="15">
        <f t="shared" si="63"/>
        <v>6398.4000000000005</v>
      </c>
      <c r="H440" s="15">
        <v>3100</v>
      </c>
      <c r="I440" s="16">
        <f t="shared" si="60"/>
        <v>30491.599999999999</v>
      </c>
      <c r="J440" s="17">
        <v>16800</v>
      </c>
      <c r="K440" s="16">
        <f t="shared" si="61"/>
        <v>13691.599999999999</v>
      </c>
      <c r="L440" s="18">
        <f t="shared" si="62"/>
        <v>0.81497619047619041</v>
      </c>
      <c r="M440" s="44">
        <v>1</v>
      </c>
    </row>
    <row r="441" spans="1:13" ht="45" customHeight="1" x14ac:dyDescent="0.2">
      <c r="A441" s="4" t="s">
        <v>539</v>
      </c>
      <c r="B441" s="4" t="s">
        <v>366</v>
      </c>
      <c r="C441" s="49" t="s">
        <v>871</v>
      </c>
      <c r="D441" s="8" t="s">
        <v>367</v>
      </c>
      <c r="E441" s="5">
        <v>39990</v>
      </c>
      <c r="F441" s="3" t="s">
        <v>468</v>
      </c>
      <c r="G441" s="15">
        <f t="shared" si="63"/>
        <v>6398.4000000000005</v>
      </c>
      <c r="H441" s="15">
        <v>3100</v>
      </c>
      <c r="I441" s="16">
        <f t="shared" si="60"/>
        <v>30491.599999999999</v>
      </c>
      <c r="J441" s="17">
        <v>16800</v>
      </c>
      <c r="K441" s="16">
        <f t="shared" si="61"/>
        <v>13691.599999999999</v>
      </c>
      <c r="L441" s="18">
        <f t="shared" si="62"/>
        <v>0.81497619047619041</v>
      </c>
      <c r="M441" s="44">
        <v>1</v>
      </c>
    </row>
    <row r="442" spans="1:13" ht="45" customHeight="1" x14ac:dyDescent="0.2">
      <c r="A442" s="4" t="s">
        <v>539</v>
      </c>
      <c r="B442" s="4" t="s">
        <v>368</v>
      </c>
      <c r="C442" s="49" t="s">
        <v>872</v>
      </c>
      <c r="D442" s="8" t="s">
        <v>369</v>
      </c>
      <c r="E442" s="5">
        <v>24988</v>
      </c>
      <c r="F442" s="3" t="s">
        <v>468</v>
      </c>
      <c r="G442" s="15">
        <f t="shared" si="63"/>
        <v>3998.08</v>
      </c>
      <c r="H442" s="15">
        <v>3150</v>
      </c>
      <c r="I442" s="16">
        <f t="shared" si="60"/>
        <v>17839.919999999998</v>
      </c>
      <c r="J442" s="17">
        <v>5880</v>
      </c>
      <c r="K442" s="16">
        <f t="shared" si="61"/>
        <v>11959.919999999998</v>
      </c>
      <c r="L442" s="18">
        <f t="shared" si="62"/>
        <v>2.0339999999999998</v>
      </c>
      <c r="M442" s="44">
        <v>1</v>
      </c>
    </row>
    <row r="443" spans="1:13" ht="45" customHeight="1" x14ac:dyDescent="0.2">
      <c r="A443" s="4" t="s">
        <v>539</v>
      </c>
      <c r="B443" s="4" t="s">
        <v>373</v>
      </c>
      <c r="C443" s="49" t="s">
        <v>873</v>
      </c>
      <c r="D443" s="8" t="s">
        <v>374</v>
      </c>
      <c r="E443" s="5">
        <v>10000</v>
      </c>
      <c r="F443" s="3" t="s">
        <v>469</v>
      </c>
      <c r="G443" s="15">
        <f t="shared" si="63"/>
        <v>2400</v>
      </c>
      <c r="H443" s="15">
        <f t="shared" ref="H443:H450" si="64">IF(E443&gt;=19990,"ACTIVAR",0)</f>
        <v>0</v>
      </c>
      <c r="I443" s="16">
        <f t="shared" si="60"/>
        <v>7600</v>
      </c>
      <c r="J443" s="17">
        <v>5880</v>
      </c>
      <c r="K443" s="16">
        <f t="shared" si="61"/>
        <v>1720</v>
      </c>
      <c r="L443" s="18">
        <f t="shared" si="62"/>
        <v>0.29251700680272108</v>
      </c>
      <c r="M443" s="44">
        <v>1</v>
      </c>
    </row>
    <row r="444" spans="1:13" ht="45" customHeight="1" x14ac:dyDescent="0.2">
      <c r="A444" s="4" t="s">
        <v>539</v>
      </c>
      <c r="B444" s="4" t="s">
        <v>380</v>
      </c>
      <c r="C444" s="49" t="s">
        <v>874</v>
      </c>
      <c r="D444" s="8" t="s">
        <v>381</v>
      </c>
      <c r="E444" s="5">
        <v>10000</v>
      </c>
      <c r="F444" s="3" t="s">
        <v>468</v>
      </c>
      <c r="G444" s="15">
        <f t="shared" si="63"/>
        <v>1600</v>
      </c>
      <c r="H444" s="15">
        <f t="shared" si="64"/>
        <v>0</v>
      </c>
      <c r="I444" s="16">
        <f t="shared" si="60"/>
        <v>8400</v>
      </c>
      <c r="J444" s="17">
        <v>1092</v>
      </c>
      <c r="K444" s="16">
        <f t="shared" si="61"/>
        <v>7308</v>
      </c>
      <c r="L444" s="18">
        <f t="shared" si="62"/>
        <v>6.6923076923076925</v>
      </c>
      <c r="M444" s="44">
        <v>1</v>
      </c>
    </row>
    <row r="445" spans="1:13" ht="45" customHeight="1" x14ac:dyDescent="0.2">
      <c r="A445" s="27" t="s">
        <v>539</v>
      </c>
      <c r="B445" s="27" t="s">
        <v>382</v>
      </c>
      <c r="C445" s="52" t="s">
        <v>875</v>
      </c>
      <c r="D445" s="28" t="s">
        <v>383</v>
      </c>
      <c r="E445" s="29">
        <v>10000</v>
      </c>
      <c r="F445" s="38" t="s">
        <v>468</v>
      </c>
      <c r="G445" s="31">
        <f t="shared" si="63"/>
        <v>1600</v>
      </c>
      <c r="H445" s="31">
        <f t="shared" si="64"/>
        <v>0</v>
      </c>
      <c r="I445" s="32">
        <f t="shared" si="60"/>
        <v>8400</v>
      </c>
      <c r="J445" s="33">
        <v>400</v>
      </c>
      <c r="K445" s="32">
        <f t="shared" si="61"/>
        <v>8000</v>
      </c>
      <c r="L445" s="34">
        <f t="shared" si="62"/>
        <v>20</v>
      </c>
      <c r="M445" s="44">
        <v>1</v>
      </c>
    </row>
    <row r="446" spans="1:13" ht="45" customHeight="1" x14ac:dyDescent="0.2">
      <c r="A446" s="27" t="s">
        <v>539</v>
      </c>
      <c r="B446" s="27" t="s">
        <v>384</v>
      </c>
      <c r="C446" s="52" t="s">
        <v>876</v>
      </c>
      <c r="D446" s="28" t="s">
        <v>385</v>
      </c>
      <c r="E446" s="29">
        <v>10000</v>
      </c>
      <c r="F446" s="38" t="s">
        <v>468</v>
      </c>
      <c r="G446" s="31">
        <f t="shared" si="63"/>
        <v>1600</v>
      </c>
      <c r="H446" s="31">
        <f t="shared" si="64"/>
        <v>0</v>
      </c>
      <c r="I446" s="32">
        <f t="shared" ref="I446:I477" si="65">E446-G446-H446</f>
        <v>8400</v>
      </c>
      <c r="J446" s="33">
        <v>1344</v>
      </c>
      <c r="K446" s="32">
        <f t="shared" ref="K446:K477" si="66">I446-J446</f>
        <v>7056</v>
      </c>
      <c r="L446" s="34">
        <f t="shared" ref="L446:L477" si="67">K446/J446</f>
        <v>5.25</v>
      </c>
      <c r="M446" s="44">
        <v>1</v>
      </c>
    </row>
    <row r="447" spans="1:13" ht="45" customHeight="1" x14ac:dyDescent="0.2">
      <c r="A447" s="27" t="s">
        <v>539</v>
      </c>
      <c r="B447" s="27" t="s">
        <v>386</v>
      </c>
      <c r="C447" s="52" t="s">
        <v>877</v>
      </c>
      <c r="D447" s="28" t="s">
        <v>387</v>
      </c>
      <c r="E447" s="29">
        <v>10000</v>
      </c>
      <c r="F447" s="38" t="s">
        <v>468</v>
      </c>
      <c r="G447" s="31">
        <f t="shared" si="63"/>
        <v>1600</v>
      </c>
      <c r="H447" s="31">
        <f t="shared" si="64"/>
        <v>0</v>
      </c>
      <c r="I447" s="32">
        <f t="shared" si="65"/>
        <v>8400</v>
      </c>
      <c r="J447" s="33">
        <v>500</v>
      </c>
      <c r="K447" s="32">
        <f t="shared" si="66"/>
        <v>7900</v>
      </c>
      <c r="L447" s="34">
        <f t="shared" si="67"/>
        <v>15.8</v>
      </c>
      <c r="M447" s="44">
        <v>1</v>
      </c>
    </row>
    <row r="448" spans="1:13" ht="45" customHeight="1" x14ac:dyDescent="0.2">
      <c r="A448" s="27" t="s">
        <v>539</v>
      </c>
      <c r="B448" s="27" t="s">
        <v>571</v>
      </c>
      <c r="C448" s="52" t="s">
        <v>825</v>
      </c>
      <c r="D448" s="28" t="s">
        <v>572</v>
      </c>
      <c r="E448" s="29">
        <v>14992</v>
      </c>
      <c r="F448" s="41">
        <v>0.14000000000000001</v>
      </c>
      <c r="G448" s="31">
        <f>Tabla1[[#This Row],[Precio]]*Tabla1[[#This Row],[Comision %]]+1000</f>
        <v>3098.88</v>
      </c>
      <c r="H448" s="31">
        <f t="shared" si="64"/>
        <v>0</v>
      </c>
      <c r="I448" s="32">
        <f t="shared" si="65"/>
        <v>11893.119999999999</v>
      </c>
      <c r="J448" s="36">
        <v>7560</v>
      </c>
      <c r="K448" s="32">
        <f t="shared" si="66"/>
        <v>4333.119999999999</v>
      </c>
      <c r="L448" s="34">
        <f t="shared" si="67"/>
        <v>0.57316402116402099</v>
      </c>
      <c r="M448" s="44">
        <v>1</v>
      </c>
    </row>
    <row r="449" spans="1:13" ht="45" customHeight="1" x14ac:dyDescent="0.2">
      <c r="A449" s="27" t="s">
        <v>539</v>
      </c>
      <c r="B449" s="27" t="s">
        <v>609</v>
      </c>
      <c r="C449" s="52" t="s">
        <v>878</v>
      </c>
      <c r="D449" s="28" t="s">
        <v>120</v>
      </c>
      <c r="E449" s="29">
        <v>16650</v>
      </c>
      <c r="F449" s="30">
        <v>0.11</v>
      </c>
      <c r="G449" s="31">
        <f>E449*F449+1000</f>
        <v>2831.5</v>
      </c>
      <c r="H449" s="31">
        <f t="shared" si="64"/>
        <v>0</v>
      </c>
      <c r="I449" s="32">
        <f t="shared" si="65"/>
        <v>13818.5</v>
      </c>
      <c r="J449" s="36">
        <v>8400</v>
      </c>
      <c r="K449" s="32">
        <f t="shared" si="66"/>
        <v>5418.5</v>
      </c>
      <c r="L449" s="34">
        <f t="shared" si="67"/>
        <v>0.6450595238095238</v>
      </c>
      <c r="M449" s="44">
        <v>1</v>
      </c>
    </row>
    <row r="450" spans="1:13" ht="45" customHeight="1" x14ac:dyDescent="0.2">
      <c r="A450" s="27" t="s">
        <v>539</v>
      </c>
      <c r="B450" s="27" t="s">
        <v>610</v>
      </c>
      <c r="C450" s="52" t="s">
        <v>853</v>
      </c>
      <c r="D450" s="28" t="s">
        <v>120</v>
      </c>
      <c r="E450" s="29">
        <v>16650</v>
      </c>
      <c r="F450" s="30">
        <v>0.11</v>
      </c>
      <c r="G450" s="31">
        <f>E450*F450+1000</f>
        <v>2831.5</v>
      </c>
      <c r="H450" s="31">
        <f t="shared" si="64"/>
        <v>0</v>
      </c>
      <c r="I450" s="32">
        <f t="shared" si="65"/>
        <v>13818.5</v>
      </c>
      <c r="J450" s="36">
        <v>8400</v>
      </c>
      <c r="K450" s="32">
        <f t="shared" si="66"/>
        <v>5418.5</v>
      </c>
      <c r="L450" s="34">
        <f t="shared" si="67"/>
        <v>0.6450595238095238</v>
      </c>
      <c r="M450" s="44">
        <v>1</v>
      </c>
    </row>
    <row r="451" spans="1:13" ht="45" customHeight="1" x14ac:dyDescent="0.2">
      <c r="A451" s="27" t="s">
        <v>539</v>
      </c>
      <c r="B451" s="27" t="s">
        <v>703</v>
      </c>
      <c r="C451" s="52" t="s">
        <v>872</v>
      </c>
      <c r="D451" s="28" t="s">
        <v>704</v>
      </c>
      <c r="E451" s="29"/>
      <c r="F451" s="30"/>
      <c r="G451" s="31">
        <f t="shared" ref="G451:G483" si="68">E451*F451</f>
        <v>0</v>
      </c>
      <c r="H451" s="31"/>
      <c r="I451" s="32">
        <f t="shared" si="65"/>
        <v>0</v>
      </c>
      <c r="J451" s="36">
        <v>5880</v>
      </c>
      <c r="K451" s="32">
        <f t="shared" si="66"/>
        <v>-5880</v>
      </c>
      <c r="L451" s="34">
        <f t="shared" si="67"/>
        <v>-1</v>
      </c>
      <c r="M451" s="44">
        <v>1</v>
      </c>
    </row>
    <row r="452" spans="1:13" ht="45" customHeight="1" x14ac:dyDescent="0.2">
      <c r="A452" s="27" t="s">
        <v>539</v>
      </c>
      <c r="B452" s="27" t="s">
        <v>705</v>
      </c>
      <c r="C452" s="52" t="s">
        <v>879</v>
      </c>
      <c r="D452" s="28" t="s">
        <v>706</v>
      </c>
      <c r="E452" s="29"/>
      <c r="F452" s="30"/>
      <c r="G452" s="31">
        <f t="shared" si="68"/>
        <v>0</v>
      </c>
      <c r="H452" s="31"/>
      <c r="I452" s="32">
        <f t="shared" si="65"/>
        <v>0</v>
      </c>
      <c r="J452" s="36">
        <v>16680</v>
      </c>
      <c r="K452" s="32">
        <f t="shared" si="66"/>
        <v>-16680</v>
      </c>
      <c r="L452" s="34">
        <f t="shared" si="67"/>
        <v>-1</v>
      </c>
      <c r="M452" s="44">
        <v>1</v>
      </c>
    </row>
    <row r="453" spans="1:13" ht="45" customHeight="1" x14ac:dyDescent="0.2">
      <c r="A453" s="27" t="s">
        <v>539</v>
      </c>
      <c r="B453" s="27" t="s">
        <v>707</v>
      </c>
      <c r="C453" s="52" t="s">
        <v>856</v>
      </c>
      <c r="D453" s="28" t="s">
        <v>708</v>
      </c>
      <c r="E453" s="29"/>
      <c r="F453" s="30"/>
      <c r="G453" s="31">
        <f t="shared" si="68"/>
        <v>0</v>
      </c>
      <c r="H453" s="31"/>
      <c r="I453" s="32">
        <f t="shared" si="65"/>
        <v>0</v>
      </c>
      <c r="J453" s="36">
        <v>5880</v>
      </c>
      <c r="K453" s="32">
        <f t="shared" si="66"/>
        <v>-5880</v>
      </c>
      <c r="L453" s="34">
        <f t="shared" si="67"/>
        <v>-1</v>
      </c>
      <c r="M453" s="44">
        <v>16</v>
      </c>
    </row>
    <row r="454" spans="1:13" ht="45" customHeight="1" x14ac:dyDescent="0.2">
      <c r="A454" s="27" t="s">
        <v>539</v>
      </c>
      <c r="B454" s="27" t="s">
        <v>711</v>
      </c>
      <c r="C454" s="52" t="s">
        <v>921</v>
      </c>
      <c r="D454" s="28" t="s">
        <v>239</v>
      </c>
      <c r="E454" s="29"/>
      <c r="F454" s="30"/>
      <c r="G454" s="31">
        <f t="shared" si="68"/>
        <v>0</v>
      </c>
      <c r="H454" s="31"/>
      <c r="I454" s="32">
        <f t="shared" si="65"/>
        <v>0</v>
      </c>
      <c r="J454" s="31">
        <v>8820</v>
      </c>
      <c r="K454" s="32">
        <f t="shared" si="66"/>
        <v>-8820</v>
      </c>
      <c r="L454" s="34">
        <f t="shared" si="67"/>
        <v>-1</v>
      </c>
      <c r="M454" s="44">
        <v>1</v>
      </c>
    </row>
    <row r="455" spans="1:13" ht="45" customHeight="1" x14ac:dyDescent="0.2">
      <c r="A455" s="27" t="s">
        <v>539</v>
      </c>
      <c r="B455" s="27" t="s">
        <v>712</v>
      </c>
      <c r="C455" s="52" t="s">
        <v>922</v>
      </c>
      <c r="D455" s="28" t="s">
        <v>239</v>
      </c>
      <c r="E455" s="29"/>
      <c r="F455" s="30"/>
      <c r="G455" s="31">
        <f t="shared" si="68"/>
        <v>0</v>
      </c>
      <c r="H455" s="31"/>
      <c r="I455" s="32">
        <f t="shared" si="65"/>
        <v>0</v>
      </c>
      <c r="J455" s="31">
        <v>8820</v>
      </c>
      <c r="K455" s="32">
        <f t="shared" si="66"/>
        <v>-8820</v>
      </c>
      <c r="L455" s="34">
        <f t="shared" si="67"/>
        <v>-1</v>
      </c>
      <c r="M455" s="44">
        <v>1</v>
      </c>
    </row>
    <row r="456" spans="1:13" ht="45" customHeight="1" x14ac:dyDescent="0.2">
      <c r="A456" s="27" t="s">
        <v>539</v>
      </c>
      <c r="B456" s="27" t="s">
        <v>713</v>
      </c>
      <c r="C456" s="52" t="s">
        <v>923</v>
      </c>
      <c r="D456" s="28" t="s">
        <v>51</v>
      </c>
      <c r="E456" s="29"/>
      <c r="F456" s="30"/>
      <c r="G456" s="31">
        <f t="shared" si="68"/>
        <v>0</v>
      </c>
      <c r="H456" s="31"/>
      <c r="I456" s="32">
        <f t="shared" si="65"/>
        <v>0</v>
      </c>
      <c r="J456" s="31">
        <v>8064</v>
      </c>
      <c r="K456" s="32">
        <f t="shared" si="66"/>
        <v>-8064</v>
      </c>
      <c r="L456" s="34">
        <f t="shared" si="67"/>
        <v>-1</v>
      </c>
      <c r="M456" s="44">
        <v>1</v>
      </c>
    </row>
    <row r="457" spans="1:13" ht="45" customHeight="1" x14ac:dyDescent="0.2">
      <c r="A457" s="27" t="s">
        <v>539</v>
      </c>
      <c r="B457" s="27" t="s">
        <v>714</v>
      </c>
      <c r="C457" s="52" t="s">
        <v>924</v>
      </c>
      <c r="D457" s="28" t="s">
        <v>51</v>
      </c>
      <c r="E457" s="29"/>
      <c r="F457" s="30"/>
      <c r="G457" s="31">
        <f t="shared" si="68"/>
        <v>0</v>
      </c>
      <c r="H457" s="31"/>
      <c r="I457" s="32">
        <f t="shared" si="65"/>
        <v>0</v>
      </c>
      <c r="J457" s="31">
        <v>8064</v>
      </c>
      <c r="K457" s="32">
        <f t="shared" si="66"/>
        <v>-8064</v>
      </c>
      <c r="L457" s="34">
        <f t="shared" si="67"/>
        <v>-1</v>
      </c>
      <c r="M457" s="44">
        <v>1</v>
      </c>
    </row>
    <row r="458" spans="1:13" ht="45" customHeight="1" x14ac:dyDescent="0.2">
      <c r="A458" s="27" t="s">
        <v>539</v>
      </c>
      <c r="B458" s="27" t="s">
        <v>719</v>
      </c>
      <c r="C458" s="52" t="s">
        <v>927</v>
      </c>
      <c r="D458" s="28" t="s">
        <v>743</v>
      </c>
      <c r="E458" s="29"/>
      <c r="F458" s="30"/>
      <c r="G458" s="31">
        <f t="shared" si="68"/>
        <v>0</v>
      </c>
      <c r="H458" s="31"/>
      <c r="I458" s="32">
        <f t="shared" si="65"/>
        <v>0</v>
      </c>
      <c r="J458" s="36">
        <v>1176</v>
      </c>
      <c r="K458" s="32">
        <f t="shared" si="66"/>
        <v>-1176</v>
      </c>
      <c r="L458" s="34">
        <f t="shared" si="67"/>
        <v>-1</v>
      </c>
      <c r="M458" s="44">
        <v>1</v>
      </c>
    </row>
    <row r="459" spans="1:13" ht="45" customHeight="1" x14ac:dyDescent="0.2">
      <c r="A459" s="27" t="s">
        <v>539</v>
      </c>
      <c r="B459" s="27" t="s">
        <v>720</v>
      </c>
      <c r="C459" s="52" t="s">
        <v>928</v>
      </c>
      <c r="D459" s="28" t="s">
        <v>742</v>
      </c>
      <c r="E459" s="29"/>
      <c r="F459" s="30"/>
      <c r="G459" s="31">
        <f t="shared" si="68"/>
        <v>0</v>
      </c>
      <c r="H459" s="31"/>
      <c r="I459" s="32">
        <f t="shared" si="65"/>
        <v>0</v>
      </c>
      <c r="J459" s="36">
        <v>2100</v>
      </c>
      <c r="K459" s="32">
        <f t="shared" si="66"/>
        <v>-2100</v>
      </c>
      <c r="L459" s="34">
        <f t="shared" si="67"/>
        <v>-1</v>
      </c>
      <c r="M459" s="44">
        <v>1</v>
      </c>
    </row>
    <row r="460" spans="1:13" ht="45" customHeight="1" x14ac:dyDescent="0.2">
      <c r="A460" s="27" t="s">
        <v>539</v>
      </c>
      <c r="B460" s="27" t="s">
        <v>721</v>
      </c>
      <c r="C460" s="52" t="s">
        <v>929</v>
      </c>
      <c r="D460" s="28" t="s">
        <v>741</v>
      </c>
      <c r="E460" s="29"/>
      <c r="F460" s="30"/>
      <c r="G460" s="31">
        <f t="shared" si="68"/>
        <v>0</v>
      </c>
      <c r="H460" s="31"/>
      <c r="I460" s="32">
        <f t="shared" si="65"/>
        <v>0</v>
      </c>
      <c r="J460" s="36">
        <v>2100</v>
      </c>
      <c r="K460" s="32">
        <f t="shared" si="66"/>
        <v>-2100</v>
      </c>
      <c r="L460" s="34">
        <f t="shared" si="67"/>
        <v>-1</v>
      </c>
      <c r="M460" s="44">
        <v>1</v>
      </c>
    </row>
    <row r="461" spans="1:13" ht="45" customHeight="1" x14ac:dyDescent="0.2">
      <c r="A461" s="27" t="s">
        <v>539</v>
      </c>
      <c r="B461" s="27" t="s">
        <v>722</v>
      </c>
      <c r="C461" s="52" t="s">
        <v>930</v>
      </c>
      <c r="D461" s="28" t="s">
        <v>740</v>
      </c>
      <c r="E461" s="29"/>
      <c r="F461" s="30"/>
      <c r="G461" s="31">
        <f t="shared" si="68"/>
        <v>0</v>
      </c>
      <c r="H461" s="31"/>
      <c r="I461" s="32">
        <f t="shared" si="65"/>
        <v>0</v>
      </c>
      <c r="J461" s="36">
        <v>1344</v>
      </c>
      <c r="K461" s="32">
        <f t="shared" si="66"/>
        <v>-1344</v>
      </c>
      <c r="L461" s="34">
        <f t="shared" si="67"/>
        <v>-1</v>
      </c>
      <c r="M461" s="44">
        <v>1</v>
      </c>
    </row>
    <row r="462" spans="1:13" ht="45" customHeight="1" x14ac:dyDescent="0.2">
      <c r="A462" s="27" t="s">
        <v>539</v>
      </c>
      <c r="B462" s="27" t="s">
        <v>723</v>
      </c>
      <c r="C462" s="52" t="s">
        <v>867</v>
      </c>
      <c r="D462" s="28" t="s">
        <v>739</v>
      </c>
      <c r="E462" s="29"/>
      <c r="F462" s="30"/>
      <c r="G462" s="31">
        <f t="shared" si="68"/>
        <v>0</v>
      </c>
      <c r="H462" s="31"/>
      <c r="I462" s="32">
        <f t="shared" si="65"/>
        <v>0</v>
      </c>
      <c r="J462" s="36">
        <v>2772</v>
      </c>
      <c r="K462" s="32">
        <f t="shared" si="66"/>
        <v>-2772</v>
      </c>
      <c r="L462" s="34">
        <f t="shared" si="67"/>
        <v>-1</v>
      </c>
      <c r="M462" s="44">
        <v>1</v>
      </c>
    </row>
    <row r="463" spans="1:13" ht="45" customHeight="1" x14ac:dyDescent="0.2">
      <c r="A463" s="27" t="s">
        <v>539</v>
      </c>
      <c r="B463" s="27" t="s">
        <v>724</v>
      </c>
      <c r="C463" s="52" t="s">
        <v>931</v>
      </c>
      <c r="D463" s="28" t="s">
        <v>739</v>
      </c>
      <c r="E463" s="29"/>
      <c r="F463" s="30"/>
      <c r="G463" s="31">
        <f t="shared" si="68"/>
        <v>0</v>
      </c>
      <c r="H463" s="31"/>
      <c r="I463" s="32">
        <f t="shared" si="65"/>
        <v>0</v>
      </c>
      <c r="J463" s="36">
        <v>3528</v>
      </c>
      <c r="K463" s="32">
        <f t="shared" si="66"/>
        <v>-3528</v>
      </c>
      <c r="L463" s="34">
        <f t="shared" si="67"/>
        <v>-1</v>
      </c>
      <c r="M463" s="44">
        <v>1</v>
      </c>
    </row>
    <row r="464" spans="1:13" ht="45" customHeight="1" x14ac:dyDescent="0.2">
      <c r="A464" s="4" t="s">
        <v>539</v>
      </c>
      <c r="B464" s="27" t="s">
        <v>725</v>
      </c>
      <c r="C464" s="52" t="s">
        <v>932</v>
      </c>
      <c r="D464" s="28" t="s">
        <v>738</v>
      </c>
      <c r="E464" s="29"/>
      <c r="F464" s="30"/>
      <c r="G464" s="31">
        <f t="shared" si="68"/>
        <v>0</v>
      </c>
      <c r="H464" s="31"/>
      <c r="I464" s="32">
        <f t="shared" si="65"/>
        <v>0</v>
      </c>
      <c r="J464" s="36">
        <v>5544</v>
      </c>
      <c r="K464" s="32">
        <f t="shared" si="66"/>
        <v>-5544</v>
      </c>
      <c r="L464" s="34">
        <f t="shared" si="67"/>
        <v>-1</v>
      </c>
      <c r="M464" s="44">
        <v>1</v>
      </c>
    </row>
    <row r="465" spans="1:13" ht="45" customHeight="1" x14ac:dyDescent="0.2">
      <c r="A465" s="4" t="s">
        <v>539</v>
      </c>
      <c r="B465" s="27" t="s">
        <v>951</v>
      </c>
      <c r="C465" s="52" t="s">
        <v>952</v>
      </c>
      <c r="D465" s="28" t="s">
        <v>953</v>
      </c>
      <c r="E465" s="29"/>
      <c r="F465" s="30"/>
      <c r="G465" s="31">
        <f t="shared" si="68"/>
        <v>0</v>
      </c>
      <c r="H465" s="31"/>
      <c r="I465" s="32">
        <f t="shared" si="65"/>
        <v>0</v>
      </c>
      <c r="J465" s="36">
        <v>10080</v>
      </c>
      <c r="K465" s="32">
        <f t="shared" si="66"/>
        <v>-10080</v>
      </c>
      <c r="L465" s="34">
        <f t="shared" si="67"/>
        <v>-1</v>
      </c>
      <c r="M465" s="44">
        <v>1</v>
      </c>
    </row>
    <row r="466" spans="1:13" ht="45" customHeight="1" x14ac:dyDescent="0.2">
      <c r="A466" s="4" t="s">
        <v>539</v>
      </c>
      <c r="B466" s="27" t="s">
        <v>954</v>
      </c>
      <c r="C466" s="52" t="s">
        <v>955</v>
      </c>
      <c r="D466" s="28" t="s">
        <v>953</v>
      </c>
      <c r="E466" s="29"/>
      <c r="F466" s="30"/>
      <c r="G466" s="31">
        <f t="shared" si="68"/>
        <v>0</v>
      </c>
      <c r="H466" s="31"/>
      <c r="I466" s="32">
        <f t="shared" si="65"/>
        <v>0</v>
      </c>
      <c r="J466" s="36">
        <v>10080</v>
      </c>
      <c r="K466" s="32">
        <f t="shared" si="66"/>
        <v>-10080</v>
      </c>
      <c r="L466" s="34">
        <f t="shared" si="67"/>
        <v>-1</v>
      </c>
      <c r="M466" s="44">
        <v>1</v>
      </c>
    </row>
    <row r="467" spans="1:13" ht="45" customHeight="1" x14ac:dyDescent="0.2">
      <c r="A467" s="4" t="s">
        <v>539</v>
      </c>
      <c r="B467" s="27" t="s">
        <v>956</v>
      </c>
      <c r="C467" s="52" t="s">
        <v>957</v>
      </c>
      <c r="D467" s="28" t="s">
        <v>953</v>
      </c>
      <c r="E467" s="29"/>
      <c r="F467" s="30"/>
      <c r="G467" s="31">
        <f t="shared" si="68"/>
        <v>0</v>
      </c>
      <c r="H467" s="31"/>
      <c r="I467" s="32">
        <f t="shared" si="65"/>
        <v>0</v>
      </c>
      <c r="J467" s="36">
        <v>10080</v>
      </c>
      <c r="K467" s="32">
        <f t="shared" si="66"/>
        <v>-10080</v>
      </c>
      <c r="L467" s="34">
        <f t="shared" si="67"/>
        <v>-1</v>
      </c>
      <c r="M467" s="44">
        <v>1</v>
      </c>
    </row>
    <row r="468" spans="1:13" ht="45" customHeight="1" x14ac:dyDescent="0.2">
      <c r="A468" s="4" t="s">
        <v>539</v>
      </c>
      <c r="B468" s="27" t="s">
        <v>958</v>
      </c>
      <c r="C468" s="52" t="s">
        <v>803</v>
      </c>
      <c r="D468" s="28" t="s">
        <v>961</v>
      </c>
      <c r="E468" s="29"/>
      <c r="F468" s="30"/>
      <c r="G468" s="31">
        <f t="shared" si="68"/>
        <v>0</v>
      </c>
      <c r="H468" s="31"/>
      <c r="I468" s="32">
        <f t="shared" si="65"/>
        <v>0</v>
      </c>
      <c r="J468" s="33">
        <v>1848</v>
      </c>
      <c r="K468" s="32">
        <f t="shared" si="66"/>
        <v>-1848</v>
      </c>
      <c r="L468" s="34">
        <f t="shared" si="67"/>
        <v>-1</v>
      </c>
      <c r="M468" s="44">
        <v>1</v>
      </c>
    </row>
    <row r="469" spans="1:13" ht="45" customHeight="1" x14ac:dyDescent="0.2">
      <c r="A469" s="4" t="s">
        <v>539</v>
      </c>
      <c r="B469" s="27" t="s">
        <v>1016</v>
      </c>
      <c r="C469" s="52" t="s">
        <v>879</v>
      </c>
      <c r="D469" s="28" t="s">
        <v>1017</v>
      </c>
      <c r="E469" s="29"/>
      <c r="F469" s="30"/>
      <c r="G469" s="31">
        <f t="shared" si="68"/>
        <v>0</v>
      </c>
      <c r="H469" s="31"/>
      <c r="I469" s="32">
        <f t="shared" si="65"/>
        <v>0</v>
      </c>
      <c r="J469" s="36">
        <v>16800</v>
      </c>
      <c r="K469" s="32">
        <f t="shared" si="66"/>
        <v>-16800</v>
      </c>
      <c r="L469" s="34">
        <f t="shared" si="67"/>
        <v>-1</v>
      </c>
      <c r="M469" s="44">
        <v>1</v>
      </c>
    </row>
    <row r="470" spans="1:13" ht="45" customHeight="1" x14ac:dyDescent="0.2">
      <c r="A470" s="4" t="s">
        <v>539</v>
      </c>
      <c r="B470" s="27" t="s">
        <v>1018</v>
      </c>
      <c r="C470" s="52">
        <v>105772</v>
      </c>
      <c r="D470" s="28" t="s">
        <v>1025</v>
      </c>
      <c r="E470" s="29"/>
      <c r="F470" s="30"/>
      <c r="G470" s="31">
        <f t="shared" si="68"/>
        <v>0</v>
      </c>
      <c r="H470" s="31"/>
      <c r="I470" s="32">
        <f t="shared" si="65"/>
        <v>0</v>
      </c>
      <c r="J470" s="36">
        <v>1176</v>
      </c>
      <c r="K470" s="32">
        <f t="shared" si="66"/>
        <v>-1176</v>
      </c>
      <c r="L470" s="34">
        <f t="shared" si="67"/>
        <v>-1</v>
      </c>
      <c r="M470" s="44">
        <v>1</v>
      </c>
    </row>
    <row r="471" spans="1:13" ht="45" customHeight="1" x14ac:dyDescent="0.2">
      <c r="A471" s="4" t="s">
        <v>539</v>
      </c>
      <c r="B471" s="27" t="s">
        <v>1019</v>
      </c>
      <c r="C471" s="52">
        <v>106729</v>
      </c>
      <c r="D471" s="28" t="s">
        <v>1024</v>
      </c>
      <c r="E471" s="29"/>
      <c r="F471" s="30"/>
      <c r="G471" s="31">
        <f t="shared" si="68"/>
        <v>0</v>
      </c>
      <c r="H471" s="31"/>
      <c r="I471" s="32">
        <f t="shared" si="65"/>
        <v>0</v>
      </c>
      <c r="J471" s="36">
        <v>2100</v>
      </c>
      <c r="K471" s="32">
        <f t="shared" si="66"/>
        <v>-2100</v>
      </c>
      <c r="L471" s="34">
        <f t="shared" si="67"/>
        <v>-1</v>
      </c>
      <c r="M471" s="44">
        <v>1</v>
      </c>
    </row>
    <row r="472" spans="1:13" ht="45" customHeight="1" x14ac:dyDescent="0.2">
      <c r="A472" s="4" t="s">
        <v>539</v>
      </c>
      <c r="B472" s="27" t="s">
        <v>1020</v>
      </c>
      <c r="C472" s="52">
        <v>106727</v>
      </c>
      <c r="D472" s="28" t="s">
        <v>1022</v>
      </c>
      <c r="E472" s="29"/>
      <c r="F472" s="30"/>
      <c r="G472" s="31">
        <f t="shared" si="68"/>
        <v>0</v>
      </c>
      <c r="H472" s="31"/>
      <c r="I472" s="32">
        <f t="shared" si="65"/>
        <v>0</v>
      </c>
      <c r="J472" s="36">
        <v>2100</v>
      </c>
      <c r="K472" s="32">
        <f t="shared" si="66"/>
        <v>-2100</v>
      </c>
      <c r="L472" s="34">
        <f t="shared" si="67"/>
        <v>-1</v>
      </c>
      <c r="M472" s="44">
        <v>1</v>
      </c>
    </row>
    <row r="473" spans="1:13" ht="45" customHeight="1" x14ac:dyDescent="0.2">
      <c r="A473" s="4" t="s">
        <v>539</v>
      </c>
      <c r="B473" s="27" t="s">
        <v>1026</v>
      </c>
      <c r="C473" s="52">
        <v>104589</v>
      </c>
      <c r="D473" s="28" t="s">
        <v>1027</v>
      </c>
      <c r="E473" s="29"/>
      <c r="F473" s="30"/>
      <c r="G473" s="31">
        <f t="shared" si="68"/>
        <v>0</v>
      </c>
      <c r="H473" s="31"/>
      <c r="I473" s="32">
        <f t="shared" si="65"/>
        <v>0</v>
      </c>
      <c r="J473" s="36">
        <v>1092</v>
      </c>
      <c r="K473" s="32">
        <f t="shared" si="66"/>
        <v>-1092</v>
      </c>
      <c r="L473" s="34">
        <f t="shared" si="67"/>
        <v>-1</v>
      </c>
      <c r="M473" s="44">
        <v>1</v>
      </c>
    </row>
    <row r="474" spans="1:13" ht="45" customHeight="1" x14ac:dyDescent="0.2">
      <c r="A474" s="4" t="s">
        <v>539</v>
      </c>
      <c r="B474" s="27" t="s">
        <v>226</v>
      </c>
      <c r="C474" s="52" t="s">
        <v>1028</v>
      </c>
      <c r="D474" s="28" t="s">
        <v>227</v>
      </c>
      <c r="E474" s="29"/>
      <c r="F474" s="30"/>
      <c r="G474" s="31">
        <f t="shared" si="68"/>
        <v>0</v>
      </c>
      <c r="H474" s="31"/>
      <c r="I474" s="32">
        <f t="shared" si="65"/>
        <v>0</v>
      </c>
      <c r="J474" s="36">
        <v>7000</v>
      </c>
      <c r="K474" s="32">
        <f t="shared" si="66"/>
        <v>-7000</v>
      </c>
      <c r="L474" s="34">
        <f t="shared" si="67"/>
        <v>-1</v>
      </c>
      <c r="M474" s="44">
        <v>1</v>
      </c>
    </row>
    <row r="475" spans="1:13" ht="45" customHeight="1" x14ac:dyDescent="0.2">
      <c r="A475" s="3" t="s">
        <v>539</v>
      </c>
      <c r="B475" s="27" t="s">
        <v>238</v>
      </c>
      <c r="C475" s="52" t="s">
        <v>921</v>
      </c>
      <c r="D475" s="39" t="s">
        <v>239</v>
      </c>
      <c r="E475" s="29"/>
      <c r="F475" s="30"/>
      <c r="G475" s="31">
        <f t="shared" si="68"/>
        <v>0</v>
      </c>
      <c r="H475" s="31"/>
      <c r="I475" s="32">
        <f t="shared" si="65"/>
        <v>0</v>
      </c>
      <c r="J475" s="36">
        <v>9000</v>
      </c>
      <c r="K475" s="32">
        <f t="shared" si="66"/>
        <v>-9000</v>
      </c>
      <c r="L475" s="34">
        <f t="shared" si="67"/>
        <v>-1</v>
      </c>
      <c r="M475" s="44">
        <v>1</v>
      </c>
    </row>
    <row r="476" spans="1:13" ht="45" customHeight="1" x14ac:dyDescent="0.2">
      <c r="A476" s="4" t="s">
        <v>539</v>
      </c>
      <c r="B476" s="27" t="s">
        <v>226</v>
      </c>
      <c r="C476" s="52" t="s">
        <v>1029</v>
      </c>
      <c r="D476" s="28" t="s">
        <v>227</v>
      </c>
      <c r="E476" s="29"/>
      <c r="F476" s="30"/>
      <c r="G476" s="31">
        <f t="shared" si="68"/>
        <v>0</v>
      </c>
      <c r="H476" s="31"/>
      <c r="I476" s="32">
        <f t="shared" si="65"/>
        <v>0</v>
      </c>
      <c r="J476" s="36">
        <v>7000</v>
      </c>
      <c r="K476" s="32">
        <f t="shared" si="66"/>
        <v>-7000</v>
      </c>
      <c r="L476" s="34">
        <f t="shared" si="67"/>
        <v>-1</v>
      </c>
      <c r="M476" s="44">
        <v>1</v>
      </c>
    </row>
    <row r="477" spans="1:13" ht="45" customHeight="1" x14ac:dyDescent="0.2">
      <c r="A477" s="4" t="s">
        <v>539</v>
      </c>
      <c r="B477" s="27" t="s">
        <v>238</v>
      </c>
      <c r="C477" s="52" t="s">
        <v>922</v>
      </c>
      <c r="D477" s="39" t="s">
        <v>239</v>
      </c>
      <c r="E477" s="29"/>
      <c r="F477" s="30"/>
      <c r="G477" s="31">
        <f t="shared" si="68"/>
        <v>0</v>
      </c>
      <c r="H477" s="31"/>
      <c r="I477" s="32">
        <f t="shared" si="65"/>
        <v>0</v>
      </c>
      <c r="J477" s="36">
        <v>9000</v>
      </c>
      <c r="K477" s="32">
        <f t="shared" si="66"/>
        <v>-9000</v>
      </c>
      <c r="L477" s="34">
        <f t="shared" si="67"/>
        <v>-1</v>
      </c>
      <c r="M477" s="44">
        <v>1</v>
      </c>
    </row>
    <row r="478" spans="1:13" ht="45" customHeight="1" x14ac:dyDescent="0.2">
      <c r="A478" s="4" t="s">
        <v>539</v>
      </c>
      <c r="B478" s="27" t="s">
        <v>1091</v>
      </c>
      <c r="C478" s="52" t="s">
        <v>1092</v>
      </c>
      <c r="D478" s="28" t="s">
        <v>166</v>
      </c>
      <c r="E478" s="29"/>
      <c r="F478" s="30"/>
      <c r="G478" s="31">
        <f t="shared" si="68"/>
        <v>0</v>
      </c>
      <c r="H478" s="31"/>
      <c r="I478" s="32">
        <f t="shared" ref="I478:I483" si="69">E478-G478-H478</f>
        <v>0</v>
      </c>
      <c r="J478" s="36">
        <v>4550</v>
      </c>
      <c r="K478" s="32">
        <f t="shared" ref="K478:K483" si="70">I478-J478</f>
        <v>-4550</v>
      </c>
      <c r="L478" s="34">
        <f t="shared" ref="L478:L483" si="71">K478/J478</f>
        <v>-1</v>
      </c>
      <c r="M478" s="44">
        <v>1</v>
      </c>
    </row>
    <row r="479" spans="1:13" ht="45" customHeight="1" x14ac:dyDescent="0.2">
      <c r="A479" s="4" t="s">
        <v>539</v>
      </c>
      <c r="B479" s="27" t="s">
        <v>1093</v>
      </c>
      <c r="C479" s="52" t="s">
        <v>1094</v>
      </c>
      <c r="D479" s="28" t="s">
        <v>166</v>
      </c>
      <c r="E479" s="29"/>
      <c r="F479" s="30"/>
      <c r="G479" s="31">
        <f t="shared" si="68"/>
        <v>0</v>
      </c>
      <c r="H479" s="31"/>
      <c r="I479" s="32">
        <f t="shared" si="69"/>
        <v>0</v>
      </c>
      <c r="J479" s="36">
        <v>4550</v>
      </c>
      <c r="K479" s="32">
        <f t="shared" si="70"/>
        <v>-4550</v>
      </c>
      <c r="L479" s="34">
        <f t="shared" si="71"/>
        <v>-1</v>
      </c>
      <c r="M479" s="44">
        <v>1</v>
      </c>
    </row>
    <row r="480" spans="1:13" ht="45" customHeight="1" x14ac:dyDescent="0.2">
      <c r="A480" s="4" t="s">
        <v>539</v>
      </c>
      <c r="B480" s="27" t="s">
        <v>1095</v>
      </c>
      <c r="C480" s="52">
        <v>108484</v>
      </c>
      <c r="D480" s="28" t="s">
        <v>227</v>
      </c>
      <c r="E480" s="29"/>
      <c r="F480" s="30"/>
      <c r="G480" s="31">
        <f t="shared" si="68"/>
        <v>0</v>
      </c>
      <c r="H480" s="31"/>
      <c r="I480" s="32">
        <f t="shared" si="69"/>
        <v>0</v>
      </c>
      <c r="J480" s="36">
        <v>8400</v>
      </c>
      <c r="K480" s="32">
        <f t="shared" si="70"/>
        <v>-8400</v>
      </c>
      <c r="L480" s="34">
        <f t="shared" si="71"/>
        <v>-1</v>
      </c>
      <c r="M480" s="44">
        <v>1</v>
      </c>
    </row>
    <row r="481" spans="1:13" ht="45" customHeight="1" x14ac:dyDescent="0.2">
      <c r="A481" s="4" t="s">
        <v>539</v>
      </c>
      <c r="B481" s="27" t="s">
        <v>1096</v>
      </c>
      <c r="C481" s="52">
        <v>108483</v>
      </c>
      <c r="D481" s="28" t="s">
        <v>227</v>
      </c>
      <c r="E481" s="29"/>
      <c r="F481" s="30"/>
      <c r="G481" s="31">
        <f t="shared" si="68"/>
        <v>0</v>
      </c>
      <c r="H481" s="31"/>
      <c r="I481" s="32">
        <f t="shared" si="69"/>
        <v>0</v>
      </c>
      <c r="J481" s="36">
        <v>8400</v>
      </c>
      <c r="K481" s="32">
        <f t="shared" si="70"/>
        <v>-8400</v>
      </c>
      <c r="L481" s="34">
        <f t="shared" si="71"/>
        <v>-1</v>
      </c>
      <c r="M481" s="44">
        <v>1</v>
      </c>
    </row>
    <row r="482" spans="1:13" ht="45" customHeight="1" x14ac:dyDescent="0.2">
      <c r="A482" s="4" t="s">
        <v>539</v>
      </c>
      <c r="B482" s="27" t="s">
        <v>1097</v>
      </c>
      <c r="C482" s="49">
        <v>104588</v>
      </c>
      <c r="D482" s="8" t="s">
        <v>1098</v>
      </c>
      <c r="E482" s="5"/>
      <c r="F482" s="19"/>
      <c r="G482" s="15">
        <f t="shared" si="68"/>
        <v>0</v>
      </c>
      <c r="H482" s="15"/>
      <c r="I482" s="16">
        <f t="shared" si="69"/>
        <v>0</v>
      </c>
      <c r="J482" s="35">
        <v>1092</v>
      </c>
      <c r="K482" s="16">
        <f t="shared" si="70"/>
        <v>-1092</v>
      </c>
      <c r="L482" s="18">
        <f t="shared" si="71"/>
        <v>-1</v>
      </c>
      <c r="M482" s="44">
        <v>1</v>
      </c>
    </row>
    <row r="483" spans="1:13" ht="45" customHeight="1" x14ac:dyDescent="0.2">
      <c r="A483" s="4" t="s">
        <v>539</v>
      </c>
      <c r="B483" s="27" t="s">
        <v>1116</v>
      </c>
      <c r="C483" s="49" t="s">
        <v>1092</v>
      </c>
      <c r="D483" s="8" t="s">
        <v>1117</v>
      </c>
      <c r="E483" s="5"/>
      <c r="F483" s="19"/>
      <c r="G483" s="15">
        <f t="shared" si="68"/>
        <v>0</v>
      </c>
      <c r="H483" s="15"/>
      <c r="I483" s="16">
        <f t="shared" si="69"/>
        <v>0</v>
      </c>
      <c r="J483" s="35">
        <v>4550</v>
      </c>
      <c r="K483" s="16">
        <f t="shared" si="70"/>
        <v>-4550</v>
      </c>
      <c r="L483" s="18">
        <f t="shared" si="71"/>
        <v>-1</v>
      </c>
      <c r="M483" s="44">
        <v>1</v>
      </c>
    </row>
    <row r="484" spans="1:13" ht="45" customHeight="1" x14ac:dyDescent="0.2">
      <c r="A484" s="4" t="s">
        <v>539</v>
      </c>
      <c r="B484" s="27" t="s">
        <v>1251</v>
      </c>
      <c r="C484" s="49">
        <v>105493</v>
      </c>
      <c r="D484" s="8" t="s">
        <v>1252</v>
      </c>
      <c r="E484" s="5"/>
      <c r="F484" s="19"/>
      <c r="G484" s="15"/>
      <c r="H484" s="15"/>
      <c r="I484" s="16"/>
      <c r="J484" s="35">
        <v>756</v>
      </c>
      <c r="K484" s="16"/>
      <c r="L484" s="18"/>
      <c r="M484" s="44">
        <v>1</v>
      </c>
    </row>
    <row r="485" spans="1:13" ht="45" customHeight="1" x14ac:dyDescent="0.2">
      <c r="A485" s="4" t="s">
        <v>539</v>
      </c>
      <c r="B485" s="27" t="s">
        <v>1278</v>
      </c>
      <c r="C485" s="49">
        <v>105007</v>
      </c>
      <c r="D485" s="8" t="s">
        <v>35</v>
      </c>
      <c r="E485" s="5"/>
      <c r="F485" s="19"/>
      <c r="G485" s="15"/>
      <c r="H485" s="15"/>
      <c r="I485" s="16"/>
      <c r="J485" s="35">
        <v>456</v>
      </c>
      <c r="K485" s="16"/>
      <c r="L485" s="18"/>
      <c r="M485" s="44">
        <v>1</v>
      </c>
    </row>
    <row r="486" spans="1:13" ht="45" customHeight="1" x14ac:dyDescent="0.2">
      <c r="A486" s="4" t="s">
        <v>539</v>
      </c>
      <c r="B486" s="27" t="s">
        <v>1355</v>
      </c>
      <c r="C486" s="49" t="s">
        <v>1357</v>
      </c>
      <c r="D486" s="8" t="s">
        <v>1356</v>
      </c>
      <c r="E486" s="5"/>
      <c r="F486" s="19"/>
      <c r="G486" s="15"/>
      <c r="H486" s="15"/>
      <c r="I486" s="16"/>
      <c r="J486" s="35">
        <v>6497.4</v>
      </c>
      <c r="K486" s="16"/>
      <c r="L486" s="18"/>
      <c r="M486" s="44">
        <v>1</v>
      </c>
    </row>
    <row r="487" spans="1:13" ht="45" customHeight="1" x14ac:dyDescent="0.2">
      <c r="A487" s="4" t="s">
        <v>539</v>
      </c>
      <c r="B487" s="27" t="s">
        <v>1358</v>
      </c>
      <c r="C487" s="49" t="s">
        <v>1359</v>
      </c>
      <c r="D487" s="8" t="s">
        <v>1360</v>
      </c>
      <c r="E487" s="5"/>
      <c r="F487" s="19"/>
      <c r="G487" s="15"/>
      <c r="H487" s="15"/>
      <c r="I487" s="16"/>
      <c r="J487" s="35">
        <v>7996.7999999999993</v>
      </c>
      <c r="K487" s="16"/>
      <c r="L487" s="18"/>
      <c r="M487" s="44">
        <v>1</v>
      </c>
    </row>
    <row r="488" spans="1:13" ht="45" customHeight="1" x14ac:dyDescent="0.2">
      <c r="A488" s="4" t="s">
        <v>539</v>
      </c>
      <c r="B488" s="27" t="s">
        <v>1361</v>
      </c>
      <c r="C488" s="49" t="s">
        <v>1363</v>
      </c>
      <c r="D488" s="8" t="s">
        <v>1362</v>
      </c>
      <c r="E488" s="5"/>
      <c r="F488" s="19"/>
      <c r="G488" s="15"/>
      <c r="H488" s="15"/>
      <c r="I488" s="16"/>
      <c r="J488" s="35">
        <v>5997.5999999999995</v>
      </c>
      <c r="K488" s="16"/>
      <c r="L488" s="18"/>
      <c r="M488" s="44">
        <v>1</v>
      </c>
    </row>
    <row r="489" spans="1:13" ht="45" customHeight="1" x14ac:dyDescent="0.2">
      <c r="A489" s="4" t="s">
        <v>539</v>
      </c>
      <c r="B489" s="27" t="s">
        <v>1364</v>
      </c>
      <c r="C489" s="49" t="s">
        <v>1365</v>
      </c>
      <c r="D489" s="8" t="s">
        <v>1366</v>
      </c>
      <c r="E489" s="5"/>
      <c r="F489" s="19"/>
      <c r="G489" s="15"/>
      <c r="H489" s="15"/>
      <c r="I489" s="16"/>
      <c r="J489" s="35">
        <v>3498.6</v>
      </c>
      <c r="K489" s="16"/>
      <c r="L489" s="18"/>
      <c r="M489" s="44">
        <v>1</v>
      </c>
    </row>
    <row r="490" spans="1:13" ht="45" customHeight="1" x14ac:dyDescent="0.2">
      <c r="A490" s="4" t="s">
        <v>539</v>
      </c>
      <c r="B490" s="27" t="s">
        <v>1367</v>
      </c>
      <c r="C490" s="49">
        <v>104589</v>
      </c>
      <c r="D490" s="8" t="s">
        <v>1368</v>
      </c>
      <c r="E490" s="5"/>
      <c r="F490" s="19"/>
      <c r="G490" s="15"/>
      <c r="H490" s="15"/>
      <c r="I490" s="16"/>
      <c r="J490" s="35">
        <v>1092</v>
      </c>
      <c r="K490" s="16"/>
      <c r="L490" s="18"/>
      <c r="M490" s="44">
        <v>1</v>
      </c>
    </row>
    <row r="491" spans="1:13" ht="45" customHeight="1" x14ac:dyDescent="0.2">
      <c r="A491" s="4" t="s">
        <v>539</v>
      </c>
      <c r="B491" s="27" t="s">
        <v>1369</v>
      </c>
      <c r="C491" s="49">
        <v>104588</v>
      </c>
      <c r="D491" s="8" t="s">
        <v>1370</v>
      </c>
      <c r="E491" s="5"/>
      <c r="F491" s="19"/>
      <c r="G491" s="15"/>
      <c r="H491" s="15"/>
      <c r="I491" s="16"/>
      <c r="J491" s="35">
        <v>1092</v>
      </c>
      <c r="K491" s="16"/>
      <c r="L491" s="18"/>
      <c r="M491" s="44">
        <v>1</v>
      </c>
    </row>
    <row r="492" spans="1:13" ht="45" customHeight="1" x14ac:dyDescent="0.2">
      <c r="A492" s="4" t="s">
        <v>539</v>
      </c>
      <c r="B492" s="27" t="s">
        <v>1439</v>
      </c>
      <c r="C492" s="49">
        <v>105494</v>
      </c>
      <c r="D492" s="8" t="s">
        <v>17</v>
      </c>
      <c r="E492" s="5"/>
      <c r="F492" s="19"/>
      <c r="G492" s="15"/>
      <c r="H492" s="15"/>
      <c r="I492" s="16"/>
      <c r="J492" s="35">
        <v>840</v>
      </c>
      <c r="K492" s="16"/>
      <c r="L492" s="18"/>
      <c r="M492" s="44">
        <v>1</v>
      </c>
    </row>
    <row r="493" spans="1:13" ht="45" customHeight="1" x14ac:dyDescent="0.2">
      <c r="A493" s="4" t="s">
        <v>539</v>
      </c>
      <c r="B493" s="27" t="s">
        <v>1445</v>
      </c>
      <c r="C493" s="49" t="s">
        <v>1446</v>
      </c>
      <c r="D493" s="8" t="s">
        <v>1449</v>
      </c>
      <c r="E493" s="5"/>
      <c r="F493" s="19"/>
      <c r="G493" s="15"/>
      <c r="H493" s="15"/>
      <c r="I493" s="16"/>
      <c r="J493" s="35">
        <v>3780</v>
      </c>
      <c r="K493" s="16"/>
      <c r="L493" s="18"/>
      <c r="M493" s="44">
        <v>1</v>
      </c>
    </row>
    <row r="494" spans="1:13" ht="45" customHeight="1" x14ac:dyDescent="0.2">
      <c r="A494" s="4" t="s">
        <v>539</v>
      </c>
      <c r="B494" s="27" t="s">
        <v>1447</v>
      </c>
      <c r="C494" s="49" t="s">
        <v>1448</v>
      </c>
      <c r="D494" s="8" t="s">
        <v>1450</v>
      </c>
      <c r="E494" s="5"/>
      <c r="F494" s="19"/>
      <c r="G494" s="15"/>
      <c r="H494" s="15"/>
      <c r="I494" s="16"/>
      <c r="J494" s="35">
        <v>3360</v>
      </c>
      <c r="K494" s="16"/>
      <c r="L494" s="18"/>
      <c r="M494" s="44">
        <v>1</v>
      </c>
    </row>
    <row r="495" spans="1:13" ht="45" customHeight="1" x14ac:dyDescent="0.2">
      <c r="A495" s="4" t="s">
        <v>539</v>
      </c>
      <c r="B495" s="27" t="s">
        <v>1451</v>
      </c>
      <c r="C495" s="49" t="s">
        <v>1453</v>
      </c>
      <c r="D495" s="8" t="s">
        <v>1452</v>
      </c>
      <c r="E495" s="5"/>
      <c r="F495" s="19"/>
      <c r="G495" s="15"/>
      <c r="H495" s="15"/>
      <c r="I495" s="16"/>
      <c r="J495" s="35">
        <v>5460</v>
      </c>
      <c r="K495" s="16"/>
      <c r="L495" s="18"/>
      <c r="M495" s="44">
        <v>1</v>
      </c>
    </row>
    <row r="496" spans="1:13" ht="45" customHeight="1" x14ac:dyDescent="0.2">
      <c r="A496" s="4" t="s">
        <v>539</v>
      </c>
      <c r="B496" s="27" t="s">
        <v>1454</v>
      </c>
      <c r="C496" s="49" t="s">
        <v>1455</v>
      </c>
      <c r="D496" s="8" t="s">
        <v>1456</v>
      </c>
      <c r="E496" s="5"/>
      <c r="F496" s="19"/>
      <c r="G496" s="15"/>
      <c r="H496" s="15"/>
      <c r="I496" s="16"/>
      <c r="J496" s="35">
        <v>4550</v>
      </c>
      <c r="K496" s="16"/>
      <c r="L496" s="18"/>
      <c r="M496" s="44">
        <v>1</v>
      </c>
    </row>
    <row r="497" spans="1:13" ht="45" customHeight="1" x14ac:dyDescent="0.2">
      <c r="A497" s="4" t="s">
        <v>539</v>
      </c>
      <c r="B497" s="27" t="s">
        <v>1457</v>
      </c>
      <c r="C497" s="49" t="s">
        <v>1458</v>
      </c>
      <c r="D497" s="8" t="s">
        <v>1459</v>
      </c>
      <c r="E497" s="5"/>
      <c r="F497" s="19"/>
      <c r="G497" s="15"/>
      <c r="H497" s="15"/>
      <c r="I497" s="16"/>
      <c r="J497" s="35">
        <v>5040</v>
      </c>
      <c r="K497" s="16"/>
      <c r="L497" s="18"/>
      <c r="M497" s="44">
        <v>1</v>
      </c>
    </row>
    <row r="498" spans="1:13" ht="45" customHeight="1" x14ac:dyDescent="0.2">
      <c r="A498" s="4" t="s">
        <v>539</v>
      </c>
      <c r="B498" s="27" t="s">
        <v>1461</v>
      </c>
      <c r="C498" s="49" t="s">
        <v>1460</v>
      </c>
      <c r="D498" s="8" t="s">
        <v>1462</v>
      </c>
      <c r="E498" s="5"/>
      <c r="F498" s="19"/>
      <c r="G498" s="15"/>
      <c r="H498" s="15"/>
      <c r="I498" s="16"/>
      <c r="J498" s="35">
        <v>2940</v>
      </c>
      <c r="K498" s="16"/>
      <c r="L498" s="18"/>
      <c r="M498" s="44">
        <v>1</v>
      </c>
    </row>
    <row r="499" spans="1:13" ht="45" customHeight="1" x14ac:dyDescent="0.2">
      <c r="A499" s="4" t="s">
        <v>539</v>
      </c>
      <c r="B499" s="27" t="s">
        <v>1463</v>
      </c>
      <c r="C499" s="49" t="s">
        <v>1464</v>
      </c>
      <c r="D499" s="8" t="s">
        <v>1465</v>
      </c>
      <c r="E499" s="5"/>
      <c r="F499" s="19"/>
      <c r="G499" s="15"/>
      <c r="H499" s="15"/>
      <c r="I499" s="16"/>
      <c r="J499" s="35">
        <v>4200</v>
      </c>
      <c r="K499" s="16"/>
      <c r="L499" s="18"/>
      <c r="M499" s="44">
        <v>1</v>
      </c>
    </row>
    <row r="500" spans="1:13" ht="45" customHeight="1" x14ac:dyDescent="0.2">
      <c r="A500" s="4" t="s">
        <v>539</v>
      </c>
      <c r="B500" s="27" t="s">
        <v>1467</v>
      </c>
      <c r="C500" s="49" t="s">
        <v>1468</v>
      </c>
      <c r="D500" s="8" t="s">
        <v>1466</v>
      </c>
      <c r="E500" s="5"/>
      <c r="F500" s="19"/>
      <c r="G500" s="15"/>
      <c r="H500" s="15"/>
      <c r="I500" s="16"/>
      <c r="J500" s="35">
        <v>4550</v>
      </c>
      <c r="K500" s="16"/>
      <c r="L500" s="18"/>
      <c r="M500" s="44">
        <v>1</v>
      </c>
    </row>
    <row r="501" spans="1:13" ht="45" customHeight="1" x14ac:dyDescent="0.2">
      <c r="A501" s="4" t="s">
        <v>539</v>
      </c>
      <c r="B501" s="27" t="s">
        <v>1469</v>
      </c>
      <c r="C501" s="49" t="s">
        <v>1470</v>
      </c>
      <c r="D501" s="8" t="s">
        <v>1471</v>
      </c>
      <c r="E501" s="5"/>
      <c r="F501" s="19"/>
      <c r="G501" s="15"/>
      <c r="H501" s="15"/>
      <c r="I501" s="16"/>
      <c r="J501" s="35">
        <v>1260</v>
      </c>
      <c r="K501" s="16"/>
      <c r="L501" s="18"/>
      <c r="M501" s="44">
        <v>1</v>
      </c>
    </row>
    <row r="502" spans="1:13" ht="45" customHeight="1" x14ac:dyDescent="0.2">
      <c r="A502" s="4" t="s">
        <v>539</v>
      </c>
      <c r="B502" s="27" t="s">
        <v>1472</v>
      </c>
      <c r="C502" s="49" t="s">
        <v>1473</v>
      </c>
      <c r="D502" s="8" t="s">
        <v>1474</v>
      </c>
      <c r="E502" s="5"/>
      <c r="F502" s="19"/>
      <c r="G502" s="15"/>
      <c r="H502" s="15"/>
      <c r="I502" s="16"/>
      <c r="J502" s="35">
        <v>3780</v>
      </c>
      <c r="K502" s="16"/>
      <c r="L502" s="18"/>
      <c r="M502" s="44">
        <v>1</v>
      </c>
    </row>
    <row r="503" spans="1:13" ht="45" customHeight="1" x14ac:dyDescent="0.2">
      <c r="A503" s="4" t="s">
        <v>539</v>
      </c>
      <c r="B503" s="27" t="s">
        <v>1475</v>
      </c>
      <c r="C503" s="49" t="s">
        <v>1476</v>
      </c>
      <c r="D503" s="8" t="s">
        <v>1465</v>
      </c>
      <c r="E503" s="5"/>
      <c r="F503" s="19"/>
      <c r="G503" s="15"/>
      <c r="H503" s="15"/>
      <c r="I503" s="16"/>
      <c r="J503" s="35">
        <v>3360</v>
      </c>
      <c r="K503" s="16"/>
      <c r="L503" s="18"/>
      <c r="M503" s="44">
        <v>1</v>
      </c>
    </row>
    <row r="504" spans="1:13" ht="45" customHeight="1" x14ac:dyDescent="0.2">
      <c r="A504" s="4" t="s">
        <v>539</v>
      </c>
      <c r="B504" s="27" t="s">
        <v>1478</v>
      </c>
      <c r="C504" s="49" t="s">
        <v>1479</v>
      </c>
      <c r="D504" s="8" t="s">
        <v>1477</v>
      </c>
      <c r="E504" s="5"/>
      <c r="F504" s="19"/>
      <c r="G504" s="15"/>
      <c r="H504" s="15"/>
      <c r="I504" s="16"/>
      <c r="J504" s="35">
        <v>2520</v>
      </c>
      <c r="K504" s="16"/>
      <c r="L504" s="18"/>
      <c r="M504" s="44">
        <v>1</v>
      </c>
    </row>
    <row r="505" spans="1:13" ht="45" customHeight="1" x14ac:dyDescent="0.2">
      <c r="A505" s="4" t="s">
        <v>547</v>
      </c>
      <c r="B505" s="27" t="s">
        <v>308</v>
      </c>
      <c r="C505" s="49" t="s">
        <v>880</v>
      </c>
      <c r="D505" s="4" t="s">
        <v>309</v>
      </c>
      <c r="E505" s="5">
        <v>36687</v>
      </c>
      <c r="F505" s="3" t="s">
        <v>472</v>
      </c>
      <c r="G505" s="15">
        <f t="shared" ref="G505:G516" si="72">IF(F505&gt;"15%",E505*F505,IF(E505&gt;=19990,F505*E505,IF(E505&gt;=9990,F505*E505+1000,F505*E505+700)))</f>
        <v>4769.3100000000004</v>
      </c>
      <c r="H505" s="15">
        <v>3000</v>
      </c>
      <c r="I505" s="16">
        <f t="shared" ref="I505:I536" si="73">E505-G505-H505</f>
        <v>28917.69</v>
      </c>
      <c r="J505" s="17">
        <v>25794.44</v>
      </c>
      <c r="K505" s="16">
        <f t="shared" ref="K505:K536" si="74">I505-J505</f>
        <v>3123.25</v>
      </c>
      <c r="L505" s="18">
        <f t="shared" ref="L505:L536" si="75">K505/J505</f>
        <v>0.12108229525432614</v>
      </c>
      <c r="M505" s="44">
        <v>1</v>
      </c>
    </row>
    <row r="506" spans="1:13" ht="45" customHeight="1" x14ac:dyDescent="0.2">
      <c r="A506" s="4" t="s">
        <v>547</v>
      </c>
      <c r="B506" s="27" t="s">
        <v>310</v>
      </c>
      <c r="C506" s="49" t="s">
        <v>881</v>
      </c>
      <c r="D506" s="4" t="s">
        <v>311</v>
      </c>
      <c r="E506" s="5">
        <v>18490</v>
      </c>
      <c r="F506" s="3" t="s">
        <v>467</v>
      </c>
      <c r="G506" s="15">
        <f t="shared" si="72"/>
        <v>3328.2</v>
      </c>
      <c r="H506" s="15">
        <f t="shared" ref="H506:H511" si="76">IF(E506&gt;=19990,"ACTIVAR",0)</f>
        <v>0</v>
      </c>
      <c r="I506" s="16">
        <f t="shared" si="73"/>
        <v>15161.8</v>
      </c>
      <c r="J506" s="17">
        <v>13313.72</v>
      </c>
      <c r="K506" s="16">
        <f t="shared" si="74"/>
        <v>1848.08</v>
      </c>
      <c r="L506" s="18">
        <f t="shared" si="75"/>
        <v>0.13881018978917989</v>
      </c>
      <c r="M506" s="44">
        <v>1</v>
      </c>
    </row>
    <row r="507" spans="1:13" ht="45" customHeight="1" x14ac:dyDescent="0.2">
      <c r="A507" s="4" t="s">
        <v>547</v>
      </c>
      <c r="B507" s="27" t="s">
        <v>312</v>
      </c>
      <c r="C507" s="49" t="s">
        <v>882</v>
      </c>
      <c r="D507" s="4" t="s">
        <v>313</v>
      </c>
      <c r="E507" s="5">
        <v>18490</v>
      </c>
      <c r="F507" s="3" t="s">
        <v>472</v>
      </c>
      <c r="G507" s="15">
        <f t="shared" si="72"/>
        <v>3403.7000000000003</v>
      </c>
      <c r="H507" s="15">
        <f t="shared" si="76"/>
        <v>0</v>
      </c>
      <c r="I507" s="16">
        <f t="shared" si="73"/>
        <v>15086.3</v>
      </c>
      <c r="J507" s="17">
        <v>13613.599999999999</v>
      </c>
      <c r="K507" s="16">
        <f t="shared" si="74"/>
        <v>1472.7000000000007</v>
      </c>
      <c r="L507" s="18">
        <f t="shared" si="75"/>
        <v>0.10817858611976265</v>
      </c>
      <c r="M507" s="44">
        <v>1</v>
      </c>
    </row>
    <row r="508" spans="1:13" ht="45" customHeight="1" x14ac:dyDescent="0.2">
      <c r="A508" s="4" t="s">
        <v>547</v>
      </c>
      <c r="B508" s="27" t="s">
        <v>314</v>
      </c>
      <c r="C508" s="49" t="s">
        <v>883</v>
      </c>
      <c r="D508" s="4" t="s">
        <v>315</v>
      </c>
      <c r="E508" s="5">
        <v>18490</v>
      </c>
      <c r="F508" s="3" t="s">
        <v>467</v>
      </c>
      <c r="G508" s="15">
        <f t="shared" si="72"/>
        <v>3328.2</v>
      </c>
      <c r="H508" s="15">
        <f t="shared" si="76"/>
        <v>0</v>
      </c>
      <c r="I508" s="16">
        <f t="shared" si="73"/>
        <v>15161.8</v>
      </c>
      <c r="J508" s="17">
        <v>12593.769999999999</v>
      </c>
      <c r="K508" s="16">
        <f t="shared" si="74"/>
        <v>2568.0300000000007</v>
      </c>
      <c r="L508" s="18">
        <f t="shared" si="75"/>
        <v>0.20391272827755319</v>
      </c>
      <c r="M508" s="44">
        <v>1</v>
      </c>
    </row>
    <row r="509" spans="1:13" ht="45" customHeight="1" x14ac:dyDescent="0.2">
      <c r="A509" s="4" t="s">
        <v>547</v>
      </c>
      <c r="B509" s="27" t="s">
        <v>316</v>
      </c>
      <c r="C509" s="49" t="s">
        <v>884</v>
      </c>
      <c r="D509" s="4" t="s">
        <v>317</v>
      </c>
      <c r="E509" s="5">
        <v>10684</v>
      </c>
      <c r="F509" s="3" t="s">
        <v>467</v>
      </c>
      <c r="G509" s="15">
        <f t="shared" si="72"/>
        <v>1923.12</v>
      </c>
      <c r="H509" s="15">
        <f t="shared" si="76"/>
        <v>0</v>
      </c>
      <c r="I509" s="16">
        <f t="shared" si="73"/>
        <v>8760.880000000001</v>
      </c>
      <c r="J509" s="17">
        <v>8806</v>
      </c>
      <c r="K509" s="16">
        <f t="shared" si="74"/>
        <v>-45.119999999998981</v>
      </c>
      <c r="L509" s="18">
        <f t="shared" si="75"/>
        <v>-5.1237792414261848E-3</v>
      </c>
      <c r="M509" s="44">
        <v>1</v>
      </c>
    </row>
    <row r="510" spans="1:13" ht="45" customHeight="1" x14ac:dyDescent="0.2">
      <c r="A510" s="4" t="s">
        <v>547</v>
      </c>
      <c r="B510" s="27" t="s">
        <v>428</v>
      </c>
      <c r="C510" s="49" t="s">
        <v>883</v>
      </c>
      <c r="D510" s="8" t="s">
        <v>429</v>
      </c>
      <c r="E510" s="5">
        <v>17990</v>
      </c>
      <c r="F510" s="3" t="s">
        <v>467</v>
      </c>
      <c r="G510" s="15">
        <f t="shared" si="72"/>
        <v>3238.2</v>
      </c>
      <c r="H510" s="15">
        <f t="shared" si="76"/>
        <v>0</v>
      </c>
      <c r="I510" s="16">
        <f t="shared" si="73"/>
        <v>14751.8</v>
      </c>
      <c r="J510" s="17">
        <v>12593.769999999999</v>
      </c>
      <c r="K510" s="16">
        <f t="shared" si="74"/>
        <v>2158.0300000000007</v>
      </c>
      <c r="L510" s="18">
        <f t="shared" si="75"/>
        <v>0.17135694871353066</v>
      </c>
      <c r="M510" s="44">
        <v>1</v>
      </c>
    </row>
    <row r="511" spans="1:13" ht="45" customHeight="1" x14ac:dyDescent="0.2">
      <c r="A511" s="4" t="s">
        <v>547</v>
      </c>
      <c r="B511" s="27" t="s">
        <v>430</v>
      </c>
      <c r="C511" s="49" t="s">
        <v>884</v>
      </c>
      <c r="D511" s="8" t="s">
        <v>317</v>
      </c>
      <c r="E511" s="5">
        <v>11276</v>
      </c>
      <c r="F511" s="3" t="s">
        <v>467</v>
      </c>
      <c r="G511" s="15">
        <f t="shared" si="72"/>
        <v>2029.6799999999998</v>
      </c>
      <c r="H511" s="15">
        <f t="shared" si="76"/>
        <v>0</v>
      </c>
      <c r="I511" s="16">
        <f t="shared" si="73"/>
        <v>9246.32</v>
      </c>
      <c r="J511" s="17">
        <v>8806</v>
      </c>
      <c r="K511" s="16">
        <f t="shared" si="74"/>
        <v>440.31999999999971</v>
      </c>
      <c r="L511" s="18">
        <f t="shared" si="75"/>
        <v>5.0002271178741731E-2</v>
      </c>
      <c r="M511" s="44">
        <v>1</v>
      </c>
    </row>
    <row r="512" spans="1:13" ht="45" customHeight="1" x14ac:dyDescent="0.2">
      <c r="A512" s="4" t="s">
        <v>547</v>
      </c>
      <c r="B512" s="27" t="s">
        <v>431</v>
      </c>
      <c r="C512" s="49" t="s">
        <v>880</v>
      </c>
      <c r="D512" s="8" t="s">
        <v>432</v>
      </c>
      <c r="E512" s="5">
        <v>39455</v>
      </c>
      <c r="F512" s="3" t="s">
        <v>472</v>
      </c>
      <c r="G512" s="15">
        <f t="shared" si="72"/>
        <v>5129.1500000000005</v>
      </c>
      <c r="H512" s="15">
        <v>3000</v>
      </c>
      <c r="I512" s="16">
        <f t="shared" si="73"/>
        <v>31325.85</v>
      </c>
      <c r="J512" s="17">
        <v>25794.44</v>
      </c>
      <c r="K512" s="16">
        <f t="shared" si="74"/>
        <v>5531.41</v>
      </c>
      <c r="L512" s="18">
        <f t="shared" si="75"/>
        <v>0.2144419495053973</v>
      </c>
      <c r="M512" s="44">
        <v>1</v>
      </c>
    </row>
    <row r="513" spans="1:13" ht="45" customHeight="1" x14ac:dyDescent="0.2">
      <c r="A513" s="4" t="s">
        <v>547</v>
      </c>
      <c r="B513" s="27" t="s">
        <v>433</v>
      </c>
      <c r="C513" s="49" t="s">
        <v>882</v>
      </c>
      <c r="D513" s="8" t="s">
        <v>434</v>
      </c>
      <c r="E513" s="5">
        <v>17990</v>
      </c>
      <c r="F513" s="3" t="s">
        <v>472</v>
      </c>
      <c r="G513" s="15">
        <f t="shared" si="72"/>
        <v>3338.7000000000003</v>
      </c>
      <c r="H513" s="15">
        <f t="shared" ref="H513:H556" si="77">IF(E513&gt;=19990,"ACTIVAR",0)</f>
        <v>0</v>
      </c>
      <c r="I513" s="16">
        <f t="shared" si="73"/>
        <v>14651.3</v>
      </c>
      <c r="J513" s="17">
        <v>13613.599999999999</v>
      </c>
      <c r="K513" s="16">
        <f t="shared" si="74"/>
        <v>1037.7000000000007</v>
      </c>
      <c r="L513" s="18">
        <f t="shared" si="75"/>
        <v>7.6225245342892461E-2</v>
      </c>
      <c r="M513" s="44">
        <v>1</v>
      </c>
    </row>
    <row r="514" spans="1:13" ht="45" customHeight="1" x14ac:dyDescent="0.2">
      <c r="A514" s="4" t="s">
        <v>547</v>
      </c>
      <c r="B514" s="27" t="s">
        <v>435</v>
      </c>
      <c r="C514" s="49" t="s">
        <v>881</v>
      </c>
      <c r="D514" s="8" t="s">
        <v>311</v>
      </c>
      <c r="E514" s="5">
        <v>17990</v>
      </c>
      <c r="F514" s="3" t="s">
        <v>467</v>
      </c>
      <c r="G514" s="15">
        <f t="shared" si="72"/>
        <v>3238.2</v>
      </c>
      <c r="H514" s="15">
        <f t="shared" si="77"/>
        <v>0</v>
      </c>
      <c r="I514" s="16">
        <f t="shared" si="73"/>
        <v>14751.8</v>
      </c>
      <c r="J514" s="17">
        <v>13313.72</v>
      </c>
      <c r="K514" s="16">
        <f t="shared" si="74"/>
        <v>1438.08</v>
      </c>
      <c r="L514" s="18">
        <f t="shared" si="75"/>
        <v>0.10801488990304738</v>
      </c>
      <c r="M514" s="44">
        <v>1</v>
      </c>
    </row>
    <row r="515" spans="1:13" ht="45" customHeight="1" x14ac:dyDescent="0.2">
      <c r="A515" s="4" t="s">
        <v>548</v>
      </c>
      <c r="B515" s="27" t="s">
        <v>349</v>
      </c>
      <c r="C515" s="49" t="s">
        <v>885</v>
      </c>
      <c r="D515" s="8" t="s">
        <v>350</v>
      </c>
      <c r="E515" s="5">
        <v>2990</v>
      </c>
      <c r="F515" s="3" t="s">
        <v>475</v>
      </c>
      <c r="G515" s="15">
        <f t="shared" si="72"/>
        <v>1058.8</v>
      </c>
      <c r="H515" s="15">
        <f t="shared" si="77"/>
        <v>0</v>
      </c>
      <c r="I515" s="16">
        <f t="shared" si="73"/>
        <v>1931.2</v>
      </c>
      <c r="J515" s="17">
        <v>2900</v>
      </c>
      <c r="K515" s="16">
        <f t="shared" si="74"/>
        <v>-968.8</v>
      </c>
      <c r="L515" s="18">
        <f t="shared" si="75"/>
        <v>-0.33406896551724136</v>
      </c>
      <c r="M515" s="44">
        <v>1</v>
      </c>
    </row>
    <row r="516" spans="1:13" ht="45" customHeight="1" x14ac:dyDescent="0.2">
      <c r="A516" s="4" t="s">
        <v>548</v>
      </c>
      <c r="B516" s="27" t="s">
        <v>351</v>
      </c>
      <c r="C516" s="49" t="s">
        <v>886</v>
      </c>
      <c r="D516" s="8" t="s">
        <v>352</v>
      </c>
      <c r="E516" s="5">
        <v>3790</v>
      </c>
      <c r="F516" s="3" t="s">
        <v>475</v>
      </c>
      <c r="G516" s="15">
        <f t="shared" si="72"/>
        <v>1154.8</v>
      </c>
      <c r="H516" s="15">
        <f t="shared" si="77"/>
        <v>0</v>
      </c>
      <c r="I516" s="16">
        <f t="shared" si="73"/>
        <v>2635.2</v>
      </c>
      <c r="J516" s="17">
        <v>2836</v>
      </c>
      <c r="K516" s="16">
        <f t="shared" si="74"/>
        <v>-200.80000000000018</v>
      </c>
      <c r="L516" s="18">
        <f t="shared" si="75"/>
        <v>-7.0803949224259588E-2</v>
      </c>
      <c r="M516" s="44">
        <v>1</v>
      </c>
    </row>
    <row r="517" spans="1:13" ht="45" customHeight="1" x14ac:dyDescent="0.2">
      <c r="A517" s="4" t="s">
        <v>548</v>
      </c>
      <c r="B517" s="27" t="s">
        <v>398</v>
      </c>
      <c r="C517" s="49" t="s">
        <v>886</v>
      </c>
      <c r="D517" s="8" t="s">
        <v>352</v>
      </c>
      <c r="E517" s="5">
        <v>3594</v>
      </c>
      <c r="F517" s="19">
        <v>0.17</v>
      </c>
      <c r="G517" s="15">
        <f>Tabla1[[#This Row],[Precio]]*Tabla1[[#This Row],[Comision %]]</f>
        <v>610.98</v>
      </c>
      <c r="H517" s="15">
        <f t="shared" si="77"/>
        <v>0</v>
      </c>
      <c r="I517" s="16">
        <f t="shared" si="73"/>
        <v>2983.02</v>
      </c>
      <c r="J517" s="17">
        <v>2836</v>
      </c>
      <c r="K517" s="16">
        <f t="shared" si="74"/>
        <v>147.01999999999998</v>
      </c>
      <c r="L517" s="18">
        <f t="shared" si="75"/>
        <v>5.1840620592383632E-2</v>
      </c>
      <c r="M517" s="44">
        <v>1</v>
      </c>
    </row>
    <row r="518" spans="1:13" ht="45" customHeight="1" x14ac:dyDescent="0.2">
      <c r="A518" s="4" t="s">
        <v>548</v>
      </c>
      <c r="B518" s="27" t="s">
        <v>399</v>
      </c>
      <c r="C518" s="49" t="s">
        <v>887</v>
      </c>
      <c r="D518" s="8" t="s">
        <v>400</v>
      </c>
      <c r="E518" s="5">
        <v>12690</v>
      </c>
      <c r="F518" s="3" t="s">
        <v>470</v>
      </c>
      <c r="G518" s="15">
        <f>IF(F518&gt;"15%",E518*F518,IF(E518&gt;=19990,F518*E518,IF(E518&gt;=9990,F518*E518+1000,F518*E518+700)))</f>
        <v>2395.9</v>
      </c>
      <c r="H518" s="15">
        <f t="shared" si="77"/>
        <v>0</v>
      </c>
      <c r="I518" s="16">
        <f t="shared" si="73"/>
        <v>10294.1</v>
      </c>
      <c r="J518" s="17">
        <v>10578</v>
      </c>
      <c r="K518" s="16">
        <f t="shared" si="74"/>
        <v>-283.89999999999964</v>
      </c>
      <c r="L518" s="18">
        <f t="shared" si="75"/>
        <v>-2.6838721875590815E-2</v>
      </c>
      <c r="M518" s="44">
        <v>1</v>
      </c>
    </row>
    <row r="519" spans="1:13" ht="45" customHeight="1" x14ac:dyDescent="0.2">
      <c r="A519" s="4" t="s">
        <v>548</v>
      </c>
      <c r="B519" s="27" t="s">
        <v>401</v>
      </c>
      <c r="C519" s="49" t="s">
        <v>888</v>
      </c>
      <c r="D519" s="8" t="s">
        <v>402</v>
      </c>
      <c r="E519" s="5">
        <v>4300</v>
      </c>
      <c r="F519" s="19">
        <v>0.16</v>
      </c>
      <c r="G519" s="15">
        <f>Tabla1[[#This Row],[Precio]]*Tabla1[[#This Row],[Comision %]]</f>
        <v>688</v>
      </c>
      <c r="H519" s="15">
        <f t="shared" si="77"/>
        <v>0</v>
      </c>
      <c r="I519" s="16">
        <f t="shared" si="73"/>
        <v>3612</v>
      </c>
      <c r="J519" s="17">
        <v>3251</v>
      </c>
      <c r="K519" s="16">
        <f t="shared" si="74"/>
        <v>361</v>
      </c>
      <c r="L519" s="18">
        <f t="shared" si="75"/>
        <v>0.11104275607505383</v>
      </c>
      <c r="M519" s="44">
        <v>1</v>
      </c>
    </row>
    <row r="520" spans="1:13" ht="45" customHeight="1" x14ac:dyDescent="0.2">
      <c r="A520" s="4" t="s">
        <v>548</v>
      </c>
      <c r="B520" s="27" t="s">
        <v>403</v>
      </c>
      <c r="C520" s="49" t="s">
        <v>888</v>
      </c>
      <c r="D520" s="8" t="s">
        <v>404</v>
      </c>
      <c r="E520" s="5">
        <v>4990</v>
      </c>
      <c r="F520" s="19">
        <v>0.16</v>
      </c>
      <c r="G520" s="15">
        <f>Tabla1[[#This Row],[Precio]]*Tabla1[[#This Row],[Comision %]]</f>
        <v>798.4</v>
      </c>
      <c r="H520" s="15">
        <f t="shared" si="77"/>
        <v>0</v>
      </c>
      <c r="I520" s="16">
        <f t="shared" si="73"/>
        <v>4191.6000000000004</v>
      </c>
      <c r="J520" s="17">
        <v>3251</v>
      </c>
      <c r="K520" s="16">
        <f t="shared" si="74"/>
        <v>940.60000000000036</v>
      </c>
      <c r="L520" s="18">
        <f t="shared" si="75"/>
        <v>0.2893263611196556</v>
      </c>
      <c r="M520" s="44">
        <v>1</v>
      </c>
    </row>
    <row r="521" spans="1:13" ht="45" customHeight="1" x14ac:dyDescent="0.2">
      <c r="A521" s="4" t="s">
        <v>548</v>
      </c>
      <c r="B521" s="27" t="s">
        <v>405</v>
      </c>
      <c r="C521" s="49" t="s">
        <v>889</v>
      </c>
      <c r="D521" s="8" t="s">
        <v>406</v>
      </c>
      <c r="E521" s="5">
        <v>3990</v>
      </c>
      <c r="F521" s="3" t="s">
        <v>475</v>
      </c>
      <c r="G521" s="15">
        <f>IF(F521&gt;"15%",E521*F521,IF(E521&gt;=19990,F521*E521,IF(E521&gt;=9990,F521*E521+1000,F521*E521+700)))</f>
        <v>1178.8</v>
      </c>
      <c r="H521" s="15">
        <f t="shared" si="77"/>
        <v>0</v>
      </c>
      <c r="I521" s="16">
        <f t="shared" si="73"/>
        <v>2811.2</v>
      </c>
      <c r="J521" s="17">
        <v>2900</v>
      </c>
      <c r="K521" s="16">
        <f t="shared" si="74"/>
        <v>-88.800000000000182</v>
      </c>
      <c r="L521" s="18">
        <f t="shared" si="75"/>
        <v>-3.0620689655172475E-2</v>
      </c>
      <c r="M521" s="44">
        <v>1</v>
      </c>
    </row>
    <row r="522" spans="1:13" ht="45" customHeight="1" x14ac:dyDescent="0.2">
      <c r="A522" s="4" t="s">
        <v>548</v>
      </c>
      <c r="B522" s="27" t="s">
        <v>407</v>
      </c>
      <c r="C522" s="49" t="s">
        <v>890</v>
      </c>
      <c r="D522" s="8" t="s">
        <v>408</v>
      </c>
      <c r="E522" s="5">
        <v>9490</v>
      </c>
      <c r="F522" s="19">
        <v>0.16</v>
      </c>
      <c r="G522" s="15">
        <f>Tabla1[[#This Row],[Precio]]*Tabla1[[#This Row],[Comision %]]</f>
        <v>1518.4</v>
      </c>
      <c r="H522" s="15">
        <f t="shared" si="77"/>
        <v>0</v>
      </c>
      <c r="I522" s="16">
        <f t="shared" si="73"/>
        <v>7971.6</v>
      </c>
      <c r="J522" s="17">
        <v>6716</v>
      </c>
      <c r="K522" s="16">
        <f t="shared" si="74"/>
        <v>1255.6000000000004</v>
      </c>
      <c r="L522" s="18">
        <f t="shared" si="75"/>
        <v>0.18695652173913049</v>
      </c>
      <c r="M522" s="44">
        <v>1</v>
      </c>
    </row>
    <row r="523" spans="1:13" ht="45" customHeight="1" x14ac:dyDescent="0.2">
      <c r="A523" s="4" t="s">
        <v>548</v>
      </c>
      <c r="B523" s="27" t="s">
        <v>409</v>
      </c>
      <c r="C523" s="49" t="s">
        <v>891</v>
      </c>
      <c r="D523" s="8" t="s">
        <v>410</v>
      </c>
      <c r="E523" s="5">
        <v>6990</v>
      </c>
      <c r="F523" s="3" t="s">
        <v>475</v>
      </c>
      <c r="G523" s="15">
        <f>IF(F523&gt;"15%",E523*F523,IF(E523&gt;=19990,F523*E523,IF(E523&gt;=9990,F523*E523+1000,F523*E523+700)))</f>
        <v>1538.8</v>
      </c>
      <c r="H523" s="15">
        <f t="shared" si="77"/>
        <v>0</v>
      </c>
      <c r="I523" s="16">
        <f t="shared" si="73"/>
        <v>5451.2</v>
      </c>
      <c r="J523" s="17">
        <v>3911</v>
      </c>
      <c r="K523" s="16">
        <f t="shared" si="74"/>
        <v>1540.1999999999998</v>
      </c>
      <c r="L523" s="18">
        <f t="shared" si="75"/>
        <v>0.393812324213756</v>
      </c>
      <c r="M523" s="44">
        <v>1</v>
      </c>
    </row>
    <row r="524" spans="1:13" ht="45" customHeight="1" x14ac:dyDescent="0.2">
      <c r="A524" s="4" t="s">
        <v>548</v>
      </c>
      <c r="B524" s="27" t="s">
        <v>411</v>
      </c>
      <c r="C524" s="49" t="s">
        <v>892</v>
      </c>
      <c r="D524" s="8" t="s">
        <v>412</v>
      </c>
      <c r="E524" s="5">
        <v>3990</v>
      </c>
      <c r="F524" s="3" t="s">
        <v>475</v>
      </c>
      <c r="G524" s="15">
        <f>IF(F524&gt;"15%",E524*F524,IF(E524&gt;=19990,F524*E524,IF(E524&gt;=9990,F524*E524+1000,F524*E524+700)))</f>
        <v>1178.8</v>
      </c>
      <c r="H524" s="15">
        <f t="shared" si="77"/>
        <v>0</v>
      </c>
      <c r="I524" s="16">
        <f t="shared" si="73"/>
        <v>2811.2</v>
      </c>
      <c r="J524" s="17">
        <v>2836</v>
      </c>
      <c r="K524" s="16">
        <f t="shared" si="74"/>
        <v>-24.800000000000182</v>
      </c>
      <c r="L524" s="18">
        <f t="shared" si="75"/>
        <v>-8.7447108603667771E-3</v>
      </c>
      <c r="M524" s="44">
        <v>1</v>
      </c>
    </row>
    <row r="525" spans="1:13" ht="45" customHeight="1" x14ac:dyDescent="0.2">
      <c r="A525" s="4" t="s">
        <v>548</v>
      </c>
      <c r="B525" s="27" t="s">
        <v>413</v>
      </c>
      <c r="C525" s="49" t="s">
        <v>890</v>
      </c>
      <c r="D525" s="8" t="s">
        <v>414</v>
      </c>
      <c r="E525" s="5">
        <v>9490</v>
      </c>
      <c r="F525" s="19">
        <v>0.16</v>
      </c>
      <c r="G525" s="15">
        <f>Tabla1[[#This Row],[Precio]]*Tabla1[[#This Row],[Comision %]]</f>
        <v>1518.4</v>
      </c>
      <c r="H525" s="15">
        <f t="shared" si="77"/>
        <v>0</v>
      </c>
      <c r="I525" s="16">
        <f t="shared" si="73"/>
        <v>7971.6</v>
      </c>
      <c r="J525" s="17">
        <v>6716</v>
      </c>
      <c r="K525" s="16">
        <f t="shared" si="74"/>
        <v>1255.6000000000004</v>
      </c>
      <c r="L525" s="18">
        <f t="shared" si="75"/>
        <v>0.18695652173913049</v>
      </c>
      <c r="M525" s="44">
        <v>1</v>
      </c>
    </row>
    <row r="526" spans="1:13" ht="45" customHeight="1" x14ac:dyDescent="0.2">
      <c r="A526" s="4" t="s">
        <v>548</v>
      </c>
      <c r="B526" s="27" t="s">
        <v>415</v>
      </c>
      <c r="C526" s="49" t="s">
        <v>893</v>
      </c>
      <c r="D526" s="8" t="s">
        <v>416</v>
      </c>
      <c r="E526" s="5">
        <v>12816</v>
      </c>
      <c r="F526" s="19">
        <v>0.16</v>
      </c>
      <c r="G526" s="15">
        <f>Tabla1[[#This Row],[Precio]]*Tabla1[[#This Row],[Comision %]]</f>
        <v>2050.56</v>
      </c>
      <c r="H526" s="15">
        <f t="shared" si="77"/>
        <v>0</v>
      </c>
      <c r="I526" s="16">
        <f t="shared" si="73"/>
        <v>10765.44</v>
      </c>
      <c r="J526" s="17">
        <v>10073</v>
      </c>
      <c r="K526" s="16">
        <f t="shared" si="74"/>
        <v>692.44000000000051</v>
      </c>
      <c r="L526" s="18">
        <f t="shared" si="75"/>
        <v>6.8742182070882604E-2</v>
      </c>
      <c r="M526" s="44">
        <v>1</v>
      </c>
    </row>
    <row r="527" spans="1:13" ht="45" customHeight="1" x14ac:dyDescent="0.2">
      <c r="A527" s="4" t="s">
        <v>548</v>
      </c>
      <c r="B527" s="27" t="s">
        <v>417</v>
      </c>
      <c r="C527" s="49" t="s">
        <v>891</v>
      </c>
      <c r="D527" s="8" t="s">
        <v>410</v>
      </c>
      <c r="E527" s="5">
        <v>6990</v>
      </c>
      <c r="F527" s="3" t="s">
        <v>475</v>
      </c>
      <c r="G527" s="15">
        <f>IF(F527&gt;"15%",E527*F527,IF(E527&gt;=19990,F527*E527,IF(E527&gt;=9990,F527*E527+1000,F527*E527+700)))</f>
        <v>1538.8</v>
      </c>
      <c r="H527" s="15">
        <f t="shared" si="77"/>
        <v>0</v>
      </c>
      <c r="I527" s="16">
        <f t="shared" si="73"/>
        <v>5451.2</v>
      </c>
      <c r="J527" s="17">
        <v>3911</v>
      </c>
      <c r="K527" s="16">
        <f t="shared" si="74"/>
        <v>1540.1999999999998</v>
      </c>
      <c r="L527" s="18">
        <f t="shared" si="75"/>
        <v>0.393812324213756</v>
      </c>
      <c r="M527" s="44">
        <v>1</v>
      </c>
    </row>
    <row r="528" spans="1:13" ht="45" customHeight="1" x14ac:dyDescent="0.2">
      <c r="A528" s="4" t="s">
        <v>548</v>
      </c>
      <c r="B528" s="27" t="s">
        <v>418</v>
      </c>
      <c r="C528" s="49" t="s">
        <v>893</v>
      </c>
      <c r="D528" s="8" t="s">
        <v>416</v>
      </c>
      <c r="E528" s="5">
        <v>12816</v>
      </c>
      <c r="F528" s="19">
        <v>0.16</v>
      </c>
      <c r="G528" s="15">
        <f>Tabla1[[#This Row],[Precio]]*Tabla1[[#This Row],[Comision %]]</f>
        <v>2050.56</v>
      </c>
      <c r="H528" s="15">
        <f t="shared" si="77"/>
        <v>0</v>
      </c>
      <c r="I528" s="16">
        <f t="shared" si="73"/>
        <v>10765.44</v>
      </c>
      <c r="J528" s="17">
        <v>10073</v>
      </c>
      <c r="K528" s="16">
        <f t="shared" si="74"/>
        <v>692.44000000000051</v>
      </c>
      <c r="L528" s="18">
        <f t="shared" si="75"/>
        <v>6.8742182070882604E-2</v>
      </c>
      <c r="M528" s="44">
        <v>1</v>
      </c>
    </row>
    <row r="529" spans="1:13" ht="45" customHeight="1" x14ac:dyDescent="0.2">
      <c r="A529" s="4" t="s">
        <v>548</v>
      </c>
      <c r="B529" s="27" t="s">
        <v>419</v>
      </c>
      <c r="C529" s="49" t="s">
        <v>887</v>
      </c>
      <c r="D529" s="8" t="s">
        <v>400</v>
      </c>
      <c r="E529" s="5">
        <v>13348</v>
      </c>
      <c r="F529" s="19">
        <v>0.16</v>
      </c>
      <c r="G529" s="15">
        <f>Tabla1[[#This Row],[Precio]]*Tabla1[[#This Row],[Comision %]]</f>
        <v>2135.6799999999998</v>
      </c>
      <c r="H529" s="15">
        <f t="shared" si="77"/>
        <v>0</v>
      </c>
      <c r="I529" s="16">
        <f t="shared" si="73"/>
        <v>11212.32</v>
      </c>
      <c r="J529" s="17">
        <v>10578</v>
      </c>
      <c r="K529" s="16">
        <f t="shared" si="74"/>
        <v>634.31999999999971</v>
      </c>
      <c r="L529" s="18">
        <f t="shared" si="75"/>
        <v>5.9965967101531452E-2</v>
      </c>
      <c r="M529" s="44">
        <v>1</v>
      </c>
    </row>
    <row r="530" spans="1:13" ht="45" customHeight="1" x14ac:dyDescent="0.2">
      <c r="A530" s="4" t="s">
        <v>548</v>
      </c>
      <c r="B530" s="27" t="s">
        <v>420</v>
      </c>
      <c r="C530" s="49" t="s">
        <v>894</v>
      </c>
      <c r="D530" s="8" t="s">
        <v>421</v>
      </c>
      <c r="E530" s="5">
        <v>11331</v>
      </c>
      <c r="F530" s="3" t="s">
        <v>472</v>
      </c>
      <c r="G530" s="15">
        <f>IF(F530&gt;"15%",E530*F530,IF(E530&gt;=19990,F530*E530,IF(E530&gt;=9990,F530*E530+1000,F530*E530+700)))</f>
        <v>2473.0299999999997</v>
      </c>
      <c r="H530" s="15">
        <f t="shared" si="77"/>
        <v>0</v>
      </c>
      <c r="I530" s="16">
        <f t="shared" si="73"/>
        <v>8857.9700000000012</v>
      </c>
      <c r="J530" s="17">
        <v>6381</v>
      </c>
      <c r="K530" s="16">
        <f t="shared" si="74"/>
        <v>2476.9700000000012</v>
      </c>
      <c r="L530" s="18">
        <f t="shared" si="75"/>
        <v>0.38817896881366576</v>
      </c>
      <c r="M530" s="44">
        <v>1</v>
      </c>
    </row>
    <row r="531" spans="1:13" ht="45" customHeight="1" x14ac:dyDescent="0.2">
      <c r="A531" s="4" t="s">
        <v>548</v>
      </c>
      <c r="B531" s="27" t="s">
        <v>422</v>
      </c>
      <c r="C531" s="49" t="s">
        <v>894</v>
      </c>
      <c r="D531" s="8" t="s">
        <v>421</v>
      </c>
      <c r="E531" s="5">
        <v>11331</v>
      </c>
      <c r="F531" s="3" t="s">
        <v>472</v>
      </c>
      <c r="G531" s="15">
        <f>IF(F531&gt;"15%",E531*F531,IF(E531&gt;=19990,F531*E531,IF(E531&gt;=9990,F531*E531+1000,F531*E531+700)))</f>
        <v>2473.0299999999997</v>
      </c>
      <c r="H531" s="15">
        <f t="shared" si="77"/>
        <v>0</v>
      </c>
      <c r="I531" s="16">
        <f t="shared" si="73"/>
        <v>8857.9700000000012</v>
      </c>
      <c r="J531" s="17">
        <v>6381</v>
      </c>
      <c r="K531" s="16">
        <f t="shared" si="74"/>
        <v>2476.9700000000012</v>
      </c>
      <c r="L531" s="18">
        <f t="shared" si="75"/>
        <v>0.38817896881366576</v>
      </c>
      <c r="M531" s="44">
        <v>1</v>
      </c>
    </row>
    <row r="532" spans="1:13" ht="45" customHeight="1" x14ac:dyDescent="0.2">
      <c r="A532" s="4" t="s">
        <v>548</v>
      </c>
      <c r="B532" s="27" t="s">
        <v>423</v>
      </c>
      <c r="C532" s="49" t="s">
        <v>892</v>
      </c>
      <c r="D532" s="8" t="s">
        <v>424</v>
      </c>
      <c r="E532" s="5">
        <v>3990</v>
      </c>
      <c r="F532" s="3" t="s">
        <v>475</v>
      </c>
      <c r="G532" s="15">
        <f>IF(F532&gt;"15%",E532*F532,IF(E532&gt;=19990,F532*E532,IF(E532&gt;=9990,F532*E532+1000,F532*E532+700)))</f>
        <v>1178.8</v>
      </c>
      <c r="H532" s="15">
        <f t="shared" si="77"/>
        <v>0</v>
      </c>
      <c r="I532" s="16">
        <f t="shared" si="73"/>
        <v>2811.2</v>
      </c>
      <c r="J532" s="17">
        <v>2836</v>
      </c>
      <c r="K532" s="16">
        <f t="shared" si="74"/>
        <v>-24.800000000000182</v>
      </c>
      <c r="L532" s="18">
        <f t="shared" si="75"/>
        <v>-8.7447108603667771E-3</v>
      </c>
      <c r="M532" s="44">
        <v>1</v>
      </c>
    </row>
    <row r="533" spans="1:13" ht="45" customHeight="1" x14ac:dyDescent="0.2">
      <c r="A533" s="4" t="s">
        <v>548</v>
      </c>
      <c r="B533" s="27" t="s">
        <v>425</v>
      </c>
      <c r="C533" s="49" t="s">
        <v>889</v>
      </c>
      <c r="D533" s="8" t="s">
        <v>426</v>
      </c>
      <c r="E533" s="5">
        <v>3990</v>
      </c>
      <c r="F533" s="3" t="s">
        <v>475</v>
      </c>
      <c r="G533" s="15">
        <f>IF(F533&gt;"15%",E533*F533,IF(E533&gt;=19990,F533*E533,IF(E533&gt;=9990,F533*E533+1000,F533*E533+700)))</f>
        <v>1178.8</v>
      </c>
      <c r="H533" s="15">
        <f t="shared" si="77"/>
        <v>0</v>
      </c>
      <c r="I533" s="16">
        <f t="shared" si="73"/>
        <v>2811.2</v>
      </c>
      <c r="J533" s="17">
        <v>2900</v>
      </c>
      <c r="K533" s="16">
        <f t="shared" si="74"/>
        <v>-88.800000000000182</v>
      </c>
      <c r="L533" s="18">
        <f t="shared" si="75"/>
        <v>-3.0620689655172475E-2</v>
      </c>
      <c r="M533" s="44">
        <v>1</v>
      </c>
    </row>
    <row r="534" spans="1:13" ht="45" customHeight="1" x14ac:dyDescent="0.2">
      <c r="A534" s="4" t="s">
        <v>548</v>
      </c>
      <c r="B534" s="27" t="s">
        <v>427</v>
      </c>
      <c r="C534" s="49" t="s">
        <v>885</v>
      </c>
      <c r="D534" s="8" t="s">
        <v>350</v>
      </c>
      <c r="E534" s="5">
        <v>2990</v>
      </c>
      <c r="F534" s="3" t="s">
        <v>475</v>
      </c>
      <c r="G534" s="15">
        <f>IF(F534&gt;"15%",E534*F534,IF(E534&gt;=19990,F534*E534,IF(E534&gt;=9990,F534*E534+1000,F534*E534+700)))</f>
        <v>1058.8</v>
      </c>
      <c r="H534" s="15">
        <f t="shared" si="77"/>
        <v>0</v>
      </c>
      <c r="I534" s="16">
        <f t="shared" si="73"/>
        <v>1931.2</v>
      </c>
      <c r="J534" s="17">
        <v>2900</v>
      </c>
      <c r="K534" s="16">
        <f t="shared" si="74"/>
        <v>-968.8</v>
      </c>
      <c r="L534" s="18">
        <f t="shared" si="75"/>
        <v>-0.33406896551724136</v>
      </c>
      <c r="M534" s="44">
        <v>1</v>
      </c>
    </row>
    <row r="535" spans="1:13" ht="45" customHeight="1" x14ac:dyDescent="0.2">
      <c r="A535" s="4" t="s">
        <v>548</v>
      </c>
      <c r="B535" s="27" t="s">
        <v>568</v>
      </c>
      <c r="C535" s="49" t="s">
        <v>895</v>
      </c>
      <c r="D535" s="8" t="s">
        <v>570</v>
      </c>
      <c r="E535" s="5">
        <v>3950</v>
      </c>
      <c r="F535" s="19">
        <v>0.16</v>
      </c>
      <c r="G535" s="15">
        <f>Tabla1[[#This Row],[Comision %]]*Tabla1[[#This Row],[Precio]]</f>
        <v>632</v>
      </c>
      <c r="H535" s="15">
        <f t="shared" si="77"/>
        <v>0</v>
      </c>
      <c r="I535" s="16">
        <f t="shared" si="73"/>
        <v>3318</v>
      </c>
      <c r="J535" s="35">
        <v>3297.8469999999998</v>
      </c>
      <c r="K535" s="16">
        <f t="shared" si="74"/>
        <v>20.153000000000247</v>
      </c>
      <c r="L535" s="18">
        <f t="shared" si="75"/>
        <v>6.1109566332216893E-3</v>
      </c>
      <c r="M535" s="44">
        <v>1</v>
      </c>
    </row>
    <row r="536" spans="1:13" ht="45" customHeight="1" x14ac:dyDescent="0.2">
      <c r="A536" s="4" t="s">
        <v>548</v>
      </c>
      <c r="B536" s="27" t="s">
        <v>569</v>
      </c>
      <c r="C536" s="49" t="s">
        <v>895</v>
      </c>
      <c r="D536" s="8" t="s">
        <v>570</v>
      </c>
      <c r="E536" s="5">
        <v>4300</v>
      </c>
      <c r="F536" s="19">
        <v>0.16</v>
      </c>
      <c r="G536" s="15">
        <f>Tabla1[[#This Row],[Comision %]]*Tabla1[[#This Row],[Precio]]</f>
        <v>688</v>
      </c>
      <c r="H536" s="15">
        <f t="shared" si="77"/>
        <v>0</v>
      </c>
      <c r="I536" s="16">
        <f t="shared" si="73"/>
        <v>3612</v>
      </c>
      <c r="J536" s="35">
        <v>3297.8469999999998</v>
      </c>
      <c r="K536" s="16">
        <f t="shared" si="74"/>
        <v>314.15300000000025</v>
      </c>
      <c r="L536" s="18">
        <f t="shared" si="75"/>
        <v>9.5260028739962851E-2</v>
      </c>
      <c r="M536" s="44">
        <v>1</v>
      </c>
    </row>
    <row r="537" spans="1:13" ht="45" customHeight="1" x14ac:dyDescent="0.2">
      <c r="A537" s="4" t="s">
        <v>548</v>
      </c>
      <c r="B537" s="27" t="s">
        <v>611</v>
      </c>
      <c r="C537" s="49" t="s">
        <v>896</v>
      </c>
      <c r="D537" s="8" t="s">
        <v>617</v>
      </c>
      <c r="E537" s="5">
        <v>5090</v>
      </c>
      <c r="F537" s="19">
        <v>0.16</v>
      </c>
      <c r="G537" s="15">
        <f t="shared" ref="G537:G555" si="78">E537*F537</f>
        <v>814.4</v>
      </c>
      <c r="H537" s="15">
        <f t="shared" si="77"/>
        <v>0</v>
      </c>
      <c r="I537" s="16">
        <f t="shared" ref="I537:I556" si="79">E537-G537-H537</f>
        <v>4275.6000000000004</v>
      </c>
      <c r="J537" s="35">
        <v>2942.6914999999995</v>
      </c>
      <c r="K537" s="16">
        <f t="shared" ref="K537:K556" si="80">I537-J537</f>
        <v>1332.9085000000009</v>
      </c>
      <c r="L537" s="18">
        <f t="shared" ref="L537:L556" si="81">K537/J537</f>
        <v>0.45295556805733839</v>
      </c>
      <c r="M537" s="44">
        <v>1</v>
      </c>
    </row>
    <row r="538" spans="1:13" ht="45" customHeight="1" x14ac:dyDescent="0.2">
      <c r="A538" s="4" t="s">
        <v>548</v>
      </c>
      <c r="B538" s="27" t="s">
        <v>612</v>
      </c>
      <c r="C538" s="49" t="s">
        <v>896</v>
      </c>
      <c r="D538" s="8" t="s">
        <v>617</v>
      </c>
      <c r="E538" s="5">
        <v>5090</v>
      </c>
      <c r="F538" s="19">
        <v>0.16</v>
      </c>
      <c r="G538" s="15">
        <f t="shared" si="78"/>
        <v>814.4</v>
      </c>
      <c r="H538" s="15">
        <f t="shared" si="77"/>
        <v>0</v>
      </c>
      <c r="I538" s="16">
        <f t="shared" si="79"/>
        <v>4275.6000000000004</v>
      </c>
      <c r="J538" s="35">
        <v>2942.6914999999995</v>
      </c>
      <c r="K538" s="16">
        <f t="shared" si="80"/>
        <v>1332.9085000000009</v>
      </c>
      <c r="L538" s="18">
        <f t="shared" si="81"/>
        <v>0.45295556805733839</v>
      </c>
      <c r="M538" s="44">
        <v>1</v>
      </c>
    </row>
    <row r="539" spans="1:13" ht="45" customHeight="1" x14ac:dyDescent="0.2">
      <c r="A539" s="4" t="s">
        <v>548</v>
      </c>
      <c r="B539" s="27" t="s">
        <v>624</v>
      </c>
      <c r="C539" s="49" t="s">
        <v>897</v>
      </c>
      <c r="D539" s="8" t="s">
        <v>626</v>
      </c>
      <c r="E539" s="5">
        <v>13022</v>
      </c>
      <c r="F539" s="19">
        <v>0.18</v>
      </c>
      <c r="G539" s="15">
        <f t="shared" si="78"/>
        <v>2343.96</v>
      </c>
      <c r="H539" s="15">
        <f t="shared" si="77"/>
        <v>0</v>
      </c>
      <c r="I539" s="16">
        <f t="shared" si="79"/>
        <v>10678.04</v>
      </c>
      <c r="J539" s="35">
        <v>8339</v>
      </c>
      <c r="K539" s="16">
        <f t="shared" si="80"/>
        <v>2339.0400000000009</v>
      </c>
      <c r="L539" s="18">
        <f t="shared" si="81"/>
        <v>0.28049406403645533</v>
      </c>
      <c r="M539" s="44">
        <v>1</v>
      </c>
    </row>
    <row r="540" spans="1:13" ht="45" customHeight="1" x14ac:dyDescent="0.2">
      <c r="A540" s="4" t="s">
        <v>548</v>
      </c>
      <c r="B540" s="27" t="s">
        <v>625</v>
      </c>
      <c r="C540" s="49" t="s">
        <v>897</v>
      </c>
      <c r="D540" s="8" t="s">
        <v>626</v>
      </c>
      <c r="E540" s="5">
        <v>13022</v>
      </c>
      <c r="F540" s="19">
        <v>0.18</v>
      </c>
      <c r="G540" s="15">
        <f t="shared" si="78"/>
        <v>2343.96</v>
      </c>
      <c r="H540" s="15">
        <f t="shared" si="77"/>
        <v>0</v>
      </c>
      <c r="I540" s="16">
        <f t="shared" si="79"/>
        <v>10678.04</v>
      </c>
      <c r="J540" s="35">
        <v>8339</v>
      </c>
      <c r="K540" s="16">
        <f t="shared" si="80"/>
        <v>2339.0400000000009</v>
      </c>
      <c r="L540" s="18">
        <f t="shared" si="81"/>
        <v>0.28049406403645533</v>
      </c>
      <c r="M540" s="44">
        <v>1</v>
      </c>
    </row>
    <row r="541" spans="1:13" ht="45" customHeight="1" x14ac:dyDescent="0.2">
      <c r="A541" s="4" t="s">
        <v>548</v>
      </c>
      <c r="B541" s="27" t="s">
        <v>627</v>
      </c>
      <c r="C541" s="49" t="s">
        <v>898</v>
      </c>
      <c r="D541" s="8" t="s">
        <v>629</v>
      </c>
      <c r="E541" s="5">
        <v>16990</v>
      </c>
      <c r="F541" s="19">
        <v>0.16</v>
      </c>
      <c r="G541" s="15">
        <f t="shared" si="78"/>
        <v>2718.4</v>
      </c>
      <c r="H541" s="15">
        <f t="shared" si="77"/>
        <v>0</v>
      </c>
      <c r="I541" s="16">
        <f t="shared" si="79"/>
        <v>14271.6</v>
      </c>
      <c r="J541" s="35">
        <v>11389.024748199085</v>
      </c>
      <c r="K541" s="16">
        <f t="shared" si="80"/>
        <v>2882.5752518009158</v>
      </c>
      <c r="L541" s="18">
        <f t="shared" si="81"/>
        <v>0.25310114917932103</v>
      </c>
      <c r="M541" s="44">
        <v>1</v>
      </c>
    </row>
    <row r="542" spans="1:13" ht="45" customHeight="1" x14ac:dyDescent="0.2">
      <c r="A542" s="4" t="s">
        <v>548</v>
      </c>
      <c r="B542" s="27" t="s">
        <v>628</v>
      </c>
      <c r="C542" s="49" t="s">
        <v>898</v>
      </c>
      <c r="D542" s="8" t="s">
        <v>629</v>
      </c>
      <c r="E542" s="5">
        <v>16990</v>
      </c>
      <c r="F542" s="19">
        <v>0.16</v>
      </c>
      <c r="G542" s="15">
        <f t="shared" si="78"/>
        <v>2718.4</v>
      </c>
      <c r="H542" s="15">
        <f t="shared" si="77"/>
        <v>0</v>
      </c>
      <c r="I542" s="16">
        <f t="shared" si="79"/>
        <v>14271.6</v>
      </c>
      <c r="J542" s="35">
        <v>11389.024748199085</v>
      </c>
      <c r="K542" s="16">
        <f t="shared" si="80"/>
        <v>2882.5752518009158</v>
      </c>
      <c r="L542" s="18">
        <f t="shared" si="81"/>
        <v>0.25310114917932103</v>
      </c>
      <c r="M542" s="44">
        <v>1</v>
      </c>
    </row>
    <row r="543" spans="1:13" ht="45" customHeight="1" x14ac:dyDescent="0.2">
      <c r="A543" s="4" t="s">
        <v>548</v>
      </c>
      <c r="B543" s="27" t="s">
        <v>630</v>
      </c>
      <c r="C543" s="49" t="s">
        <v>899</v>
      </c>
      <c r="D543" s="8" t="s">
        <v>632</v>
      </c>
      <c r="E543" s="5">
        <v>13990</v>
      </c>
      <c r="F543" s="19">
        <v>0.16</v>
      </c>
      <c r="G543" s="15">
        <f t="shared" si="78"/>
        <v>2238.4</v>
      </c>
      <c r="H543" s="15">
        <f t="shared" si="77"/>
        <v>0</v>
      </c>
      <c r="I543" s="16">
        <f t="shared" si="79"/>
        <v>11751.6</v>
      </c>
      <c r="J543" s="35">
        <v>8041.1555674860692</v>
      </c>
      <c r="K543" s="16">
        <f t="shared" si="80"/>
        <v>3710.4444325139311</v>
      </c>
      <c r="L543" s="18">
        <f t="shared" si="81"/>
        <v>0.46143174340723997</v>
      </c>
      <c r="M543" s="44">
        <v>1</v>
      </c>
    </row>
    <row r="544" spans="1:13" ht="45" customHeight="1" x14ac:dyDescent="0.2">
      <c r="A544" s="4" t="s">
        <v>548</v>
      </c>
      <c r="B544" s="27" t="s">
        <v>631</v>
      </c>
      <c r="C544" s="49" t="s">
        <v>899</v>
      </c>
      <c r="D544" s="8" t="s">
        <v>632</v>
      </c>
      <c r="E544" s="5">
        <v>13990</v>
      </c>
      <c r="F544" s="19">
        <v>0.16</v>
      </c>
      <c r="G544" s="15">
        <f t="shared" si="78"/>
        <v>2238.4</v>
      </c>
      <c r="H544" s="15">
        <f t="shared" si="77"/>
        <v>0</v>
      </c>
      <c r="I544" s="16">
        <f t="shared" si="79"/>
        <v>11751.6</v>
      </c>
      <c r="J544" s="35">
        <v>8041.1555674860692</v>
      </c>
      <c r="K544" s="16">
        <f t="shared" si="80"/>
        <v>3710.4444325139311</v>
      </c>
      <c r="L544" s="18">
        <f t="shared" si="81"/>
        <v>0.46143174340723997</v>
      </c>
      <c r="M544" s="44">
        <v>1</v>
      </c>
    </row>
    <row r="545" spans="1:13" ht="45" customHeight="1" x14ac:dyDescent="0.2">
      <c r="A545" s="4" t="s">
        <v>548</v>
      </c>
      <c r="B545" s="27" t="s">
        <v>633</v>
      </c>
      <c r="C545" s="49" t="s">
        <v>900</v>
      </c>
      <c r="D545" s="8" t="s">
        <v>635</v>
      </c>
      <c r="E545" s="5">
        <v>9490</v>
      </c>
      <c r="F545" s="19">
        <v>0.16</v>
      </c>
      <c r="G545" s="15">
        <f t="shared" si="78"/>
        <v>1518.4</v>
      </c>
      <c r="H545" s="15">
        <f t="shared" si="77"/>
        <v>0</v>
      </c>
      <c r="I545" s="16">
        <f t="shared" si="79"/>
        <v>7971.6</v>
      </c>
      <c r="J545" s="35">
        <v>6565.8238065001788</v>
      </c>
      <c r="K545" s="16">
        <f t="shared" si="80"/>
        <v>1405.7761934998216</v>
      </c>
      <c r="L545" s="18">
        <f t="shared" si="81"/>
        <v>0.21410507423426445</v>
      </c>
      <c r="M545" s="44">
        <v>1</v>
      </c>
    </row>
    <row r="546" spans="1:13" ht="45" customHeight="1" x14ac:dyDescent="0.2">
      <c r="A546" s="4" t="s">
        <v>548</v>
      </c>
      <c r="B546" s="27" t="s">
        <v>634</v>
      </c>
      <c r="C546" s="49" t="s">
        <v>900</v>
      </c>
      <c r="D546" s="8" t="s">
        <v>635</v>
      </c>
      <c r="E546" s="5">
        <v>9490</v>
      </c>
      <c r="F546" s="19">
        <v>0.16</v>
      </c>
      <c r="G546" s="15">
        <f t="shared" si="78"/>
        <v>1518.4</v>
      </c>
      <c r="H546" s="15">
        <f t="shared" si="77"/>
        <v>0</v>
      </c>
      <c r="I546" s="16">
        <f t="shared" si="79"/>
        <v>7971.6</v>
      </c>
      <c r="J546" s="35">
        <v>6565.8238065001788</v>
      </c>
      <c r="K546" s="16">
        <f t="shared" si="80"/>
        <v>1405.7761934998216</v>
      </c>
      <c r="L546" s="18">
        <f t="shared" si="81"/>
        <v>0.21410507423426445</v>
      </c>
      <c r="M546" s="44">
        <v>1</v>
      </c>
    </row>
    <row r="547" spans="1:13" ht="45" customHeight="1" x14ac:dyDescent="0.2">
      <c r="A547" s="4" t="s">
        <v>548</v>
      </c>
      <c r="B547" s="27" t="s">
        <v>636</v>
      </c>
      <c r="C547" s="49" t="s">
        <v>901</v>
      </c>
      <c r="D547" s="8" t="s">
        <v>638</v>
      </c>
      <c r="E547" s="5">
        <v>4190</v>
      </c>
      <c r="F547" s="19">
        <v>0.16</v>
      </c>
      <c r="G547" s="15">
        <f t="shared" si="78"/>
        <v>670.4</v>
      </c>
      <c r="H547" s="15">
        <f t="shared" si="77"/>
        <v>0</v>
      </c>
      <c r="I547" s="16">
        <f t="shared" si="79"/>
        <v>3519.6</v>
      </c>
      <c r="J547" s="35">
        <v>2843.7826833643499</v>
      </c>
      <c r="K547" s="16">
        <f t="shared" si="80"/>
        <v>675.81731663565006</v>
      </c>
      <c r="L547" s="18">
        <f t="shared" si="81"/>
        <v>0.2376473141175898</v>
      </c>
      <c r="M547" s="44">
        <v>1</v>
      </c>
    </row>
    <row r="548" spans="1:13" ht="45" customHeight="1" x14ac:dyDescent="0.2">
      <c r="A548" s="4" t="s">
        <v>548</v>
      </c>
      <c r="B548" s="27" t="s">
        <v>637</v>
      </c>
      <c r="C548" s="49" t="s">
        <v>901</v>
      </c>
      <c r="D548" s="8" t="s">
        <v>638</v>
      </c>
      <c r="E548" s="5">
        <v>4190</v>
      </c>
      <c r="F548" s="19">
        <v>0.16</v>
      </c>
      <c r="G548" s="15">
        <f t="shared" si="78"/>
        <v>670.4</v>
      </c>
      <c r="H548" s="15">
        <f t="shared" si="77"/>
        <v>0</v>
      </c>
      <c r="I548" s="16">
        <f t="shared" si="79"/>
        <v>3519.6</v>
      </c>
      <c r="J548" s="35">
        <v>2843.7826833643499</v>
      </c>
      <c r="K548" s="16">
        <f t="shared" si="80"/>
        <v>675.81731663565006</v>
      </c>
      <c r="L548" s="18">
        <f t="shared" si="81"/>
        <v>0.2376473141175898</v>
      </c>
      <c r="M548" s="44">
        <v>1</v>
      </c>
    </row>
    <row r="549" spans="1:13" ht="45" customHeight="1" x14ac:dyDescent="0.2">
      <c r="A549" s="4" t="s">
        <v>548</v>
      </c>
      <c r="B549" s="27" t="s">
        <v>639</v>
      </c>
      <c r="C549" s="49" t="s">
        <v>902</v>
      </c>
      <c r="D549" s="8" t="s">
        <v>641</v>
      </c>
      <c r="E549" s="5">
        <v>2914</v>
      </c>
      <c r="F549" s="19">
        <v>0.16</v>
      </c>
      <c r="G549" s="15">
        <f t="shared" si="78"/>
        <v>466.24</v>
      </c>
      <c r="H549" s="15">
        <f t="shared" si="77"/>
        <v>0</v>
      </c>
      <c r="I549" s="16">
        <f t="shared" si="79"/>
        <v>2447.7600000000002</v>
      </c>
      <c r="J549" s="35">
        <v>2447.0096138052854</v>
      </c>
      <c r="K549" s="16">
        <f t="shared" si="80"/>
        <v>0.75038619471479251</v>
      </c>
      <c r="L549" s="18">
        <f t="shared" si="81"/>
        <v>3.0665437131155568E-4</v>
      </c>
      <c r="M549" s="44">
        <v>1</v>
      </c>
    </row>
    <row r="550" spans="1:13" ht="45" customHeight="1" x14ac:dyDescent="0.2">
      <c r="A550" s="4" t="s">
        <v>548</v>
      </c>
      <c r="B550" s="27" t="s">
        <v>640</v>
      </c>
      <c r="C550" s="49" t="s">
        <v>902</v>
      </c>
      <c r="D550" s="8" t="s">
        <v>641</v>
      </c>
      <c r="E550" s="5">
        <v>2914</v>
      </c>
      <c r="F550" s="19">
        <v>0.16</v>
      </c>
      <c r="G550" s="15">
        <f t="shared" si="78"/>
        <v>466.24</v>
      </c>
      <c r="H550" s="15">
        <f t="shared" si="77"/>
        <v>0</v>
      </c>
      <c r="I550" s="16">
        <f t="shared" si="79"/>
        <v>2447.7600000000002</v>
      </c>
      <c r="J550" s="35">
        <v>2447.0096138052854</v>
      </c>
      <c r="K550" s="16">
        <f t="shared" si="80"/>
        <v>0.75038619471479251</v>
      </c>
      <c r="L550" s="18">
        <f t="shared" si="81"/>
        <v>3.0665437131155568E-4</v>
      </c>
      <c r="M550" s="44">
        <v>1</v>
      </c>
    </row>
    <row r="551" spans="1:13" ht="45" customHeight="1" x14ac:dyDescent="0.2">
      <c r="A551" s="4" t="s">
        <v>548</v>
      </c>
      <c r="B551" s="27" t="s">
        <v>642</v>
      </c>
      <c r="C551" s="49" t="s">
        <v>903</v>
      </c>
      <c r="D551" s="8" t="s">
        <v>643</v>
      </c>
      <c r="E551" s="5">
        <v>5490</v>
      </c>
      <c r="F551" s="19">
        <v>0.16</v>
      </c>
      <c r="G551" s="15">
        <f t="shared" si="78"/>
        <v>878.4</v>
      </c>
      <c r="H551" s="15">
        <f t="shared" si="77"/>
        <v>0</v>
      </c>
      <c r="I551" s="16">
        <f t="shared" si="79"/>
        <v>4611.6000000000004</v>
      </c>
      <c r="J551" s="35">
        <v>3977.2195814701349</v>
      </c>
      <c r="K551" s="16">
        <f t="shared" si="80"/>
        <v>634.38041852986544</v>
      </c>
      <c r="L551" s="18">
        <f t="shared" si="81"/>
        <v>0.15950349371843678</v>
      </c>
      <c r="M551" s="44">
        <v>1</v>
      </c>
    </row>
    <row r="552" spans="1:13" ht="45" customHeight="1" x14ac:dyDescent="0.2">
      <c r="A552" s="4" t="s">
        <v>548</v>
      </c>
      <c r="B552" s="27" t="s">
        <v>644</v>
      </c>
      <c r="C552" s="49" t="s">
        <v>904</v>
      </c>
      <c r="D552" s="8" t="s">
        <v>646</v>
      </c>
      <c r="E552" s="5">
        <v>3190</v>
      </c>
      <c r="F552" s="19">
        <v>0.16</v>
      </c>
      <c r="G552" s="15">
        <f t="shared" si="78"/>
        <v>510.40000000000003</v>
      </c>
      <c r="H552" s="15">
        <f t="shared" si="77"/>
        <v>0</v>
      </c>
      <c r="I552" s="16">
        <f t="shared" si="79"/>
        <v>2679.6</v>
      </c>
      <c r="J552" s="35">
        <v>2860.0873843241698</v>
      </c>
      <c r="K552" s="16">
        <f t="shared" si="80"/>
        <v>-180.48738432416985</v>
      </c>
      <c r="L552" s="18">
        <f t="shared" si="81"/>
        <v>-6.3105548912037346E-2</v>
      </c>
      <c r="M552" s="44">
        <v>1</v>
      </c>
    </row>
    <row r="553" spans="1:13" ht="45" customHeight="1" x14ac:dyDescent="0.2">
      <c r="A553" s="4" t="s">
        <v>548</v>
      </c>
      <c r="B553" s="27" t="s">
        <v>645</v>
      </c>
      <c r="C553" s="49" t="s">
        <v>904</v>
      </c>
      <c r="D553" s="8" t="s">
        <v>646</v>
      </c>
      <c r="E553" s="5">
        <v>3190</v>
      </c>
      <c r="F553" s="19">
        <v>0.16</v>
      </c>
      <c r="G553" s="15">
        <f t="shared" si="78"/>
        <v>510.40000000000003</v>
      </c>
      <c r="H553" s="15">
        <f t="shared" si="77"/>
        <v>0</v>
      </c>
      <c r="I553" s="16">
        <f t="shared" si="79"/>
        <v>2679.6</v>
      </c>
      <c r="J553" s="35">
        <v>2860.0873843241698</v>
      </c>
      <c r="K553" s="16">
        <f t="shared" si="80"/>
        <v>-180.48738432416985</v>
      </c>
      <c r="L553" s="18">
        <f t="shared" si="81"/>
        <v>-6.3105548912037346E-2</v>
      </c>
      <c r="M553" s="44">
        <v>1</v>
      </c>
    </row>
    <row r="554" spans="1:13" ht="45" customHeight="1" x14ac:dyDescent="0.2">
      <c r="A554" s="4" t="s">
        <v>548</v>
      </c>
      <c r="B554" s="27" t="s">
        <v>647</v>
      </c>
      <c r="C554" s="49" t="s">
        <v>905</v>
      </c>
      <c r="D554" s="8" t="s">
        <v>649</v>
      </c>
      <c r="E554" s="5">
        <v>5990</v>
      </c>
      <c r="F554" s="19">
        <v>0.16</v>
      </c>
      <c r="G554" s="15">
        <f t="shared" si="78"/>
        <v>958.4</v>
      </c>
      <c r="H554" s="15">
        <f t="shared" si="77"/>
        <v>0</v>
      </c>
      <c r="I554" s="16">
        <f t="shared" si="79"/>
        <v>5031.6000000000004</v>
      </c>
      <c r="J554" s="35"/>
      <c r="K554" s="16">
        <f t="shared" si="80"/>
        <v>5031.6000000000004</v>
      </c>
      <c r="L554" s="18" t="e">
        <f t="shared" si="81"/>
        <v>#DIV/0!</v>
      </c>
      <c r="M554" s="44">
        <v>1</v>
      </c>
    </row>
    <row r="555" spans="1:13" ht="45" customHeight="1" x14ac:dyDescent="0.2">
      <c r="A555" s="4" t="s">
        <v>548</v>
      </c>
      <c r="B555" s="27" t="s">
        <v>648</v>
      </c>
      <c r="C555" s="49" t="s">
        <v>905</v>
      </c>
      <c r="D555" s="8" t="s">
        <v>649</v>
      </c>
      <c r="E555" s="5">
        <v>5990</v>
      </c>
      <c r="F555" s="19">
        <v>0.16</v>
      </c>
      <c r="G555" s="15">
        <f t="shared" si="78"/>
        <v>958.4</v>
      </c>
      <c r="H555" s="15">
        <f t="shared" si="77"/>
        <v>0</v>
      </c>
      <c r="I555" s="16">
        <f t="shared" si="79"/>
        <v>5031.6000000000004</v>
      </c>
      <c r="J555" s="35"/>
      <c r="K555" s="16">
        <f t="shared" si="80"/>
        <v>5031.6000000000004</v>
      </c>
      <c r="L555" s="18" t="e">
        <f t="shared" si="81"/>
        <v>#DIV/0!</v>
      </c>
      <c r="M555" s="44">
        <v>1</v>
      </c>
    </row>
    <row r="556" spans="1:13" ht="45" customHeight="1" x14ac:dyDescent="0.2">
      <c r="A556" s="4" t="s">
        <v>546</v>
      </c>
      <c r="B556" s="27" t="s">
        <v>89</v>
      </c>
      <c r="C556" s="49" t="s">
        <v>906</v>
      </c>
      <c r="D556" s="4" t="s">
        <v>90</v>
      </c>
      <c r="E556" s="5">
        <v>12341</v>
      </c>
      <c r="F556" s="3" t="s">
        <v>471</v>
      </c>
      <c r="G556" s="15">
        <f>IF(F556&gt;"15%",E556*F556,IF(E556&gt;=19990,F556*E556,IF(E556&gt;=9990,F556*E556+1000,F556*E556+700)))</f>
        <v>2097.9700000000003</v>
      </c>
      <c r="H556" s="15">
        <f t="shared" si="77"/>
        <v>0</v>
      </c>
      <c r="I556" s="16">
        <f t="shared" si="79"/>
        <v>10243.029999999999</v>
      </c>
      <c r="J556" s="17">
        <v>9792.51</v>
      </c>
      <c r="K556" s="16">
        <f t="shared" si="80"/>
        <v>450.51999999999862</v>
      </c>
      <c r="L556" s="18">
        <f t="shared" si="81"/>
        <v>4.6006590751502791E-2</v>
      </c>
      <c r="M556" s="44">
        <v>1</v>
      </c>
    </row>
    <row r="557" spans="1:13" ht="45" customHeight="1" x14ac:dyDescent="0.2">
      <c r="A557" s="4" t="s">
        <v>546</v>
      </c>
      <c r="B557" s="27" t="s">
        <v>1279</v>
      </c>
      <c r="C557" s="49">
        <v>7804643990178</v>
      </c>
      <c r="D557" s="8" t="s">
        <v>1282</v>
      </c>
      <c r="E557" s="5"/>
      <c r="F557" s="19"/>
      <c r="G557" s="15"/>
      <c r="H557" s="15"/>
      <c r="I557" s="16"/>
      <c r="J557" s="35">
        <v>10493.42</v>
      </c>
      <c r="K557" s="16"/>
      <c r="L557" s="18"/>
      <c r="M557" s="44">
        <v>1</v>
      </c>
    </row>
    <row r="558" spans="1:13" ht="45" customHeight="1" x14ac:dyDescent="0.2">
      <c r="A558" s="4" t="s">
        <v>546</v>
      </c>
      <c r="B558" s="27" t="s">
        <v>1280</v>
      </c>
      <c r="C558" s="49">
        <v>7804643990185</v>
      </c>
      <c r="D558" s="8" t="s">
        <v>1281</v>
      </c>
      <c r="E558" s="5"/>
      <c r="F558" s="19"/>
      <c r="G558" s="15"/>
      <c r="H558" s="15"/>
      <c r="I558" s="16"/>
      <c r="J558" s="35">
        <v>10493.42</v>
      </c>
      <c r="K558" s="16"/>
      <c r="L558" s="18"/>
      <c r="M558" s="44">
        <v>1</v>
      </c>
    </row>
    <row r="559" spans="1:13" ht="45" customHeight="1" x14ac:dyDescent="0.2">
      <c r="A559" s="4" t="s">
        <v>546</v>
      </c>
      <c r="B559" s="27" t="s">
        <v>1285</v>
      </c>
      <c r="C559" s="49">
        <v>7804643990147</v>
      </c>
      <c r="D559" s="8" t="s">
        <v>1311</v>
      </c>
      <c r="E559" s="5"/>
      <c r="F559" s="19"/>
      <c r="G559" s="15"/>
      <c r="H559" s="15"/>
      <c r="I559" s="16"/>
      <c r="J559" s="35">
        <v>9792.51</v>
      </c>
      <c r="K559" s="16"/>
      <c r="L559" s="18"/>
      <c r="M559" s="44">
        <v>1</v>
      </c>
    </row>
    <row r="560" spans="1:13" ht="45" customHeight="1" x14ac:dyDescent="0.2">
      <c r="A560" s="4" t="s">
        <v>546</v>
      </c>
      <c r="B560" s="27" t="s">
        <v>1286</v>
      </c>
      <c r="C560" s="49">
        <v>7804643990154</v>
      </c>
      <c r="D560" s="8" t="s">
        <v>1312</v>
      </c>
      <c r="E560" s="5"/>
      <c r="F560" s="19"/>
      <c r="G560" s="15"/>
      <c r="H560" s="15"/>
      <c r="I560" s="16"/>
      <c r="J560" s="35">
        <v>10493.42</v>
      </c>
      <c r="K560" s="16"/>
      <c r="L560" s="18"/>
      <c r="M560" s="44">
        <v>1</v>
      </c>
    </row>
    <row r="561" spans="1:13" ht="45" customHeight="1" x14ac:dyDescent="0.2">
      <c r="A561" s="4" t="s">
        <v>546</v>
      </c>
      <c r="B561" s="27" t="s">
        <v>1287</v>
      </c>
      <c r="C561" s="49">
        <v>7804643990161</v>
      </c>
      <c r="D561" s="8" t="s">
        <v>1313</v>
      </c>
      <c r="E561" s="5"/>
      <c r="F561" s="19"/>
      <c r="G561" s="15"/>
      <c r="H561" s="15"/>
      <c r="I561" s="16"/>
      <c r="J561" s="35">
        <v>10493.42</v>
      </c>
      <c r="K561" s="16"/>
      <c r="L561" s="18"/>
      <c r="M561" s="44">
        <v>1</v>
      </c>
    </row>
    <row r="562" spans="1:13" ht="45" customHeight="1" x14ac:dyDescent="0.2">
      <c r="A562" s="4" t="s">
        <v>546</v>
      </c>
      <c r="B562" s="27" t="s">
        <v>1288</v>
      </c>
      <c r="C562" s="49">
        <v>7804643990116</v>
      </c>
      <c r="D562" s="8" t="s">
        <v>1314</v>
      </c>
      <c r="E562" s="5"/>
      <c r="F562" s="19"/>
      <c r="G562" s="15"/>
      <c r="H562" s="15"/>
      <c r="I562" s="16"/>
      <c r="J562" s="35">
        <v>12592.58</v>
      </c>
      <c r="K562" s="16"/>
      <c r="L562" s="18"/>
      <c r="M562" s="44">
        <v>1</v>
      </c>
    </row>
    <row r="563" spans="1:13" ht="45" customHeight="1" x14ac:dyDescent="0.2">
      <c r="A563" s="4" t="s">
        <v>546</v>
      </c>
      <c r="B563" s="27" t="s">
        <v>1289</v>
      </c>
      <c r="C563" s="49">
        <v>7804643990192</v>
      </c>
      <c r="D563" s="8" t="s">
        <v>1315</v>
      </c>
      <c r="E563" s="5"/>
      <c r="F563" s="19"/>
      <c r="G563" s="15"/>
      <c r="H563" s="15"/>
      <c r="I563" s="16"/>
      <c r="J563" s="35">
        <v>12592.58</v>
      </c>
      <c r="K563" s="16"/>
      <c r="L563" s="18"/>
      <c r="M563" s="44">
        <v>1</v>
      </c>
    </row>
    <row r="564" spans="1:13" ht="45" customHeight="1" x14ac:dyDescent="0.2">
      <c r="A564" s="4" t="s">
        <v>546</v>
      </c>
      <c r="B564" s="27" t="s">
        <v>1290</v>
      </c>
      <c r="C564" s="49">
        <v>7804643990123</v>
      </c>
      <c r="D564" s="8" t="s">
        <v>1316</v>
      </c>
      <c r="E564" s="5"/>
      <c r="F564" s="19"/>
      <c r="G564" s="15"/>
      <c r="H564" s="15"/>
      <c r="I564" s="16"/>
      <c r="J564" s="35">
        <v>12592.58</v>
      </c>
      <c r="K564" s="16"/>
      <c r="L564" s="18"/>
      <c r="M564" s="44">
        <v>1</v>
      </c>
    </row>
    <row r="565" spans="1:13" ht="45" customHeight="1" x14ac:dyDescent="0.2">
      <c r="A565" s="4" t="s">
        <v>546</v>
      </c>
      <c r="B565" s="27" t="s">
        <v>1325</v>
      </c>
      <c r="C565" s="49">
        <v>7804643990154</v>
      </c>
      <c r="D565" s="8" t="s">
        <v>1312</v>
      </c>
      <c r="E565" s="5"/>
      <c r="F565" s="19"/>
      <c r="G565" s="15"/>
      <c r="H565" s="15"/>
      <c r="I565" s="16"/>
      <c r="J565" s="35">
        <v>10493.42</v>
      </c>
      <c r="K565" s="16"/>
      <c r="L565" s="18"/>
      <c r="M565" s="44">
        <v>1</v>
      </c>
    </row>
    <row r="566" spans="1:13" ht="45" customHeight="1" x14ac:dyDescent="0.2">
      <c r="A566" s="4" t="s">
        <v>546</v>
      </c>
      <c r="B566" s="27" t="s">
        <v>1326</v>
      </c>
      <c r="C566" s="49">
        <v>7804643990185</v>
      </c>
      <c r="D566" s="8" t="s">
        <v>1281</v>
      </c>
      <c r="E566" s="5"/>
      <c r="F566" s="19"/>
      <c r="G566" s="15"/>
      <c r="H566" s="15"/>
      <c r="I566" s="16"/>
      <c r="J566" s="35">
        <v>10493.42</v>
      </c>
      <c r="K566" s="16"/>
      <c r="L566" s="18"/>
      <c r="M566" s="44">
        <v>1</v>
      </c>
    </row>
    <row r="567" spans="1:13" ht="45" customHeight="1" x14ac:dyDescent="0.2">
      <c r="A567" s="4" t="s">
        <v>546</v>
      </c>
      <c r="B567" s="27" t="s">
        <v>1327</v>
      </c>
      <c r="C567" s="49">
        <v>7804643990123</v>
      </c>
      <c r="D567" s="8" t="s">
        <v>1316</v>
      </c>
      <c r="E567" s="5"/>
      <c r="F567" s="19"/>
      <c r="G567" s="15"/>
      <c r="H567" s="15"/>
      <c r="I567" s="16"/>
      <c r="J567" s="35">
        <v>12593</v>
      </c>
      <c r="K567" s="16"/>
      <c r="L567" s="18"/>
      <c r="M567" s="44">
        <v>1</v>
      </c>
    </row>
    <row r="568" spans="1:13" ht="45" customHeight="1" x14ac:dyDescent="0.2">
      <c r="A568" s="4" t="s">
        <v>546</v>
      </c>
      <c r="B568" s="27" t="s">
        <v>1346</v>
      </c>
      <c r="C568" s="49">
        <v>7804643990178</v>
      </c>
      <c r="D568" s="8" t="s">
        <v>1282</v>
      </c>
      <c r="E568" s="5"/>
      <c r="F568" s="19"/>
      <c r="G568" s="15"/>
      <c r="H568" s="15"/>
      <c r="I568" s="16"/>
      <c r="J568" s="35">
        <v>10493</v>
      </c>
      <c r="K568" s="16"/>
      <c r="L568" s="18"/>
      <c r="M568" s="44">
        <v>1</v>
      </c>
    </row>
    <row r="569" spans="1:13" ht="45" customHeight="1" x14ac:dyDescent="0.2">
      <c r="A569" s="4" t="s">
        <v>546</v>
      </c>
      <c r="B569" s="27" t="s">
        <v>1350</v>
      </c>
      <c r="C569" s="49">
        <v>7804643990116</v>
      </c>
      <c r="D569" s="8" t="s">
        <v>1314</v>
      </c>
      <c r="E569" s="5"/>
      <c r="F569" s="19"/>
      <c r="G569" s="15"/>
      <c r="H569" s="15"/>
      <c r="I569" s="16"/>
      <c r="J569" s="35">
        <v>12593</v>
      </c>
      <c r="K569" s="16"/>
      <c r="L569" s="18"/>
      <c r="M569" s="44">
        <v>1</v>
      </c>
    </row>
    <row r="570" spans="1:13" ht="45" customHeight="1" x14ac:dyDescent="0.2">
      <c r="A570" s="4" t="s">
        <v>546</v>
      </c>
      <c r="B570" s="27" t="s">
        <v>1351</v>
      </c>
      <c r="C570" s="49">
        <v>7804643990192</v>
      </c>
      <c r="D570" s="8" t="s">
        <v>1315</v>
      </c>
      <c r="E570" s="5"/>
      <c r="F570" s="19"/>
      <c r="G570" s="15"/>
      <c r="H570" s="15"/>
      <c r="I570" s="16"/>
      <c r="J570" s="35">
        <v>12593</v>
      </c>
      <c r="K570" s="16"/>
      <c r="L570" s="18"/>
      <c r="M570" s="44">
        <v>1</v>
      </c>
    </row>
    <row r="571" spans="1:13" ht="45" customHeight="1" x14ac:dyDescent="0.2">
      <c r="A571" s="4" t="s">
        <v>546</v>
      </c>
      <c r="B571" s="27" t="s">
        <v>1352</v>
      </c>
      <c r="C571" s="49">
        <v>7804643990161</v>
      </c>
      <c r="D571" s="8" t="s">
        <v>1313</v>
      </c>
      <c r="E571" s="5"/>
      <c r="F571" s="19"/>
      <c r="G571" s="15"/>
      <c r="H571" s="15"/>
      <c r="I571" s="16"/>
      <c r="J571" s="35">
        <v>10493</v>
      </c>
      <c r="K571" s="16"/>
      <c r="L571" s="18"/>
      <c r="M571" s="44">
        <v>1</v>
      </c>
    </row>
    <row r="572" spans="1:13" ht="45" customHeight="1" x14ac:dyDescent="0.2">
      <c r="A572" s="4" t="s">
        <v>546</v>
      </c>
      <c r="B572" s="27" t="s">
        <v>1427</v>
      </c>
      <c r="C572" s="49">
        <v>7804643990147</v>
      </c>
      <c r="D572" s="8" t="s">
        <v>1428</v>
      </c>
      <c r="E572" s="5"/>
      <c r="F572" s="19"/>
      <c r="G572" s="15"/>
      <c r="H572" s="15"/>
      <c r="I572" s="16"/>
      <c r="J572" s="35">
        <v>9792.51</v>
      </c>
      <c r="K572" s="16"/>
      <c r="L572" s="18"/>
      <c r="M572" s="44">
        <v>1</v>
      </c>
    </row>
    <row r="573" spans="1:13" ht="45" customHeight="1" x14ac:dyDescent="0.2">
      <c r="A573" s="4" t="s">
        <v>543</v>
      </c>
      <c r="B573" s="27" t="s">
        <v>59</v>
      </c>
      <c r="C573" s="49" t="s">
        <v>1089</v>
      </c>
      <c r="D573" s="4" t="s">
        <v>60</v>
      </c>
      <c r="E573" s="5">
        <v>25300</v>
      </c>
      <c r="F573" s="3" t="s">
        <v>472</v>
      </c>
      <c r="G573" s="15">
        <f t="shared" ref="G573:G588" si="82">IF(F573&gt;"15%",E573*F573,IF(E573&gt;=19990,F573*E573,IF(E573&gt;=9990,F573*E573+1000,F573*E573+700)))</f>
        <v>3289</v>
      </c>
      <c r="H573" s="15">
        <v>2560</v>
      </c>
      <c r="I573" s="16">
        <f t="shared" ref="I573:I593" si="83">E573-G573-H573</f>
        <v>19451</v>
      </c>
      <c r="J573" s="17">
        <v>16794</v>
      </c>
      <c r="K573" s="16">
        <f t="shared" ref="K573:K593" si="84">I573-J573</f>
        <v>2657</v>
      </c>
      <c r="L573" s="18">
        <f t="shared" ref="L573:L593" si="85">K573/J573</f>
        <v>0.15821126592830773</v>
      </c>
      <c r="M573" s="44">
        <v>26</v>
      </c>
    </row>
    <row r="574" spans="1:13" ht="45" customHeight="1" x14ac:dyDescent="0.2">
      <c r="A574" s="4" t="s">
        <v>543</v>
      </c>
      <c r="B574" s="27" t="s">
        <v>67</v>
      </c>
      <c r="C574" s="49" t="s">
        <v>907</v>
      </c>
      <c r="D574" s="4" t="s">
        <v>68</v>
      </c>
      <c r="E574" s="5">
        <v>17990</v>
      </c>
      <c r="F574" s="3" t="s">
        <v>467</v>
      </c>
      <c r="G574" s="15">
        <f t="shared" si="82"/>
        <v>3238.2</v>
      </c>
      <c r="H574" s="15">
        <f>IF(E574&gt;=19990,"ACTIVAR",0)</f>
        <v>0</v>
      </c>
      <c r="I574" s="16">
        <f t="shared" si="83"/>
        <v>14751.8</v>
      </c>
      <c r="J574" s="17">
        <v>14168</v>
      </c>
      <c r="K574" s="16">
        <f t="shared" si="84"/>
        <v>583.79999999999927</v>
      </c>
      <c r="L574" s="18">
        <f t="shared" si="85"/>
        <v>4.1205533596837894E-2</v>
      </c>
      <c r="M574" s="44">
        <v>80</v>
      </c>
    </row>
    <row r="575" spans="1:13" ht="45" customHeight="1" x14ac:dyDescent="0.2">
      <c r="A575" s="4" t="s">
        <v>543</v>
      </c>
      <c r="B575" s="27" t="s">
        <v>95</v>
      </c>
      <c r="C575" s="49" t="s">
        <v>907</v>
      </c>
      <c r="D575" s="4" t="s">
        <v>96</v>
      </c>
      <c r="E575" s="5">
        <v>17990</v>
      </c>
      <c r="F575" s="3" t="s">
        <v>467</v>
      </c>
      <c r="G575" s="15">
        <f t="shared" si="82"/>
        <v>3238.2</v>
      </c>
      <c r="H575" s="15">
        <f>IF(E575&gt;=19990,"ACTIVAR",0)</f>
        <v>0</v>
      </c>
      <c r="I575" s="16">
        <f t="shared" si="83"/>
        <v>14751.8</v>
      </c>
      <c r="J575" s="17">
        <v>14168</v>
      </c>
      <c r="K575" s="16">
        <f t="shared" si="84"/>
        <v>583.79999999999927</v>
      </c>
      <c r="L575" s="18">
        <f t="shared" si="85"/>
        <v>4.1205533596837894E-2</v>
      </c>
      <c r="M575" s="44">
        <v>80</v>
      </c>
    </row>
    <row r="576" spans="1:13" ht="45" customHeight="1" x14ac:dyDescent="0.2">
      <c r="A576" s="4" t="s">
        <v>543</v>
      </c>
      <c r="B576" s="27" t="s">
        <v>187</v>
      </c>
      <c r="C576" s="49" t="s">
        <v>1089</v>
      </c>
      <c r="D576" s="8" t="s">
        <v>188</v>
      </c>
      <c r="E576" s="5">
        <v>27018</v>
      </c>
      <c r="F576" s="3" t="s">
        <v>472</v>
      </c>
      <c r="G576" s="15">
        <f t="shared" si="82"/>
        <v>3512.34</v>
      </c>
      <c r="H576" s="15">
        <v>3000</v>
      </c>
      <c r="I576" s="16">
        <f t="shared" si="83"/>
        <v>20505.66</v>
      </c>
      <c r="J576" s="17">
        <v>16794</v>
      </c>
      <c r="K576" s="16">
        <f t="shared" si="84"/>
        <v>3711.66</v>
      </c>
      <c r="L576" s="18">
        <f t="shared" si="85"/>
        <v>0.22101107538406572</v>
      </c>
      <c r="M576" s="44">
        <v>26</v>
      </c>
    </row>
    <row r="577" spans="1:13" ht="45" customHeight="1" x14ac:dyDescent="0.2">
      <c r="A577" s="4" t="s">
        <v>543</v>
      </c>
      <c r="B577" s="27" t="s">
        <v>189</v>
      </c>
      <c r="C577" s="49" t="s">
        <v>908</v>
      </c>
      <c r="D577" s="8" t="s">
        <v>190</v>
      </c>
      <c r="E577" s="5">
        <v>19980</v>
      </c>
      <c r="F577" s="3" t="s">
        <v>467</v>
      </c>
      <c r="G577" s="15">
        <f t="shared" si="82"/>
        <v>3596.4</v>
      </c>
      <c r="H577" s="15">
        <f t="shared" ref="H577:H583" si="86">IF(E577&gt;=19990,"ACTIVAR",0)</f>
        <v>0</v>
      </c>
      <c r="I577" s="16">
        <f t="shared" si="83"/>
        <v>16383.6</v>
      </c>
      <c r="J577" s="17">
        <v>12315</v>
      </c>
      <c r="K577" s="16">
        <f t="shared" si="84"/>
        <v>4068.6000000000004</v>
      </c>
      <c r="L577" s="18">
        <f t="shared" si="85"/>
        <v>0.3303775883069428</v>
      </c>
      <c r="M577" s="44">
        <v>80</v>
      </c>
    </row>
    <row r="578" spans="1:13" ht="45" customHeight="1" x14ac:dyDescent="0.2">
      <c r="A578" s="4" t="s">
        <v>543</v>
      </c>
      <c r="B578" s="27" t="s">
        <v>191</v>
      </c>
      <c r="C578" s="49" t="s">
        <v>909</v>
      </c>
      <c r="D578" s="8" t="s">
        <v>192</v>
      </c>
      <c r="E578" s="5">
        <v>19980</v>
      </c>
      <c r="F578" s="3" t="s">
        <v>467</v>
      </c>
      <c r="G578" s="15">
        <f t="shared" si="82"/>
        <v>3596.4</v>
      </c>
      <c r="H578" s="15">
        <f t="shared" si="86"/>
        <v>0</v>
      </c>
      <c r="I578" s="16">
        <f t="shared" si="83"/>
        <v>16383.6</v>
      </c>
      <c r="J578" s="17">
        <v>12875</v>
      </c>
      <c r="K578" s="16">
        <f t="shared" si="84"/>
        <v>3508.6000000000004</v>
      </c>
      <c r="L578" s="18">
        <f t="shared" si="85"/>
        <v>0.27251262135922333</v>
      </c>
      <c r="M578" s="44">
        <v>26</v>
      </c>
    </row>
    <row r="579" spans="1:13" ht="45" customHeight="1" x14ac:dyDescent="0.2">
      <c r="A579" s="4" t="s">
        <v>543</v>
      </c>
      <c r="B579" s="27" t="s">
        <v>193</v>
      </c>
      <c r="C579" s="49" t="s">
        <v>910</v>
      </c>
      <c r="D579" s="8" t="s">
        <v>194</v>
      </c>
      <c r="E579" s="5">
        <v>19980</v>
      </c>
      <c r="F579" s="3" t="s">
        <v>467</v>
      </c>
      <c r="G579" s="15">
        <f t="shared" si="82"/>
        <v>3596.4</v>
      </c>
      <c r="H579" s="15">
        <f t="shared" si="86"/>
        <v>0</v>
      </c>
      <c r="I579" s="16">
        <f t="shared" si="83"/>
        <v>16383.6</v>
      </c>
      <c r="J579" s="17">
        <v>11195</v>
      </c>
      <c r="K579" s="16">
        <f t="shared" si="84"/>
        <v>5188.6000000000004</v>
      </c>
      <c r="L579" s="18">
        <f t="shared" si="85"/>
        <v>0.46347476552032163</v>
      </c>
      <c r="M579" s="44">
        <v>80</v>
      </c>
    </row>
    <row r="580" spans="1:13" ht="45" customHeight="1" x14ac:dyDescent="0.2">
      <c r="A580" s="4" t="s">
        <v>543</v>
      </c>
      <c r="B580" s="27" t="s">
        <v>195</v>
      </c>
      <c r="C580" s="49" t="s">
        <v>911</v>
      </c>
      <c r="D580" s="8" t="s">
        <v>196</v>
      </c>
      <c r="E580" s="5">
        <v>10510</v>
      </c>
      <c r="F580" s="3" t="s">
        <v>467</v>
      </c>
      <c r="G580" s="15">
        <f t="shared" si="82"/>
        <v>1891.8</v>
      </c>
      <c r="H580" s="15">
        <f t="shared" si="86"/>
        <v>0</v>
      </c>
      <c r="I580" s="16">
        <f t="shared" si="83"/>
        <v>8618.2000000000007</v>
      </c>
      <c r="J580" s="17">
        <v>6769.1008000000002</v>
      </c>
      <c r="K580" s="16">
        <f t="shared" si="84"/>
        <v>1849.0992000000006</v>
      </c>
      <c r="L580" s="18">
        <f t="shared" si="85"/>
        <v>0.27316762663661331</v>
      </c>
      <c r="M580" s="44">
        <v>80</v>
      </c>
    </row>
    <row r="581" spans="1:13" ht="45" customHeight="1" x14ac:dyDescent="0.2">
      <c r="A581" s="4" t="s">
        <v>543</v>
      </c>
      <c r="B581" s="27" t="s">
        <v>197</v>
      </c>
      <c r="C581" s="49" t="s">
        <v>912</v>
      </c>
      <c r="D581" s="8" t="s">
        <v>198</v>
      </c>
      <c r="E581" s="5">
        <v>19980</v>
      </c>
      <c r="F581" s="3" t="s">
        <v>467</v>
      </c>
      <c r="G581" s="15">
        <f t="shared" si="82"/>
        <v>3596.4</v>
      </c>
      <c r="H581" s="15">
        <f t="shared" si="86"/>
        <v>0</v>
      </c>
      <c r="I581" s="16">
        <f t="shared" si="83"/>
        <v>16383.6</v>
      </c>
      <c r="J581" s="17">
        <v>11195</v>
      </c>
      <c r="K581" s="16">
        <f t="shared" si="84"/>
        <v>5188.6000000000004</v>
      </c>
      <c r="L581" s="18">
        <f t="shared" si="85"/>
        <v>0.46347476552032163</v>
      </c>
      <c r="M581" s="44">
        <v>80</v>
      </c>
    </row>
    <row r="582" spans="1:13" ht="45" customHeight="1" x14ac:dyDescent="0.2">
      <c r="A582" s="4" t="s">
        <v>543</v>
      </c>
      <c r="B582" s="27" t="s">
        <v>199</v>
      </c>
      <c r="C582" s="49" t="s">
        <v>913</v>
      </c>
      <c r="D582" s="8" t="s">
        <v>200</v>
      </c>
      <c r="E582" s="5">
        <v>19980</v>
      </c>
      <c r="F582" s="3" t="s">
        <v>467</v>
      </c>
      <c r="G582" s="15">
        <f t="shared" si="82"/>
        <v>3596.4</v>
      </c>
      <c r="H582" s="15">
        <f t="shared" si="86"/>
        <v>0</v>
      </c>
      <c r="I582" s="16">
        <f t="shared" si="83"/>
        <v>16383.6</v>
      </c>
      <c r="J582" s="17">
        <v>11195</v>
      </c>
      <c r="K582" s="16">
        <f t="shared" si="84"/>
        <v>5188.6000000000004</v>
      </c>
      <c r="L582" s="18">
        <f t="shared" si="85"/>
        <v>0.46347476552032163</v>
      </c>
      <c r="M582" s="44">
        <v>80</v>
      </c>
    </row>
    <row r="583" spans="1:13" ht="45" customHeight="1" x14ac:dyDescent="0.2">
      <c r="A583" s="4" t="s">
        <v>543</v>
      </c>
      <c r="B583" s="27" t="s">
        <v>201</v>
      </c>
      <c r="C583" s="49" t="s">
        <v>911</v>
      </c>
      <c r="D583" s="8" t="s">
        <v>202</v>
      </c>
      <c r="E583" s="5">
        <v>19980</v>
      </c>
      <c r="F583" s="3" t="s">
        <v>467</v>
      </c>
      <c r="G583" s="15">
        <f t="shared" si="82"/>
        <v>3596.4</v>
      </c>
      <c r="H583" s="15">
        <f t="shared" si="86"/>
        <v>0</v>
      </c>
      <c r="I583" s="16">
        <f t="shared" si="83"/>
        <v>16383.6</v>
      </c>
      <c r="J583" s="17">
        <v>6769.1008000000002</v>
      </c>
      <c r="K583" s="16">
        <f t="shared" si="84"/>
        <v>9614.4992000000002</v>
      </c>
      <c r="L583" s="18">
        <f t="shared" si="85"/>
        <v>1.4203510161940565</v>
      </c>
      <c r="M583" s="44">
        <v>80</v>
      </c>
    </row>
    <row r="584" spans="1:13" ht="45" customHeight="1" x14ac:dyDescent="0.2">
      <c r="A584" s="4" t="s">
        <v>543</v>
      </c>
      <c r="B584" s="27" t="s">
        <v>203</v>
      </c>
      <c r="C584" s="49" t="s">
        <v>908</v>
      </c>
      <c r="D584" s="8" t="s">
        <v>204</v>
      </c>
      <c r="E584" s="5">
        <v>18990</v>
      </c>
      <c r="F584" s="3" t="s">
        <v>467</v>
      </c>
      <c r="G584" s="15">
        <f t="shared" si="82"/>
        <v>3418.2</v>
      </c>
      <c r="H584" s="15">
        <v>0</v>
      </c>
      <c r="I584" s="16">
        <f t="shared" si="83"/>
        <v>15571.8</v>
      </c>
      <c r="J584" s="17">
        <v>12315</v>
      </c>
      <c r="K584" s="16">
        <f t="shared" si="84"/>
        <v>3256.7999999999993</v>
      </c>
      <c r="L584" s="18">
        <f t="shared" si="85"/>
        <v>0.26445797807551757</v>
      </c>
      <c r="M584" s="44">
        <v>80</v>
      </c>
    </row>
    <row r="585" spans="1:13" ht="45" customHeight="1" x14ac:dyDescent="0.2">
      <c r="A585" s="4" t="s">
        <v>543</v>
      </c>
      <c r="B585" s="27" t="s">
        <v>205</v>
      </c>
      <c r="C585" s="49" t="s">
        <v>909</v>
      </c>
      <c r="D585" s="8" t="s">
        <v>206</v>
      </c>
      <c r="E585" s="5">
        <v>21990</v>
      </c>
      <c r="F585" s="3" t="s">
        <v>467</v>
      </c>
      <c r="G585" s="15">
        <f t="shared" si="82"/>
        <v>3958.2</v>
      </c>
      <c r="H585" s="15">
        <v>3000</v>
      </c>
      <c r="I585" s="16">
        <f t="shared" si="83"/>
        <v>15031.8</v>
      </c>
      <c r="J585" s="17">
        <v>12875</v>
      </c>
      <c r="K585" s="16">
        <f t="shared" si="84"/>
        <v>2156.7999999999993</v>
      </c>
      <c r="L585" s="18">
        <f t="shared" si="85"/>
        <v>0.16751844660194168</v>
      </c>
      <c r="M585" s="44">
        <v>26</v>
      </c>
    </row>
    <row r="586" spans="1:13" ht="45" customHeight="1" x14ac:dyDescent="0.2">
      <c r="A586" s="4" t="s">
        <v>543</v>
      </c>
      <c r="B586" s="27" t="s">
        <v>207</v>
      </c>
      <c r="C586" s="49" t="s">
        <v>910</v>
      </c>
      <c r="D586" s="8" t="s">
        <v>208</v>
      </c>
      <c r="E586" s="5">
        <v>19990</v>
      </c>
      <c r="F586" s="3" t="s">
        <v>467</v>
      </c>
      <c r="G586" s="15">
        <f t="shared" si="82"/>
        <v>3598.2</v>
      </c>
      <c r="H586" s="15">
        <v>3000</v>
      </c>
      <c r="I586" s="16">
        <f t="shared" si="83"/>
        <v>13391.8</v>
      </c>
      <c r="J586" s="17">
        <v>11195</v>
      </c>
      <c r="K586" s="16">
        <f t="shared" si="84"/>
        <v>2196.7999999999993</v>
      </c>
      <c r="L586" s="18">
        <f t="shared" si="85"/>
        <v>0.19623046002679762</v>
      </c>
      <c r="M586" s="44">
        <v>80</v>
      </c>
    </row>
    <row r="587" spans="1:13" ht="45" customHeight="1" x14ac:dyDescent="0.2">
      <c r="A587" s="4" t="s">
        <v>543</v>
      </c>
      <c r="B587" s="27" t="s">
        <v>318</v>
      </c>
      <c r="C587" s="49" t="s">
        <v>914</v>
      </c>
      <c r="D587" s="4" t="s">
        <v>319</v>
      </c>
      <c r="E587" s="5">
        <v>19980</v>
      </c>
      <c r="F587" s="3" t="s">
        <v>467</v>
      </c>
      <c r="G587" s="15">
        <f t="shared" si="82"/>
        <v>3596.4</v>
      </c>
      <c r="H587" s="15">
        <f>IF(E587&gt;=19990,"ACTIVAR",0)</f>
        <v>0</v>
      </c>
      <c r="I587" s="16">
        <f t="shared" si="83"/>
        <v>16383.6</v>
      </c>
      <c r="J587" s="17">
        <v>14470.209599999998</v>
      </c>
      <c r="K587" s="16">
        <f t="shared" si="84"/>
        <v>1913.390400000002</v>
      </c>
      <c r="L587" s="18">
        <f t="shared" si="85"/>
        <v>0.13222962575469552</v>
      </c>
      <c r="M587" s="44">
        <v>80</v>
      </c>
    </row>
    <row r="588" spans="1:13" ht="45" customHeight="1" x14ac:dyDescent="0.2">
      <c r="A588" s="4" t="s">
        <v>543</v>
      </c>
      <c r="B588" s="27" t="s">
        <v>436</v>
      </c>
      <c r="C588" s="49" t="s">
        <v>914</v>
      </c>
      <c r="D588" s="8" t="s">
        <v>437</v>
      </c>
      <c r="E588" s="5">
        <v>19980</v>
      </c>
      <c r="F588" s="3" t="s">
        <v>467</v>
      </c>
      <c r="G588" s="15">
        <f t="shared" si="82"/>
        <v>3596.4</v>
      </c>
      <c r="H588" s="15">
        <f>IF(E588&gt;=19990,"ACTIVAR",0)</f>
        <v>0</v>
      </c>
      <c r="I588" s="16">
        <f t="shared" si="83"/>
        <v>16383.6</v>
      </c>
      <c r="J588" s="17">
        <v>14799.078</v>
      </c>
      <c r="K588" s="16">
        <f t="shared" si="84"/>
        <v>1584.5220000000008</v>
      </c>
      <c r="L588" s="18">
        <f t="shared" si="85"/>
        <v>0.10706896740459107</v>
      </c>
      <c r="M588" s="44">
        <v>80</v>
      </c>
    </row>
    <row r="589" spans="1:13" ht="45" customHeight="1" x14ac:dyDescent="0.2">
      <c r="A589" s="4" t="s">
        <v>543</v>
      </c>
      <c r="B589" s="27" t="s">
        <v>687</v>
      </c>
      <c r="C589" s="49" t="s">
        <v>1085</v>
      </c>
      <c r="D589" s="8" t="s">
        <v>695</v>
      </c>
      <c r="E589" s="5"/>
      <c r="F589" s="19"/>
      <c r="G589" s="15">
        <f>E589*F589</f>
        <v>0</v>
      </c>
      <c r="H589" s="15"/>
      <c r="I589" s="16">
        <f t="shared" si="83"/>
        <v>0</v>
      </c>
      <c r="J589" s="35">
        <v>13155</v>
      </c>
      <c r="K589" s="16">
        <f t="shared" si="84"/>
        <v>-13155</v>
      </c>
      <c r="L589" s="18">
        <f t="shared" si="85"/>
        <v>-1</v>
      </c>
      <c r="M589" s="44">
        <v>26</v>
      </c>
    </row>
    <row r="590" spans="1:13" ht="45" customHeight="1" x14ac:dyDescent="0.2">
      <c r="A590" s="4" t="s">
        <v>543</v>
      </c>
      <c r="B590" s="27" t="s">
        <v>688</v>
      </c>
      <c r="C590" s="49" t="s">
        <v>1084</v>
      </c>
      <c r="D590" s="8" t="s">
        <v>696</v>
      </c>
      <c r="E590" s="5"/>
      <c r="F590" s="19"/>
      <c r="G590" s="15">
        <f>E590*F590</f>
        <v>0</v>
      </c>
      <c r="H590" s="15"/>
      <c r="I590" s="16">
        <f t="shared" si="83"/>
        <v>0</v>
      </c>
      <c r="J590" s="35">
        <v>26455</v>
      </c>
      <c r="K590" s="16">
        <f t="shared" si="84"/>
        <v>-26455</v>
      </c>
      <c r="L590" s="18">
        <f t="shared" si="85"/>
        <v>-1</v>
      </c>
      <c r="M590" s="44">
        <v>6</v>
      </c>
    </row>
    <row r="591" spans="1:13" ht="45" customHeight="1" x14ac:dyDescent="0.2">
      <c r="A591" s="4" t="s">
        <v>543</v>
      </c>
      <c r="B591" s="27" t="s">
        <v>1011</v>
      </c>
      <c r="C591" s="49" t="s">
        <v>1085</v>
      </c>
      <c r="D591" s="8" t="s">
        <v>1012</v>
      </c>
      <c r="E591" s="5"/>
      <c r="F591" s="19"/>
      <c r="G591" s="15">
        <f>E591*F591</f>
        <v>0</v>
      </c>
      <c r="H591" s="15"/>
      <c r="I591" s="16">
        <f t="shared" si="83"/>
        <v>0</v>
      </c>
      <c r="J591" s="35">
        <v>13155</v>
      </c>
      <c r="K591" s="16">
        <f t="shared" si="84"/>
        <v>-13155</v>
      </c>
      <c r="L591" s="18">
        <f t="shared" si="85"/>
        <v>-1</v>
      </c>
      <c r="M591" s="44">
        <v>26</v>
      </c>
    </row>
    <row r="592" spans="1:13" ht="45" customHeight="1" x14ac:dyDescent="0.2">
      <c r="A592" s="4" t="s">
        <v>543</v>
      </c>
      <c r="B592" s="27" t="s">
        <v>1021</v>
      </c>
      <c r="C592" s="49" t="s">
        <v>1084</v>
      </c>
      <c r="D592" s="8" t="s">
        <v>1023</v>
      </c>
      <c r="E592" s="5"/>
      <c r="F592" s="19"/>
      <c r="G592" s="15">
        <f>E592*F592</f>
        <v>0</v>
      </c>
      <c r="H592" s="15"/>
      <c r="I592" s="16">
        <f t="shared" si="83"/>
        <v>0</v>
      </c>
      <c r="J592" s="35">
        <v>26455</v>
      </c>
      <c r="K592" s="16">
        <f t="shared" si="84"/>
        <v>-26455</v>
      </c>
      <c r="L592" s="18">
        <f t="shared" si="85"/>
        <v>-1</v>
      </c>
      <c r="M592" s="44">
        <v>6</v>
      </c>
    </row>
    <row r="593" spans="1:13" ht="45" customHeight="1" x14ac:dyDescent="0.2">
      <c r="A593" s="4" t="s">
        <v>543</v>
      </c>
      <c r="B593" s="27" t="s">
        <v>1233</v>
      </c>
      <c r="C593" s="49" t="s">
        <v>1234</v>
      </c>
      <c r="D593" s="8" t="s">
        <v>1235</v>
      </c>
      <c r="E593" s="5"/>
      <c r="F593" s="19"/>
      <c r="G593" s="15">
        <f>E593*F593</f>
        <v>0</v>
      </c>
      <c r="H593" s="15"/>
      <c r="I593" s="16">
        <f t="shared" si="83"/>
        <v>0</v>
      </c>
      <c r="J593" s="35">
        <v>19544</v>
      </c>
      <c r="K593" s="16">
        <f t="shared" si="84"/>
        <v>-19544</v>
      </c>
      <c r="L593" s="18">
        <f t="shared" si="85"/>
        <v>-1</v>
      </c>
      <c r="M593" s="44">
        <v>26</v>
      </c>
    </row>
    <row r="594" spans="1:13" ht="45" customHeight="1" x14ac:dyDescent="0.2">
      <c r="A594" s="4" t="s">
        <v>543</v>
      </c>
      <c r="B594" s="27" t="s">
        <v>1434</v>
      </c>
      <c r="C594" s="49" t="s">
        <v>1234</v>
      </c>
      <c r="D594" s="8" t="s">
        <v>1435</v>
      </c>
      <c r="E594" s="5"/>
      <c r="F594" s="19"/>
      <c r="G594" s="15"/>
      <c r="H594" s="15"/>
      <c r="I594" s="16"/>
      <c r="J594" s="35">
        <v>19544</v>
      </c>
      <c r="K594" s="16"/>
      <c r="L594" s="18"/>
      <c r="M594" s="44">
        <v>26</v>
      </c>
    </row>
    <row r="595" spans="1:13" ht="45" customHeight="1" x14ac:dyDescent="0.2">
      <c r="A595" s="4" t="s">
        <v>545</v>
      </c>
      <c r="B595" s="27" t="s">
        <v>87</v>
      </c>
      <c r="C595" s="49">
        <v>805309</v>
      </c>
      <c r="D595" s="4" t="s">
        <v>88</v>
      </c>
      <c r="E595" s="5">
        <v>25100</v>
      </c>
      <c r="F595" s="3" t="s">
        <v>472</v>
      </c>
      <c r="G595" s="15">
        <f t="shared" ref="G595:G601" si="87">IF(F595&gt;"15%",E595*F595,IF(E595&gt;=19990,F595*E595,IF(E595&gt;=9990,F595*E595+1000,F595*E595+700)))</f>
        <v>3263</v>
      </c>
      <c r="H595" s="15">
        <v>3100</v>
      </c>
      <c r="I595" s="16">
        <f t="shared" ref="I595:I625" si="88">E595-G595-H595</f>
        <v>18737</v>
      </c>
      <c r="J595" s="17">
        <v>19179.2</v>
      </c>
      <c r="K595" s="16">
        <f t="shared" ref="K595:K625" si="89">I595-J595</f>
        <v>-442.20000000000073</v>
      </c>
      <c r="L595" s="18">
        <f t="shared" ref="L595:L625" si="90">K595/J595</f>
        <v>-2.3056227579878238E-2</v>
      </c>
      <c r="M595" s="44">
        <v>6</v>
      </c>
    </row>
    <row r="596" spans="1:13" ht="45" customHeight="1" x14ac:dyDescent="0.2">
      <c r="A596" s="4" t="s">
        <v>545</v>
      </c>
      <c r="B596" s="27" t="s">
        <v>213</v>
      </c>
      <c r="C596" s="49">
        <v>805165</v>
      </c>
      <c r="D596" s="4" t="s">
        <v>214</v>
      </c>
      <c r="E596" s="5">
        <v>7894</v>
      </c>
      <c r="F596" s="3" t="s">
        <v>467</v>
      </c>
      <c r="G596" s="15">
        <f t="shared" si="87"/>
        <v>1420.9199999999998</v>
      </c>
      <c r="H596" s="15">
        <f>IF(E596&gt;=19990,"ACTIVAR",0)</f>
        <v>0</v>
      </c>
      <c r="I596" s="16">
        <f t="shared" si="88"/>
        <v>6473.08</v>
      </c>
      <c r="J596" s="17">
        <v>5780</v>
      </c>
      <c r="K596" s="16">
        <f t="shared" si="89"/>
        <v>693.07999999999993</v>
      </c>
      <c r="L596" s="18">
        <f t="shared" si="90"/>
        <v>0.11991003460207611</v>
      </c>
      <c r="M596" s="44">
        <v>12</v>
      </c>
    </row>
    <row r="597" spans="1:13" ht="45" customHeight="1" x14ac:dyDescent="0.2">
      <c r="A597" s="4" t="s">
        <v>545</v>
      </c>
      <c r="B597" s="27" t="s">
        <v>217</v>
      </c>
      <c r="C597" s="49">
        <v>805164</v>
      </c>
      <c r="D597" s="4" t="s">
        <v>218</v>
      </c>
      <c r="E597" s="5">
        <v>7505</v>
      </c>
      <c r="F597" s="3" t="s">
        <v>473</v>
      </c>
      <c r="G597" s="15">
        <f t="shared" si="87"/>
        <v>1825.75</v>
      </c>
      <c r="H597" s="15">
        <f>IF(E597&gt;=19990,"ACTIVAR",0)</f>
        <v>0</v>
      </c>
      <c r="I597" s="16">
        <f t="shared" si="88"/>
        <v>5679.25</v>
      </c>
      <c r="J597" s="17">
        <v>5780</v>
      </c>
      <c r="K597" s="16">
        <f t="shared" si="89"/>
        <v>-100.75</v>
      </c>
      <c r="L597" s="18">
        <f t="shared" si="90"/>
        <v>-1.7430795847750865E-2</v>
      </c>
      <c r="M597" s="44">
        <v>12</v>
      </c>
    </row>
    <row r="598" spans="1:13" ht="45" customHeight="1" x14ac:dyDescent="0.2">
      <c r="A598" s="4" t="s">
        <v>545</v>
      </c>
      <c r="B598" s="27" t="s">
        <v>268</v>
      </c>
      <c r="C598" s="49">
        <v>805301</v>
      </c>
      <c r="D598" s="4" t="s">
        <v>269</v>
      </c>
      <c r="E598" s="5">
        <v>24000</v>
      </c>
      <c r="F598" s="3" t="s">
        <v>472</v>
      </c>
      <c r="G598" s="15">
        <f t="shared" si="87"/>
        <v>3120</v>
      </c>
      <c r="H598" s="15">
        <v>2640</v>
      </c>
      <c r="I598" s="16">
        <f t="shared" si="88"/>
        <v>18240</v>
      </c>
      <c r="J598" s="17">
        <v>19179.2</v>
      </c>
      <c r="K598" s="16">
        <f t="shared" si="89"/>
        <v>-939.20000000000073</v>
      </c>
      <c r="L598" s="18">
        <f t="shared" si="90"/>
        <v>-4.8969717193626465E-2</v>
      </c>
      <c r="M598" s="44">
        <v>6</v>
      </c>
    </row>
    <row r="599" spans="1:13" ht="45" customHeight="1" x14ac:dyDescent="0.2">
      <c r="A599" s="4" t="s">
        <v>545</v>
      </c>
      <c r="B599" s="27" t="s">
        <v>270</v>
      </c>
      <c r="C599" s="49">
        <v>805305</v>
      </c>
      <c r="D599" s="4" t="s">
        <v>271</v>
      </c>
      <c r="E599" s="5">
        <v>24948</v>
      </c>
      <c r="F599" s="3" t="s">
        <v>472</v>
      </c>
      <c r="G599" s="15">
        <f t="shared" si="87"/>
        <v>3243.2400000000002</v>
      </c>
      <c r="H599" s="15">
        <v>3100</v>
      </c>
      <c r="I599" s="16">
        <f t="shared" si="88"/>
        <v>18604.759999999998</v>
      </c>
      <c r="J599" s="17">
        <v>19179.2</v>
      </c>
      <c r="K599" s="16">
        <f t="shared" si="89"/>
        <v>-574.44000000000233</v>
      </c>
      <c r="L599" s="18">
        <f t="shared" si="90"/>
        <v>-2.9951197130224531E-2</v>
      </c>
      <c r="M599" s="44">
        <v>6</v>
      </c>
    </row>
    <row r="600" spans="1:13" ht="45" customHeight="1" x14ac:dyDescent="0.2">
      <c r="A600" s="4" t="s">
        <v>545</v>
      </c>
      <c r="B600" s="27" t="s">
        <v>272</v>
      </c>
      <c r="C600" s="49">
        <v>805302</v>
      </c>
      <c r="D600" s="4" t="s">
        <v>273</v>
      </c>
      <c r="E600" s="5">
        <v>25401</v>
      </c>
      <c r="F600" s="3" t="s">
        <v>472</v>
      </c>
      <c r="G600" s="15">
        <f t="shared" si="87"/>
        <v>3302.13</v>
      </c>
      <c r="H600" s="15">
        <v>3100</v>
      </c>
      <c r="I600" s="16">
        <f t="shared" si="88"/>
        <v>18998.87</v>
      </c>
      <c r="J600" s="17">
        <v>19179.2</v>
      </c>
      <c r="K600" s="16">
        <f t="shared" si="89"/>
        <v>-180.33000000000175</v>
      </c>
      <c r="L600" s="18">
        <f t="shared" si="90"/>
        <v>-9.4023734045216561E-3</v>
      </c>
      <c r="M600" s="44">
        <v>6</v>
      </c>
    </row>
    <row r="601" spans="1:13" ht="45" customHeight="1" x14ac:dyDescent="0.2">
      <c r="A601" s="4" t="s">
        <v>545</v>
      </c>
      <c r="B601" s="27" t="s">
        <v>276</v>
      </c>
      <c r="C601" s="49">
        <v>805165</v>
      </c>
      <c r="D601" s="4" t="s">
        <v>214</v>
      </c>
      <c r="E601" s="5">
        <v>7894</v>
      </c>
      <c r="F601" s="3" t="s">
        <v>467</v>
      </c>
      <c r="G601" s="15">
        <f t="shared" si="87"/>
        <v>1420.9199999999998</v>
      </c>
      <c r="H601" s="15">
        <f t="shared" ref="H601:H609" si="91">IF(E601&gt;=19990,"ACTIVAR",0)</f>
        <v>0</v>
      </c>
      <c r="I601" s="16">
        <f t="shared" si="88"/>
        <v>6473.08</v>
      </c>
      <c r="J601" s="17">
        <v>5780</v>
      </c>
      <c r="K601" s="16">
        <f t="shared" si="89"/>
        <v>693.07999999999993</v>
      </c>
      <c r="L601" s="18">
        <f t="shared" si="90"/>
        <v>0.11991003460207611</v>
      </c>
      <c r="M601" s="44">
        <v>12</v>
      </c>
    </row>
    <row r="602" spans="1:13" ht="45" customHeight="1" x14ac:dyDescent="0.2">
      <c r="A602" s="4" t="s">
        <v>545</v>
      </c>
      <c r="B602" s="27" t="s">
        <v>286</v>
      </c>
      <c r="C602" s="49">
        <v>805051</v>
      </c>
      <c r="D602" s="4" t="s">
        <v>287</v>
      </c>
      <c r="E602" s="5">
        <v>6329.5295276470579</v>
      </c>
      <c r="F602" s="3" t="s">
        <v>473</v>
      </c>
      <c r="G602" s="15">
        <f>E602*15%</f>
        <v>949.42942914705861</v>
      </c>
      <c r="H602" s="15">
        <f t="shared" si="91"/>
        <v>0</v>
      </c>
      <c r="I602" s="16">
        <f t="shared" si="88"/>
        <v>5380.1000984999991</v>
      </c>
      <c r="J602" s="17">
        <v>4880</v>
      </c>
      <c r="K602" s="16">
        <f t="shared" si="89"/>
        <v>500.10009849999915</v>
      </c>
      <c r="L602" s="18">
        <f t="shared" si="90"/>
        <v>0.10247952838114736</v>
      </c>
      <c r="M602" s="44">
        <v>12</v>
      </c>
    </row>
    <row r="603" spans="1:13" ht="45" customHeight="1" x14ac:dyDescent="0.2">
      <c r="A603" s="4" t="s">
        <v>545</v>
      </c>
      <c r="B603" s="27" t="s">
        <v>288</v>
      </c>
      <c r="C603" s="49">
        <v>805056</v>
      </c>
      <c r="D603" s="4" t="s">
        <v>289</v>
      </c>
      <c r="E603" s="5">
        <v>6330</v>
      </c>
      <c r="F603" s="3" t="s">
        <v>473</v>
      </c>
      <c r="G603" s="15">
        <f>E603*15%</f>
        <v>949.5</v>
      </c>
      <c r="H603" s="15">
        <f t="shared" si="91"/>
        <v>0</v>
      </c>
      <c r="I603" s="16">
        <f t="shared" si="88"/>
        <v>5380.5</v>
      </c>
      <c r="J603" s="17">
        <v>4880</v>
      </c>
      <c r="K603" s="16">
        <f t="shared" si="89"/>
        <v>500.5</v>
      </c>
      <c r="L603" s="18">
        <f t="shared" si="90"/>
        <v>0.10256147540983607</v>
      </c>
      <c r="M603" s="44">
        <v>12</v>
      </c>
    </row>
    <row r="604" spans="1:13" ht="45" customHeight="1" x14ac:dyDescent="0.2">
      <c r="A604" s="4" t="s">
        <v>545</v>
      </c>
      <c r="B604" s="27" t="s">
        <v>300</v>
      </c>
      <c r="C604" s="49">
        <v>805053</v>
      </c>
      <c r="D604" s="4" t="s">
        <v>301</v>
      </c>
      <c r="E604" s="5">
        <v>6780</v>
      </c>
      <c r="F604" s="3" t="s">
        <v>467</v>
      </c>
      <c r="G604" s="15">
        <f t="shared" ref="G604:G611" si="92">IF(F604&gt;"15%",E604*F604,IF(E604&gt;=19990,F604*E604,IF(E604&gt;=9990,F604*E604+1000,F604*E604+700)))</f>
        <v>1220.3999999999999</v>
      </c>
      <c r="H604" s="15">
        <f t="shared" si="91"/>
        <v>0</v>
      </c>
      <c r="I604" s="16">
        <f t="shared" si="88"/>
        <v>5559.6</v>
      </c>
      <c r="J604" s="17">
        <v>4880</v>
      </c>
      <c r="K604" s="16">
        <f t="shared" si="89"/>
        <v>679.60000000000036</v>
      </c>
      <c r="L604" s="18">
        <f t="shared" si="90"/>
        <v>0.13926229508196727</v>
      </c>
      <c r="M604" s="44">
        <v>12</v>
      </c>
    </row>
    <row r="605" spans="1:13" ht="45" customHeight="1" x14ac:dyDescent="0.2">
      <c r="A605" s="4" t="s">
        <v>545</v>
      </c>
      <c r="B605" s="27" t="s">
        <v>376</v>
      </c>
      <c r="C605" s="49">
        <v>805164</v>
      </c>
      <c r="D605" s="8" t="s">
        <v>377</v>
      </c>
      <c r="E605" s="5">
        <v>7505</v>
      </c>
      <c r="F605" s="3" t="s">
        <v>473</v>
      </c>
      <c r="G605" s="15">
        <f t="shared" si="92"/>
        <v>1825.75</v>
      </c>
      <c r="H605" s="15">
        <f t="shared" si="91"/>
        <v>0</v>
      </c>
      <c r="I605" s="16">
        <f t="shared" si="88"/>
        <v>5679.25</v>
      </c>
      <c r="J605" s="17">
        <v>5780</v>
      </c>
      <c r="K605" s="16">
        <f t="shared" si="89"/>
        <v>-100.75</v>
      </c>
      <c r="L605" s="18">
        <f t="shared" si="90"/>
        <v>-1.7430795847750865E-2</v>
      </c>
      <c r="M605" s="44">
        <v>12</v>
      </c>
    </row>
    <row r="606" spans="1:13" ht="45" customHeight="1" x14ac:dyDescent="0.2">
      <c r="A606" s="4" t="s">
        <v>545</v>
      </c>
      <c r="B606" s="27" t="s">
        <v>388</v>
      </c>
      <c r="C606" s="49">
        <v>805054</v>
      </c>
      <c r="D606" s="8" t="s">
        <v>389</v>
      </c>
      <c r="E606" s="5">
        <v>8000</v>
      </c>
      <c r="F606" s="3" t="s">
        <v>472</v>
      </c>
      <c r="G606" s="15">
        <f t="shared" si="92"/>
        <v>1740</v>
      </c>
      <c r="H606" s="15">
        <f t="shared" si="91"/>
        <v>0</v>
      </c>
      <c r="I606" s="16">
        <f t="shared" si="88"/>
        <v>6260</v>
      </c>
      <c r="J606" s="17">
        <v>4880</v>
      </c>
      <c r="K606" s="16">
        <f t="shared" si="89"/>
        <v>1380</v>
      </c>
      <c r="L606" s="18">
        <f t="shared" si="90"/>
        <v>0.28278688524590162</v>
      </c>
      <c r="M606" s="44">
        <v>12</v>
      </c>
    </row>
    <row r="607" spans="1:13" ht="45" customHeight="1" x14ac:dyDescent="0.2">
      <c r="A607" s="4" t="s">
        <v>545</v>
      </c>
      <c r="B607" s="27" t="s">
        <v>390</v>
      </c>
      <c r="C607" s="49">
        <v>805051</v>
      </c>
      <c r="D607" s="8" t="s">
        <v>391</v>
      </c>
      <c r="E607" s="5">
        <v>5870</v>
      </c>
      <c r="F607" s="3" t="s">
        <v>473</v>
      </c>
      <c r="G607" s="15">
        <f t="shared" si="92"/>
        <v>1580.5</v>
      </c>
      <c r="H607" s="15">
        <f t="shared" si="91"/>
        <v>0</v>
      </c>
      <c r="I607" s="16">
        <f t="shared" si="88"/>
        <v>4289.5</v>
      </c>
      <c r="J607" s="17">
        <v>4880</v>
      </c>
      <c r="K607" s="16">
        <f t="shared" si="89"/>
        <v>-590.5</v>
      </c>
      <c r="L607" s="18">
        <f t="shared" si="90"/>
        <v>-0.12100409836065573</v>
      </c>
      <c r="M607" s="44">
        <v>12</v>
      </c>
    </row>
    <row r="608" spans="1:13" ht="45" customHeight="1" x14ac:dyDescent="0.2">
      <c r="A608" s="4" t="s">
        <v>545</v>
      </c>
      <c r="B608" s="27" t="s">
        <v>392</v>
      </c>
      <c r="C608" s="49">
        <v>805056</v>
      </c>
      <c r="D608" s="8" t="s">
        <v>393</v>
      </c>
      <c r="E608" s="5">
        <v>5993</v>
      </c>
      <c r="F608" s="3" t="s">
        <v>473</v>
      </c>
      <c r="G608" s="15">
        <f t="shared" si="92"/>
        <v>1598.9499999999998</v>
      </c>
      <c r="H608" s="15">
        <f t="shared" si="91"/>
        <v>0</v>
      </c>
      <c r="I608" s="16">
        <f t="shared" si="88"/>
        <v>4394.05</v>
      </c>
      <c r="J608" s="17">
        <v>4880</v>
      </c>
      <c r="K608" s="16">
        <f t="shared" si="89"/>
        <v>-485.94999999999982</v>
      </c>
      <c r="L608" s="18">
        <f t="shared" si="90"/>
        <v>-9.9579918032786846E-2</v>
      </c>
      <c r="M608" s="44">
        <v>12</v>
      </c>
    </row>
    <row r="609" spans="1:13" ht="45" customHeight="1" x14ac:dyDescent="0.2">
      <c r="A609" s="4" t="s">
        <v>545</v>
      </c>
      <c r="B609" s="27" t="s">
        <v>394</v>
      </c>
      <c r="C609" s="49">
        <v>805053</v>
      </c>
      <c r="D609" s="8" t="s">
        <v>301</v>
      </c>
      <c r="E609" s="5">
        <v>6780</v>
      </c>
      <c r="F609" s="3" t="s">
        <v>467</v>
      </c>
      <c r="G609" s="15">
        <f t="shared" si="92"/>
        <v>1220.3999999999999</v>
      </c>
      <c r="H609" s="15">
        <f t="shared" si="91"/>
        <v>0</v>
      </c>
      <c r="I609" s="16">
        <f t="shared" si="88"/>
        <v>5559.6</v>
      </c>
      <c r="J609" s="17">
        <v>4880</v>
      </c>
      <c r="K609" s="16">
        <f t="shared" si="89"/>
        <v>679.60000000000036</v>
      </c>
      <c r="L609" s="18">
        <f t="shared" si="90"/>
        <v>0.13926229508196727</v>
      </c>
      <c r="M609" s="44">
        <v>12</v>
      </c>
    </row>
    <row r="610" spans="1:13" ht="45" customHeight="1" x14ac:dyDescent="0.2">
      <c r="A610" s="4" t="s">
        <v>545</v>
      </c>
      <c r="B610" s="27" t="s">
        <v>395</v>
      </c>
      <c r="C610" s="49">
        <v>805302</v>
      </c>
      <c r="D610" s="8" t="s">
        <v>396</v>
      </c>
      <c r="E610" s="5">
        <v>24137</v>
      </c>
      <c r="F610" s="3" t="s">
        <v>472</v>
      </c>
      <c r="G610" s="15">
        <f t="shared" si="92"/>
        <v>3137.81</v>
      </c>
      <c r="H610" s="15">
        <v>3100</v>
      </c>
      <c r="I610" s="16">
        <f t="shared" si="88"/>
        <v>17899.189999999999</v>
      </c>
      <c r="J610" s="17">
        <v>19179.2</v>
      </c>
      <c r="K610" s="16">
        <f t="shared" si="89"/>
        <v>-1280.010000000002</v>
      </c>
      <c r="L610" s="18">
        <f t="shared" si="90"/>
        <v>-6.6739488612663822E-2</v>
      </c>
      <c r="M610" s="44">
        <v>6</v>
      </c>
    </row>
    <row r="611" spans="1:13" ht="45" customHeight="1" x14ac:dyDescent="0.2">
      <c r="A611" s="4" t="s">
        <v>545</v>
      </c>
      <c r="B611" s="27" t="s">
        <v>397</v>
      </c>
      <c r="C611" s="49">
        <v>805301</v>
      </c>
      <c r="D611" s="8" t="s">
        <v>269</v>
      </c>
      <c r="E611" s="5">
        <v>26313</v>
      </c>
      <c r="F611" s="3" t="s">
        <v>472</v>
      </c>
      <c r="G611" s="15">
        <f t="shared" si="92"/>
        <v>3420.69</v>
      </c>
      <c r="H611" s="15">
        <v>3100</v>
      </c>
      <c r="I611" s="16">
        <f t="shared" si="88"/>
        <v>19792.310000000001</v>
      </c>
      <c r="J611" s="17">
        <v>19179.2</v>
      </c>
      <c r="K611" s="16">
        <f t="shared" si="89"/>
        <v>613.11000000000058</v>
      </c>
      <c r="L611" s="18">
        <f t="shared" si="90"/>
        <v>3.1967443897555715E-2</v>
      </c>
      <c r="M611" s="44">
        <v>6</v>
      </c>
    </row>
    <row r="612" spans="1:13" ht="45" customHeight="1" x14ac:dyDescent="0.2">
      <c r="A612" s="4" t="s">
        <v>545</v>
      </c>
      <c r="B612" s="27" t="s">
        <v>726</v>
      </c>
      <c r="C612" s="49">
        <v>805308</v>
      </c>
      <c r="D612" s="8" t="s">
        <v>737</v>
      </c>
      <c r="E612" s="5"/>
      <c r="F612" s="19"/>
      <c r="G612" s="15">
        <f t="shared" ref="G612:G625" si="93">E612*F612</f>
        <v>0</v>
      </c>
      <c r="H612" s="15"/>
      <c r="I612" s="16">
        <f t="shared" si="88"/>
        <v>0</v>
      </c>
      <c r="J612" s="35">
        <v>4288.76</v>
      </c>
      <c r="K612" s="16">
        <f t="shared" si="89"/>
        <v>-4288.76</v>
      </c>
      <c r="L612" s="18">
        <f t="shared" si="90"/>
        <v>-1</v>
      </c>
      <c r="M612" s="44">
        <v>8</v>
      </c>
    </row>
    <row r="613" spans="1:13" ht="45" customHeight="1" x14ac:dyDescent="0.2">
      <c r="A613" s="4" t="s">
        <v>545</v>
      </c>
      <c r="B613" s="27" t="s">
        <v>727</v>
      </c>
      <c r="C613" s="49">
        <v>805308</v>
      </c>
      <c r="D613" s="8" t="s">
        <v>737</v>
      </c>
      <c r="E613" s="5"/>
      <c r="F613" s="19"/>
      <c r="G613" s="15">
        <f t="shared" si="93"/>
        <v>0</v>
      </c>
      <c r="H613" s="15"/>
      <c r="I613" s="16">
        <f t="shared" si="88"/>
        <v>0</v>
      </c>
      <c r="J613" s="35">
        <v>4288.8</v>
      </c>
      <c r="K613" s="16">
        <f t="shared" si="89"/>
        <v>-4288.8</v>
      </c>
      <c r="L613" s="18">
        <f t="shared" si="90"/>
        <v>-1</v>
      </c>
      <c r="M613" s="44">
        <v>8</v>
      </c>
    </row>
    <row r="614" spans="1:13" ht="45" customHeight="1" x14ac:dyDescent="0.2">
      <c r="A614" s="4" t="s">
        <v>545</v>
      </c>
      <c r="B614" s="27" t="s">
        <v>728</v>
      </c>
      <c r="C614" s="49" t="s">
        <v>933</v>
      </c>
      <c r="D614" s="8" t="s">
        <v>736</v>
      </c>
      <c r="E614" s="5"/>
      <c r="F614" s="19"/>
      <c r="G614" s="15">
        <f t="shared" si="93"/>
        <v>0</v>
      </c>
      <c r="H614" s="15"/>
      <c r="I614" s="16">
        <f t="shared" si="88"/>
        <v>0</v>
      </c>
      <c r="J614" s="35">
        <v>4288.8</v>
      </c>
      <c r="K614" s="16">
        <f t="shared" si="89"/>
        <v>-4288.8</v>
      </c>
      <c r="L614" s="18">
        <f t="shared" si="90"/>
        <v>-1</v>
      </c>
      <c r="M614" s="44">
        <v>8</v>
      </c>
    </row>
    <row r="615" spans="1:13" ht="45" customHeight="1" x14ac:dyDescent="0.2">
      <c r="A615" s="4" t="s">
        <v>545</v>
      </c>
      <c r="B615" s="27" t="s">
        <v>729</v>
      </c>
      <c r="C615" s="49" t="s">
        <v>933</v>
      </c>
      <c r="D615" s="8" t="s">
        <v>736</v>
      </c>
      <c r="E615" s="5"/>
      <c r="F615" s="19"/>
      <c r="G615" s="15">
        <f t="shared" si="93"/>
        <v>0</v>
      </c>
      <c r="H615" s="15"/>
      <c r="I615" s="16">
        <f t="shared" si="88"/>
        <v>0</v>
      </c>
      <c r="J615" s="35">
        <v>4288.8</v>
      </c>
      <c r="K615" s="16">
        <f t="shared" si="89"/>
        <v>-4288.8</v>
      </c>
      <c r="L615" s="18">
        <f t="shared" si="90"/>
        <v>-1</v>
      </c>
      <c r="M615" s="44">
        <v>8</v>
      </c>
    </row>
    <row r="616" spans="1:13" ht="45" customHeight="1" x14ac:dyDescent="0.2">
      <c r="A616" s="4" t="s">
        <v>545</v>
      </c>
      <c r="B616" s="27" t="s">
        <v>730</v>
      </c>
      <c r="C616" s="49" t="s">
        <v>934</v>
      </c>
      <c r="D616" s="8" t="s">
        <v>735</v>
      </c>
      <c r="E616" s="5"/>
      <c r="F616" s="19"/>
      <c r="G616" s="15">
        <f t="shared" si="93"/>
        <v>0</v>
      </c>
      <c r="H616" s="15"/>
      <c r="I616" s="16">
        <f t="shared" si="88"/>
        <v>0</v>
      </c>
      <c r="J616" s="35">
        <v>4288.8</v>
      </c>
      <c r="K616" s="16">
        <f t="shared" si="89"/>
        <v>-4288.8</v>
      </c>
      <c r="L616" s="18">
        <f t="shared" si="90"/>
        <v>-1</v>
      </c>
      <c r="M616" s="44">
        <v>8</v>
      </c>
    </row>
    <row r="617" spans="1:13" ht="45" customHeight="1" x14ac:dyDescent="0.2">
      <c r="A617" s="4" t="s">
        <v>545</v>
      </c>
      <c r="B617" s="27" t="s">
        <v>731</v>
      </c>
      <c r="C617" s="49" t="s">
        <v>934</v>
      </c>
      <c r="D617" s="8" t="s">
        <v>735</v>
      </c>
      <c r="E617" s="5"/>
      <c r="F617" s="19"/>
      <c r="G617" s="15">
        <f t="shared" si="93"/>
        <v>0</v>
      </c>
      <c r="H617" s="15"/>
      <c r="I617" s="16">
        <f t="shared" si="88"/>
        <v>0</v>
      </c>
      <c r="J617" s="35">
        <v>4288.8</v>
      </c>
      <c r="K617" s="16">
        <f t="shared" si="89"/>
        <v>-4288.8</v>
      </c>
      <c r="L617" s="18">
        <f t="shared" si="90"/>
        <v>-1</v>
      </c>
      <c r="M617" s="44">
        <v>8</v>
      </c>
    </row>
    <row r="618" spans="1:13" ht="45" customHeight="1" x14ac:dyDescent="0.2">
      <c r="A618" s="4" t="s">
        <v>545</v>
      </c>
      <c r="B618" s="27" t="s">
        <v>1104</v>
      </c>
      <c r="C618" s="49">
        <v>805342</v>
      </c>
      <c r="D618" s="8" t="s">
        <v>1106</v>
      </c>
      <c r="E618" s="5"/>
      <c r="F618" s="19"/>
      <c r="G618" s="15">
        <f t="shared" si="93"/>
        <v>0</v>
      </c>
      <c r="H618" s="15"/>
      <c r="I618" s="16">
        <f t="shared" si="88"/>
        <v>0</v>
      </c>
      <c r="J618" s="35">
        <v>6778.24</v>
      </c>
      <c r="K618" s="16">
        <f t="shared" si="89"/>
        <v>-6778.24</v>
      </c>
      <c r="L618" s="18">
        <f t="shared" si="90"/>
        <v>-1</v>
      </c>
      <c r="M618" s="44">
        <v>16</v>
      </c>
    </row>
    <row r="619" spans="1:13" ht="45" customHeight="1" x14ac:dyDescent="0.2">
      <c r="A619" s="4" t="s">
        <v>545</v>
      </c>
      <c r="B619" s="27" t="s">
        <v>1105</v>
      </c>
      <c r="C619" s="49">
        <v>805342</v>
      </c>
      <c r="D619" s="8" t="s">
        <v>1106</v>
      </c>
      <c r="E619" s="5"/>
      <c r="F619" s="19"/>
      <c r="G619" s="15">
        <f t="shared" si="93"/>
        <v>0</v>
      </c>
      <c r="H619" s="15"/>
      <c r="I619" s="16">
        <f t="shared" si="88"/>
        <v>0</v>
      </c>
      <c r="J619" s="35">
        <v>6778.24</v>
      </c>
      <c r="K619" s="16">
        <f t="shared" si="89"/>
        <v>-6778.24</v>
      </c>
      <c r="L619" s="18">
        <f t="shared" si="90"/>
        <v>-1</v>
      </c>
      <c r="M619" s="44">
        <v>16</v>
      </c>
    </row>
    <row r="620" spans="1:13" ht="45" customHeight="1" x14ac:dyDescent="0.2">
      <c r="A620" s="4" t="s">
        <v>545</v>
      </c>
      <c r="B620" s="27" t="s">
        <v>1107</v>
      </c>
      <c r="C620" s="49">
        <v>805341</v>
      </c>
      <c r="D620" s="8" t="s">
        <v>1109</v>
      </c>
      <c r="E620" s="5"/>
      <c r="F620" s="19"/>
      <c r="G620" s="15">
        <f t="shared" si="93"/>
        <v>0</v>
      </c>
      <c r="H620" s="15"/>
      <c r="I620" s="16">
        <f t="shared" si="88"/>
        <v>0</v>
      </c>
      <c r="J620" s="35">
        <v>6778.24</v>
      </c>
      <c r="K620" s="16">
        <f t="shared" si="89"/>
        <v>-6778.24</v>
      </c>
      <c r="L620" s="18">
        <f t="shared" si="90"/>
        <v>-1</v>
      </c>
      <c r="M620" s="44">
        <v>16</v>
      </c>
    </row>
    <row r="621" spans="1:13" ht="45" customHeight="1" x14ac:dyDescent="0.2">
      <c r="A621" s="4" t="s">
        <v>545</v>
      </c>
      <c r="B621" s="27" t="s">
        <v>1108</v>
      </c>
      <c r="C621" s="49">
        <v>805341</v>
      </c>
      <c r="D621" s="8" t="s">
        <v>1109</v>
      </c>
      <c r="E621" s="5"/>
      <c r="F621" s="19"/>
      <c r="G621" s="15">
        <f t="shared" si="93"/>
        <v>0</v>
      </c>
      <c r="H621" s="15"/>
      <c r="I621" s="16">
        <f t="shared" si="88"/>
        <v>0</v>
      </c>
      <c r="J621" s="35">
        <v>6778.24</v>
      </c>
      <c r="K621" s="16">
        <f t="shared" si="89"/>
        <v>-6778.24</v>
      </c>
      <c r="L621" s="18">
        <f t="shared" si="90"/>
        <v>-1</v>
      </c>
      <c r="M621" s="44">
        <v>16</v>
      </c>
    </row>
    <row r="622" spans="1:13" ht="45" customHeight="1" x14ac:dyDescent="0.2">
      <c r="A622" s="4" t="s">
        <v>545</v>
      </c>
      <c r="B622" s="27" t="s">
        <v>1110</v>
      </c>
      <c r="C622" s="49">
        <v>805345</v>
      </c>
      <c r="D622" s="8" t="s">
        <v>1111</v>
      </c>
      <c r="E622" s="5"/>
      <c r="F622" s="19"/>
      <c r="G622" s="15">
        <f t="shared" si="93"/>
        <v>0</v>
      </c>
      <c r="H622" s="15"/>
      <c r="I622" s="16">
        <f t="shared" si="88"/>
        <v>0</v>
      </c>
      <c r="J622" s="35">
        <v>6778.24</v>
      </c>
      <c r="K622" s="16">
        <f t="shared" si="89"/>
        <v>-6778.24</v>
      </c>
      <c r="L622" s="18">
        <f t="shared" si="90"/>
        <v>-1</v>
      </c>
      <c r="M622" s="44">
        <v>16</v>
      </c>
    </row>
    <row r="623" spans="1:13" ht="45" customHeight="1" x14ac:dyDescent="0.2">
      <c r="A623" s="4" t="s">
        <v>545</v>
      </c>
      <c r="B623" s="27" t="s">
        <v>1112</v>
      </c>
      <c r="C623" s="49">
        <v>805345</v>
      </c>
      <c r="D623" s="8" t="s">
        <v>1111</v>
      </c>
      <c r="E623" s="5"/>
      <c r="F623" s="19"/>
      <c r="G623" s="15">
        <f t="shared" si="93"/>
        <v>0</v>
      </c>
      <c r="H623" s="15"/>
      <c r="I623" s="16">
        <f t="shared" si="88"/>
        <v>0</v>
      </c>
      <c r="J623" s="35">
        <v>6778.24</v>
      </c>
      <c r="K623" s="16">
        <f t="shared" si="89"/>
        <v>-6778.24</v>
      </c>
      <c r="L623" s="18">
        <f t="shared" si="90"/>
        <v>-1</v>
      </c>
      <c r="M623" s="44">
        <v>16</v>
      </c>
    </row>
    <row r="624" spans="1:13" ht="45" customHeight="1" x14ac:dyDescent="0.2">
      <c r="A624" s="4" t="s">
        <v>545</v>
      </c>
      <c r="B624" s="27" t="s">
        <v>1113</v>
      </c>
      <c r="C624" s="49">
        <v>805349</v>
      </c>
      <c r="D624" s="8" t="s">
        <v>1115</v>
      </c>
      <c r="E624" s="5"/>
      <c r="F624" s="19"/>
      <c r="G624" s="15">
        <f t="shared" si="93"/>
        <v>0</v>
      </c>
      <c r="H624" s="15"/>
      <c r="I624" s="16">
        <f t="shared" si="88"/>
        <v>0</v>
      </c>
      <c r="J624" s="35">
        <v>6778.24</v>
      </c>
      <c r="K624" s="16">
        <f t="shared" si="89"/>
        <v>-6778.24</v>
      </c>
      <c r="L624" s="18">
        <f t="shared" si="90"/>
        <v>-1</v>
      </c>
      <c r="M624" s="44">
        <v>16</v>
      </c>
    </row>
    <row r="625" spans="1:13" ht="45" customHeight="1" x14ac:dyDescent="0.2">
      <c r="A625" s="4" t="s">
        <v>545</v>
      </c>
      <c r="B625" s="27" t="s">
        <v>1114</v>
      </c>
      <c r="C625" s="49">
        <v>805349</v>
      </c>
      <c r="D625" s="8" t="s">
        <v>1115</v>
      </c>
      <c r="E625" s="5"/>
      <c r="F625" s="19"/>
      <c r="G625" s="15">
        <f t="shared" si="93"/>
        <v>0</v>
      </c>
      <c r="H625" s="15"/>
      <c r="I625" s="16">
        <f t="shared" si="88"/>
        <v>0</v>
      </c>
      <c r="J625" s="35">
        <v>6778.24</v>
      </c>
      <c r="K625" s="16">
        <f t="shared" si="89"/>
        <v>-6778.24</v>
      </c>
      <c r="L625" s="18">
        <f t="shared" si="90"/>
        <v>-1</v>
      </c>
      <c r="M625" s="44">
        <v>16</v>
      </c>
    </row>
    <row r="626" spans="1:13" ht="45" customHeight="1" x14ac:dyDescent="0.2">
      <c r="A626" s="4" t="s">
        <v>545</v>
      </c>
      <c r="B626" s="27" t="s">
        <v>1291</v>
      </c>
      <c r="C626" s="49">
        <v>805163</v>
      </c>
      <c r="D626" s="8" t="s">
        <v>1317</v>
      </c>
      <c r="E626" s="5"/>
      <c r="F626" s="19"/>
      <c r="G626" s="15"/>
      <c r="H626" s="15"/>
      <c r="I626" s="16"/>
      <c r="J626" s="35">
        <v>41784</v>
      </c>
      <c r="K626" s="16"/>
      <c r="L626" s="18"/>
      <c r="M626" s="44">
        <v>1</v>
      </c>
    </row>
    <row r="627" spans="1:13" ht="45" customHeight="1" x14ac:dyDescent="0.2">
      <c r="A627" s="4" t="s">
        <v>542</v>
      </c>
      <c r="B627" s="27" t="s">
        <v>36</v>
      </c>
      <c r="C627" s="49" t="s">
        <v>1489</v>
      </c>
      <c r="D627" s="4" t="s">
        <v>37</v>
      </c>
      <c r="E627" s="5">
        <v>6990</v>
      </c>
      <c r="F627" s="3" t="s">
        <v>467</v>
      </c>
      <c r="G627" s="15">
        <f>IF(F627&gt;"15%",E627*F627,IF(E627&gt;=19990,F627*E627,IF(E627&gt;=9990,F627*E627+1000,F627*E627+700)))</f>
        <v>1258.2</v>
      </c>
      <c r="H627" s="15">
        <f>IF(E627&gt;=19990,"ACTIVAR",0)</f>
        <v>0</v>
      </c>
      <c r="I627" s="16">
        <f t="shared" ref="I627:I644" si="94">E627-G627-H627</f>
        <v>5731.8</v>
      </c>
      <c r="J627" s="17">
        <v>3808</v>
      </c>
      <c r="K627" s="16">
        <f t="shared" ref="K627:K644" si="95">I627-J627</f>
        <v>1923.8000000000002</v>
      </c>
      <c r="L627" s="18">
        <f t="shared" ref="L627:L644" si="96">K627/J627</f>
        <v>0.50519957983193287</v>
      </c>
      <c r="M627" s="44">
        <v>1</v>
      </c>
    </row>
    <row r="628" spans="1:13" ht="45" customHeight="1" x14ac:dyDescent="0.2">
      <c r="A628" s="4" t="s">
        <v>542</v>
      </c>
      <c r="B628" s="27" t="s">
        <v>48</v>
      </c>
      <c r="C628" s="49" t="s">
        <v>1490</v>
      </c>
      <c r="D628" s="4" t="s">
        <v>49</v>
      </c>
      <c r="E628" s="5">
        <v>7811</v>
      </c>
      <c r="F628" s="3" t="s">
        <v>467</v>
      </c>
      <c r="G628" s="15">
        <f>IF(F628&gt;"15%",E628*F628,IF(E628&gt;=19990,F628*E628,IF(E628&gt;=9990,F628*E628+1000,F628*E628+700)))</f>
        <v>1405.98</v>
      </c>
      <c r="H628" s="15">
        <f>IF(E628&gt;=19990,"ACTIVAR",0)</f>
        <v>0</v>
      </c>
      <c r="I628" s="16">
        <f t="shared" si="94"/>
        <v>6405.02</v>
      </c>
      <c r="J628" s="17">
        <v>3558.1</v>
      </c>
      <c r="K628" s="16">
        <f t="shared" si="95"/>
        <v>2846.9200000000005</v>
      </c>
      <c r="L628" s="18">
        <f t="shared" si="96"/>
        <v>0.80012366150473579</v>
      </c>
      <c r="M628" s="44">
        <v>1</v>
      </c>
    </row>
    <row r="629" spans="1:13" ht="45" customHeight="1" x14ac:dyDescent="0.2">
      <c r="A629" s="4" t="s">
        <v>542</v>
      </c>
      <c r="B629" s="27" t="s">
        <v>57</v>
      </c>
      <c r="C629" s="49" t="s">
        <v>1491</v>
      </c>
      <c r="D629" s="4" t="s">
        <v>58</v>
      </c>
      <c r="E629" s="5">
        <v>33436</v>
      </c>
      <c r="F629" s="3" t="s">
        <v>472</v>
      </c>
      <c r="G629" s="15">
        <f>IF(F629&gt;"15%",E629*F629,IF(E629&gt;=19990,F629*E629,IF(E629&gt;=9990,F629*E629+1000,F629*E629+700)))</f>
        <v>4346.68</v>
      </c>
      <c r="H629" s="15">
        <v>3150</v>
      </c>
      <c r="I629" s="16">
        <f t="shared" si="94"/>
        <v>25939.32</v>
      </c>
      <c r="J629" s="35">
        <v>16660</v>
      </c>
      <c r="K629" s="16">
        <f t="shared" si="95"/>
        <v>9279.32</v>
      </c>
      <c r="L629" s="18">
        <f t="shared" si="96"/>
        <v>0.5569819927971188</v>
      </c>
      <c r="M629" s="44">
        <v>12</v>
      </c>
    </row>
    <row r="630" spans="1:13" ht="45" customHeight="1" x14ac:dyDescent="0.2">
      <c r="A630" s="4" t="s">
        <v>542</v>
      </c>
      <c r="B630" s="27" t="s">
        <v>219</v>
      </c>
      <c r="C630" s="49" t="s">
        <v>1492</v>
      </c>
      <c r="D630" s="4" t="s">
        <v>220</v>
      </c>
      <c r="E630" s="5">
        <v>9627</v>
      </c>
      <c r="F630" s="3" t="s">
        <v>467</v>
      </c>
      <c r="G630" s="15">
        <f>IF(F630&gt;"15%",E630*F630,IF(E630&gt;=19990,F630*E630,IF(E630&gt;=9990,F630*E630+1000,F630*E630+700)))</f>
        <v>1732.86</v>
      </c>
      <c r="H630" s="15">
        <f>IF(E630&gt;=19990,"ACTIVAR",0)</f>
        <v>0</v>
      </c>
      <c r="I630" s="16">
        <f t="shared" si="94"/>
        <v>7894.14</v>
      </c>
      <c r="J630" s="17">
        <v>4760</v>
      </c>
      <c r="K630" s="16">
        <f t="shared" si="95"/>
        <v>3134.1400000000003</v>
      </c>
      <c r="L630" s="18">
        <f t="shared" si="96"/>
        <v>0.65843277310924375</v>
      </c>
      <c r="M630" s="44">
        <v>72</v>
      </c>
    </row>
    <row r="631" spans="1:13" ht="45" customHeight="1" x14ac:dyDescent="0.2">
      <c r="A631" s="4" t="s">
        <v>542</v>
      </c>
      <c r="B631" s="27" t="s">
        <v>508</v>
      </c>
      <c r="C631" s="49" t="s">
        <v>915</v>
      </c>
      <c r="D631" s="8" t="s">
        <v>530</v>
      </c>
      <c r="E631" s="5">
        <v>12400</v>
      </c>
      <c r="F631" s="19">
        <v>0.18</v>
      </c>
      <c r="G631" s="15">
        <f t="shared" ref="G631:G644" si="97">E631*F631</f>
        <v>2232</v>
      </c>
      <c r="H631" s="15">
        <f>IF(E631&gt;=19990,"ACTIVAR",0)</f>
        <v>0</v>
      </c>
      <c r="I631" s="16">
        <f t="shared" si="94"/>
        <v>10168</v>
      </c>
      <c r="J631" s="17">
        <v>7140</v>
      </c>
      <c r="K631" s="16">
        <f t="shared" si="95"/>
        <v>3028</v>
      </c>
      <c r="L631" s="18">
        <f t="shared" si="96"/>
        <v>0.42408963585434173</v>
      </c>
      <c r="M631" s="44">
        <v>1</v>
      </c>
    </row>
    <row r="632" spans="1:13" ht="45" customHeight="1" x14ac:dyDescent="0.2">
      <c r="A632" s="4" t="s">
        <v>542</v>
      </c>
      <c r="B632" s="27" t="s">
        <v>509</v>
      </c>
      <c r="C632" s="49" t="s">
        <v>915</v>
      </c>
      <c r="D632" s="8" t="s">
        <v>530</v>
      </c>
      <c r="E632" s="5">
        <v>12400</v>
      </c>
      <c r="F632" s="19">
        <v>0.18</v>
      </c>
      <c r="G632" s="15">
        <f t="shared" si="97"/>
        <v>2232</v>
      </c>
      <c r="H632" s="15">
        <f>IF(E632&gt;=19990,"ACTIVAR",0)</f>
        <v>0</v>
      </c>
      <c r="I632" s="16">
        <f t="shared" si="94"/>
        <v>10168</v>
      </c>
      <c r="J632" s="17">
        <v>7140</v>
      </c>
      <c r="K632" s="16">
        <f t="shared" si="95"/>
        <v>3028</v>
      </c>
      <c r="L632" s="18">
        <f t="shared" si="96"/>
        <v>0.42408963585434173</v>
      </c>
      <c r="M632" s="44">
        <v>1</v>
      </c>
    </row>
    <row r="633" spans="1:13" ht="45" customHeight="1" x14ac:dyDescent="0.2">
      <c r="A633" s="4" t="s">
        <v>542</v>
      </c>
      <c r="B633" s="27" t="s">
        <v>510</v>
      </c>
      <c r="C633" s="49" t="s">
        <v>916</v>
      </c>
      <c r="D633" s="8" t="s">
        <v>531</v>
      </c>
      <c r="E633" s="5">
        <v>31000</v>
      </c>
      <c r="F633" s="19">
        <v>0.13</v>
      </c>
      <c r="G633" s="15">
        <f t="shared" si="97"/>
        <v>4030</v>
      </c>
      <c r="H633" s="15">
        <v>3100</v>
      </c>
      <c r="I633" s="16">
        <f t="shared" si="94"/>
        <v>23870</v>
      </c>
      <c r="J633" s="17">
        <v>17838.099999999999</v>
      </c>
      <c r="K633" s="16">
        <f t="shared" si="95"/>
        <v>6031.9000000000015</v>
      </c>
      <c r="L633" s="18">
        <f t="shared" si="96"/>
        <v>0.33814699996075825</v>
      </c>
      <c r="M633" s="44">
        <v>12</v>
      </c>
    </row>
    <row r="634" spans="1:13" ht="45" customHeight="1" x14ac:dyDescent="0.2">
      <c r="A634" s="4" t="s">
        <v>542</v>
      </c>
      <c r="B634" s="27" t="s">
        <v>511</v>
      </c>
      <c r="C634" s="49" t="s">
        <v>916</v>
      </c>
      <c r="D634" s="8" t="s">
        <v>531</v>
      </c>
      <c r="E634" s="5">
        <v>31000</v>
      </c>
      <c r="F634" s="19">
        <v>0.13</v>
      </c>
      <c r="G634" s="15">
        <f t="shared" si="97"/>
        <v>4030</v>
      </c>
      <c r="H634" s="15">
        <v>3100</v>
      </c>
      <c r="I634" s="16">
        <f t="shared" si="94"/>
        <v>23870</v>
      </c>
      <c r="J634" s="17">
        <v>17838.099999999999</v>
      </c>
      <c r="K634" s="16">
        <f t="shared" si="95"/>
        <v>6031.9000000000015</v>
      </c>
      <c r="L634" s="18">
        <f t="shared" si="96"/>
        <v>0.33814699996075825</v>
      </c>
      <c r="M634" s="44">
        <v>12</v>
      </c>
    </row>
    <row r="635" spans="1:13" ht="45" customHeight="1" x14ac:dyDescent="0.2">
      <c r="A635" s="4" t="s">
        <v>542</v>
      </c>
      <c r="B635" s="27" t="s">
        <v>512</v>
      </c>
      <c r="C635" s="49" t="s">
        <v>1493</v>
      </c>
      <c r="D635" s="8" t="s">
        <v>532</v>
      </c>
      <c r="E635" s="5">
        <v>10500</v>
      </c>
      <c r="F635" s="19">
        <v>0.18</v>
      </c>
      <c r="G635" s="15">
        <f t="shared" si="97"/>
        <v>1890</v>
      </c>
      <c r="H635" s="15">
        <f t="shared" ref="H635:H642" si="98">IF(E635&gt;=19990,"ACTIVAR",0)</f>
        <v>0</v>
      </c>
      <c r="I635" s="16">
        <f t="shared" si="94"/>
        <v>8610</v>
      </c>
      <c r="J635" s="17">
        <v>7140</v>
      </c>
      <c r="K635" s="16">
        <f t="shared" si="95"/>
        <v>1470</v>
      </c>
      <c r="L635" s="18">
        <f t="shared" si="96"/>
        <v>0.20588235294117646</v>
      </c>
      <c r="M635" s="44">
        <v>1</v>
      </c>
    </row>
    <row r="636" spans="1:13" ht="45" customHeight="1" x14ac:dyDescent="0.2">
      <c r="A636" s="4" t="s">
        <v>542</v>
      </c>
      <c r="B636" s="27" t="s">
        <v>513</v>
      </c>
      <c r="C636" s="49" t="s">
        <v>1493</v>
      </c>
      <c r="D636" s="8" t="s">
        <v>532</v>
      </c>
      <c r="E636" s="5">
        <v>10500</v>
      </c>
      <c r="F636" s="19">
        <v>0.18</v>
      </c>
      <c r="G636" s="15">
        <f t="shared" si="97"/>
        <v>1890</v>
      </c>
      <c r="H636" s="15">
        <f t="shared" si="98"/>
        <v>0</v>
      </c>
      <c r="I636" s="16">
        <f t="shared" si="94"/>
        <v>8610</v>
      </c>
      <c r="J636" s="17">
        <v>7140</v>
      </c>
      <c r="K636" s="16">
        <f t="shared" si="95"/>
        <v>1470</v>
      </c>
      <c r="L636" s="18">
        <f t="shared" si="96"/>
        <v>0.20588235294117646</v>
      </c>
      <c r="M636" s="44">
        <v>1</v>
      </c>
    </row>
    <row r="637" spans="1:13" ht="45" customHeight="1" x14ac:dyDescent="0.2">
      <c r="A637" s="4" t="s">
        <v>542</v>
      </c>
      <c r="B637" s="27" t="s">
        <v>514</v>
      </c>
      <c r="C637" s="49" t="s">
        <v>917</v>
      </c>
      <c r="D637" s="8" t="s">
        <v>533</v>
      </c>
      <c r="E637" s="5">
        <v>6964</v>
      </c>
      <c r="F637" s="19">
        <v>0.18</v>
      </c>
      <c r="G637" s="15">
        <f t="shared" si="97"/>
        <v>1253.52</v>
      </c>
      <c r="H637" s="15">
        <f t="shared" si="98"/>
        <v>0</v>
      </c>
      <c r="I637" s="16">
        <f t="shared" si="94"/>
        <v>5710.48</v>
      </c>
      <c r="J637" s="17">
        <v>3570</v>
      </c>
      <c r="K637" s="16">
        <f t="shared" si="95"/>
        <v>2140.4799999999996</v>
      </c>
      <c r="L637" s="18">
        <f t="shared" si="96"/>
        <v>0.59957422969187668</v>
      </c>
      <c r="M637" s="44">
        <v>1</v>
      </c>
    </row>
    <row r="638" spans="1:13" ht="45" customHeight="1" x14ac:dyDescent="0.2">
      <c r="A638" s="4" t="s">
        <v>542</v>
      </c>
      <c r="B638" s="27" t="s">
        <v>515</v>
      </c>
      <c r="C638" s="49" t="s">
        <v>917</v>
      </c>
      <c r="D638" s="8" t="s">
        <v>533</v>
      </c>
      <c r="E638" s="5">
        <v>9700</v>
      </c>
      <c r="F638" s="19">
        <v>0.18</v>
      </c>
      <c r="G638" s="15">
        <f t="shared" si="97"/>
        <v>1746</v>
      </c>
      <c r="H638" s="15">
        <f t="shared" si="98"/>
        <v>0</v>
      </c>
      <c r="I638" s="16">
        <f t="shared" si="94"/>
        <v>7954</v>
      </c>
      <c r="J638" s="17">
        <v>3570</v>
      </c>
      <c r="K638" s="16">
        <f t="shared" si="95"/>
        <v>4384</v>
      </c>
      <c r="L638" s="18">
        <f t="shared" si="96"/>
        <v>1.2280112044817928</v>
      </c>
      <c r="M638" s="44">
        <v>1</v>
      </c>
    </row>
    <row r="639" spans="1:13" ht="45" customHeight="1" x14ac:dyDescent="0.2">
      <c r="A639" s="4" t="s">
        <v>542</v>
      </c>
      <c r="B639" s="27" t="s">
        <v>516</v>
      </c>
      <c r="C639" s="49" t="s">
        <v>918</v>
      </c>
      <c r="D639" s="8" t="s">
        <v>534</v>
      </c>
      <c r="E639" s="5">
        <v>12800</v>
      </c>
      <c r="F639" s="19">
        <v>0.18</v>
      </c>
      <c r="G639" s="15">
        <f t="shared" si="97"/>
        <v>2304</v>
      </c>
      <c r="H639" s="15">
        <f t="shared" si="98"/>
        <v>0</v>
      </c>
      <c r="I639" s="16">
        <f t="shared" si="94"/>
        <v>10496</v>
      </c>
      <c r="J639" s="17">
        <v>8330</v>
      </c>
      <c r="K639" s="16">
        <f t="shared" si="95"/>
        <v>2166</v>
      </c>
      <c r="L639" s="18">
        <f t="shared" si="96"/>
        <v>0.26002400960384153</v>
      </c>
      <c r="M639" s="44">
        <v>1</v>
      </c>
    </row>
    <row r="640" spans="1:13" ht="45" customHeight="1" x14ac:dyDescent="0.2">
      <c r="A640" s="4" t="s">
        <v>542</v>
      </c>
      <c r="B640" s="27" t="s">
        <v>517</v>
      </c>
      <c r="C640" s="49" t="s">
        <v>918</v>
      </c>
      <c r="D640" s="8" t="s">
        <v>534</v>
      </c>
      <c r="E640" s="5">
        <v>12800</v>
      </c>
      <c r="F640" s="19">
        <v>0.18</v>
      </c>
      <c r="G640" s="15">
        <f t="shared" si="97"/>
        <v>2304</v>
      </c>
      <c r="H640" s="15">
        <f t="shared" si="98"/>
        <v>0</v>
      </c>
      <c r="I640" s="16">
        <f t="shared" si="94"/>
        <v>10496</v>
      </c>
      <c r="J640" s="17">
        <v>8330</v>
      </c>
      <c r="K640" s="16">
        <f t="shared" si="95"/>
        <v>2166</v>
      </c>
      <c r="L640" s="18">
        <f t="shared" si="96"/>
        <v>0.26002400960384153</v>
      </c>
      <c r="M640" s="44">
        <v>1</v>
      </c>
    </row>
    <row r="641" spans="1:13" ht="45" customHeight="1" x14ac:dyDescent="0.2">
      <c r="A641" s="4" t="s">
        <v>542</v>
      </c>
      <c r="B641" s="27" t="s">
        <v>566</v>
      </c>
      <c r="C641" s="49" t="s">
        <v>919</v>
      </c>
      <c r="D641" s="8" t="s">
        <v>565</v>
      </c>
      <c r="E641" s="5">
        <v>5800</v>
      </c>
      <c r="F641" s="19">
        <v>0.18</v>
      </c>
      <c r="G641" s="15">
        <f t="shared" si="97"/>
        <v>1044</v>
      </c>
      <c r="H641" s="15">
        <f t="shared" si="98"/>
        <v>0</v>
      </c>
      <c r="I641" s="16">
        <f t="shared" si="94"/>
        <v>4756</v>
      </c>
      <c r="J641" s="17">
        <v>4284</v>
      </c>
      <c r="K641" s="16">
        <f t="shared" si="95"/>
        <v>472</v>
      </c>
      <c r="L641" s="18">
        <f t="shared" si="96"/>
        <v>0.11017740429505135</v>
      </c>
      <c r="M641" s="44">
        <v>1</v>
      </c>
    </row>
    <row r="642" spans="1:13" ht="45" customHeight="1" x14ac:dyDescent="0.2">
      <c r="A642" s="4" t="s">
        <v>542</v>
      </c>
      <c r="B642" s="27" t="s">
        <v>567</v>
      </c>
      <c r="C642" s="49" t="s">
        <v>919</v>
      </c>
      <c r="D642" s="8" t="s">
        <v>565</v>
      </c>
      <c r="E642" s="5">
        <v>6800</v>
      </c>
      <c r="F642" s="19">
        <v>0.18</v>
      </c>
      <c r="G642" s="15">
        <f t="shared" si="97"/>
        <v>1224</v>
      </c>
      <c r="H642" s="15">
        <f t="shared" si="98"/>
        <v>0</v>
      </c>
      <c r="I642" s="16">
        <f t="shared" si="94"/>
        <v>5576</v>
      </c>
      <c r="J642" s="17">
        <v>4284</v>
      </c>
      <c r="K642" s="16">
        <f t="shared" si="95"/>
        <v>1292</v>
      </c>
      <c r="L642" s="18">
        <f t="shared" si="96"/>
        <v>0.30158730158730157</v>
      </c>
      <c r="M642" s="44">
        <v>1</v>
      </c>
    </row>
    <row r="643" spans="1:13" ht="45" customHeight="1" x14ac:dyDescent="0.2">
      <c r="A643" s="4" t="s">
        <v>542</v>
      </c>
      <c r="B643" s="27" t="s">
        <v>1099</v>
      </c>
      <c r="C643" s="49" t="s">
        <v>1494</v>
      </c>
      <c r="D643" s="8" t="s">
        <v>1101</v>
      </c>
      <c r="E643" s="5"/>
      <c r="F643" s="19"/>
      <c r="G643" s="15">
        <f t="shared" si="97"/>
        <v>0</v>
      </c>
      <c r="H643" s="15"/>
      <c r="I643" s="16">
        <f t="shared" si="94"/>
        <v>0</v>
      </c>
      <c r="J643" s="35">
        <v>16660</v>
      </c>
      <c r="K643" s="16">
        <f t="shared" si="95"/>
        <v>-16660</v>
      </c>
      <c r="L643" s="18">
        <f t="shared" si="96"/>
        <v>-1</v>
      </c>
      <c r="M643" s="44">
        <v>12</v>
      </c>
    </row>
    <row r="644" spans="1:13" ht="45" customHeight="1" x14ac:dyDescent="0.2">
      <c r="A644" s="4" t="s">
        <v>542</v>
      </c>
      <c r="B644" s="27" t="s">
        <v>1100</v>
      </c>
      <c r="C644" s="49" t="s">
        <v>1494</v>
      </c>
      <c r="D644" s="8" t="s">
        <v>1101</v>
      </c>
      <c r="E644" s="5"/>
      <c r="F644" s="19"/>
      <c r="G644" s="15">
        <f t="shared" si="97"/>
        <v>0</v>
      </c>
      <c r="H644" s="15"/>
      <c r="I644" s="16">
        <f t="shared" si="94"/>
        <v>0</v>
      </c>
      <c r="J644" s="35">
        <v>16660</v>
      </c>
      <c r="K644" s="16">
        <f t="shared" si="95"/>
        <v>-16660</v>
      </c>
      <c r="L644" s="18">
        <f t="shared" si="96"/>
        <v>-1</v>
      </c>
      <c r="M644" s="44">
        <v>12</v>
      </c>
    </row>
    <row r="645" spans="1:13" ht="45" customHeight="1" x14ac:dyDescent="0.2">
      <c r="A645" s="4" t="s">
        <v>542</v>
      </c>
      <c r="B645" s="27" t="s">
        <v>1283</v>
      </c>
      <c r="C645" s="49" t="s">
        <v>1495</v>
      </c>
      <c r="D645" s="8" t="s">
        <v>1284</v>
      </c>
      <c r="E645" s="5"/>
      <c r="F645" s="19"/>
      <c r="G645" s="15"/>
      <c r="H645" s="15"/>
      <c r="I645" s="16"/>
      <c r="J645" s="35">
        <v>1</v>
      </c>
      <c r="K645" s="16"/>
      <c r="L645" s="18"/>
      <c r="M645" s="44">
        <v>1</v>
      </c>
    </row>
    <row r="646" spans="1:13" ht="45" customHeight="1" x14ac:dyDescent="0.2">
      <c r="A646" s="4" t="s">
        <v>542</v>
      </c>
      <c r="B646" s="27" t="s">
        <v>1292</v>
      </c>
      <c r="C646" s="49" t="s">
        <v>1496</v>
      </c>
      <c r="D646" s="8" t="s">
        <v>1318</v>
      </c>
      <c r="E646" s="5"/>
      <c r="F646" s="19"/>
      <c r="G646" s="15"/>
      <c r="H646" s="15"/>
      <c r="I646" s="16"/>
      <c r="J646" s="35">
        <v>3570</v>
      </c>
      <c r="K646" s="16"/>
      <c r="L646" s="18"/>
      <c r="M646" s="44">
        <v>1</v>
      </c>
    </row>
    <row r="647" spans="1:13" ht="45" customHeight="1" x14ac:dyDescent="0.2">
      <c r="A647" s="4" t="s">
        <v>542</v>
      </c>
      <c r="B647" s="27" t="s">
        <v>1293</v>
      </c>
      <c r="C647" s="49" t="s">
        <v>1496</v>
      </c>
      <c r="D647" s="8" t="s">
        <v>1318</v>
      </c>
      <c r="E647" s="5"/>
      <c r="F647" s="19"/>
      <c r="G647" s="15"/>
      <c r="H647" s="15"/>
      <c r="I647" s="16"/>
      <c r="J647" s="35">
        <v>3570</v>
      </c>
      <c r="K647" s="16"/>
      <c r="L647" s="18"/>
      <c r="M647" s="44">
        <v>1</v>
      </c>
    </row>
    <row r="648" spans="1:13" ht="45" customHeight="1" x14ac:dyDescent="0.2">
      <c r="A648" s="4" t="s">
        <v>542</v>
      </c>
      <c r="B648" s="27" t="s">
        <v>1353</v>
      </c>
      <c r="C648" s="49" t="s">
        <v>1495</v>
      </c>
      <c r="D648" s="8" t="s">
        <v>1354</v>
      </c>
      <c r="E648" s="5"/>
      <c r="F648" s="19"/>
      <c r="G648" s="15"/>
      <c r="H648" s="15"/>
      <c r="I648" s="16"/>
      <c r="J648" s="35">
        <v>1</v>
      </c>
      <c r="K648" s="16"/>
      <c r="L648" s="18"/>
      <c r="M648" s="44">
        <v>1</v>
      </c>
    </row>
    <row r="649" spans="1:13" ht="45" customHeight="1" x14ac:dyDescent="0.2">
      <c r="A649" s="4" t="s">
        <v>539</v>
      </c>
      <c r="B649" s="27" t="s">
        <v>1497</v>
      </c>
      <c r="C649" s="49" t="s">
        <v>1498</v>
      </c>
      <c r="D649" s="8" t="s">
        <v>1499</v>
      </c>
      <c r="E649" s="5"/>
      <c r="F649" s="19"/>
      <c r="G649" s="15"/>
      <c r="H649" s="15"/>
      <c r="I649" s="16"/>
      <c r="J649" s="35">
        <v>5850</v>
      </c>
      <c r="K649" s="16"/>
      <c r="L649" s="18"/>
      <c r="M649" s="44"/>
    </row>
    <row r="650" spans="1:13" ht="45" customHeight="1" x14ac:dyDescent="0.2">
      <c r="A650" s="4" t="s">
        <v>539</v>
      </c>
      <c r="B650" s="27" t="s">
        <v>1500</v>
      </c>
      <c r="C650" s="49" t="s">
        <v>1501</v>
      </c>
      <c r="D650" s="8" t="s">
        <v>1502</v>
      </c>
      <c r="E650" s="5"/>
      <c r="F650" s="19"/>
      <c r="G650" s="15"/>
      <c r="H650" s="15"/>
      <c r="I650" s="16"/>
      <c r="J650" s="35">
        <v>3600</v>
      </c>
      <c r="K650" s="16"/>
      <c r="L650" s="18"/>
      <c r="M650" s="44"/>
    </row>
    <row r="651" spans="1:13" ht="45" customHeight="1" x14ac:dyDescent="0.2">
      <c r="A651" s="4" t="s">
        <v>539</v>
      </c>
      <c r="B651" s="27" t="s">
        <v>1503</v>
      </c>
      <c r="C651" s="49" t="s">
        <v>1504</v>
      </c>
      <c r="D651" s="8" t="s">
        <v>1505</v>
      </c>
      <c r="E651" s="5"/>
      <c r="F651" s="19"/>
      <c r="G651" s="15"/>
      <c r="H651" s="15"/>
      <c r="I651" s="16"/>
      <c r="J651" s="35">
        <v>7200</v>
      </c>
      <c r="K651" s="16"/>
      <c r="L651" s="18"/>
      <c r="M651" s="44"/>
    </row>
    <row r="652" spans="1:13" ht="45" customHeight="1" x14ac:dyDescent="0.2">
      <c r="A652" s="4" t="s">
        <v>539</v>
      </c>
      <c r="B652" s="27" t="s">
        <v>1506</v>
      </c>
      <c r="C652" s="49" t="s">
        <v>1507</v>
      </c>
      <c r="D652" s="8" t="s">
        <v>1508</v>
      </c>
      <c r="E652" s="5"/>
      <c r="F652" s="19"/>
      <c r="G652" s="15"/>
      <c r="H652" s="15"/>
      <c r="I652" s="16"/>
      <c r="J652" s="35">
        <v>7200</v>
      </c>
      <c r="K652" s="16"/>
      <c r="L652" s="18"/>
      <c r="M652" s="44"/>
    </row>
    <row r="653" spans="1:13" ht="45" customHeight="1" x14ac:dyDescent="0.2">
      <c r="A653" s="4" t="s">
        <v>539</v>
      </c>
      <c r="B653" s="27" t="s">
        <v>1509</v>
      </c>
      <c r="C653" s="49" t="s">
        <v>1510</v>
      </c>
      <c r="D653" s="8" t="s">
        <v>1511</v>
      </c>
      <c r="E653" s="5"/>
      <c r="F653" s="19"/>
      <c r="G653" s="15"/>
      <c r="H653" s="15"/>
      <c r="I653" s="16"/>
      <c r="J653" s="35">
        <v>8400</v>
      </c>
      <c r="K653" s="16"/>
      <c r="L653" s="18"/>
      <c r="M653" s="44"/>
    </row>
    <row r="654" spans="1:13" ht="45" customHeight="1" x14ac:dyDescent="0.2">
      <c r="A654" s="4" t="s">
        <v>539</v>
      </c>
      <c r="B654" s="27" t="s">
        <v>1512</v>
      </c>
      <c r="C654" s="49" t="s">
        <v>1513</v>
      </c>
      <c r="D654" s="8" t="s">
        <v>1514</v>
      </c>
      <c r="E654" s="5"/>
      <c r="F654" s="19"/>
      <c r="G654" s="15"/>
      <c r="H654" s="15"/>
      <c r="I654" s="16"/>
      <c r="J654" s="35">
        <v>3780</v>
      </c>
      <c r="K654" s="16"/>
      <c r="L654" s="18"/>
      <c r="M654" s="44"/>
    </row>
    <row r="655" spans="1:13" ht="45" customHeight="1" x14ac:dyDescent="0.2">
      <c r="A655" s="4" t="s">
        <v>539</v>
      </c>
      <c r="B655" s="27" t="s">
        <v>1515</v>
      </c>
      <c r="C655" s="49" t="s">
        <v>1516</v>
      </c>
      <c r="D655" s="8" t="s">
        <v>1517</v>
      </c>
      <c r="E655" s="5"/>
      <c r="F655" s="19"/>
      <c r="G655" s="15"/>
      <c r="H655" s="15"/>
      <c r="I655" s="16"/>
      <c r="J655" s="35">
        <v>3360</v>
      </c>
      <c r="K655" s="16"/>
      <c r="L655" s="18"/>
      <c r="M655" s="44"/>
    </row>
    <row r="656" spans="1:13" ht="45" customHeight="1" x14ac:dyDescent="0.2">
      <c r="A656" s="4" t="s">
        <v>539</v>
      </c>
      <c r="B656" s="27" t="s">
        <v>1518</v>
      </c>
      <c r="C656" s="49" t="s">
        <v>1519</v>
      </c>
      <c r="D656" s="8" t="s">
        <v>1520</v>
      </c>
      <c r="E656" s="5"/>
      <c r="F656" s="19"/>
      <c r="G656" s="15"/>
      <c r="H656" s="15"/>
      <c r="I656" s="16"/>
      <c r="J656" s="35">
        <v>2925</v>
      </c>
      <c r="K656" s="16"/>
      <c r="L656" s="18"/>
      <c r="M656" s="44"/>
    </row>
    <row r="657" spans="1:13" ht="45" customHeight="1" x14ac:dyDescent="0.2">
      <c r="A657" s="4" t="s">
        <v>539</v>
      </c>
      <c r="B657" s="27" t="s">
        <v>1521</v>
      </c>
      <c r="C657" s="49" t="s">
        <v>1522</v>
      </c>
      <c r="D657" s="8" t="s">
        <v>1523</v>
      </c>
      <c r="E657" s="5"/>
      <c r="F657" s="19"/>
      <c r="G657" s="15"/>
      <c r="H657" s="15"/>
      <c r="I657" s="16"/>
      <c r="J657" s="35">
        <v>1980</v>
      </c>
      <c r="K657" s="16"/>
      <c r="L657" s="18"/>
      <c r="M657" s="44"/>
    </row>
    <row r="658" spans="1:13" ht="45" customHeight="1" x14ac:dyDescent="0.2">
      <c r="A658" s="4" t="s">
        <v>539</v>
      </c>
      <c r="B658" s="27" t="s">
        <v>1524</v>
      </c>
      <c r="C658" s="52" t="s">
        <v>1525</v>
      </c>
      <c r="D658" s="8" t="s">
        <v>1526</v>
      </c>
      <c r="E658" s="5"/>
      <c r="F658" s="19"/>
      <c r="G658" s="15"/>
      <c r="H658" s="15"/>
      <c r="I658" s="16"/>
      <c r="J658" s="35">
        <v>2925</v>
      </c>
      <c r="K658" s="16"/>
      <c r="L658" s="18"/>
      <c r="M658" s="44"/>
    </row>
    <row r="659" spans="1:13" ht="45" customHeight="1" x14ac:dyDescent="0.2">
      <c r="A659" s="27" t="s">
        <v>539</v>
      </c>
      <c r="B659" s="27" t="s">
        <v>1527</v>
      </c>
      <c r="C659" s="52" t="s">
        <v>1528</v>
      </c>
      <c r="D659" s="28" t="s">
        <v>1529</v>
      </c>
      <c r="E659" s="29"/>
      <c r="F659" s="30"/>
      <c r="G659" s="31">
        <f t="shared" ref="G659:G700" si="99">E659*F659</f>
        <v>0</v>
      </c>
      <c r="H659" s="31"/>
      <c r="I659" s="32">
        <f t="shared" ref="I659:I700" si="100">E659-G659-H659</f>
        <v>0</v>
      </c>
      <c r="J659" s="35">
        <v>7200</v>
      </c>
      <c r="K659" s="32">
        <f t="shared" ref="K659:K700" si="101">I659-J659</f>
        <v>-7200</v>
      </c>
      <c r="L659" s="34">
        <f t="shared" ref="L659:L700" si="102">K659/J659</f>
        <v>-1</v>
      </c>
      <c r="M659" s="44" t="e">
        <f t="shared" ref="M659:M700" si="103">K659/E659</f>
        <v>#DIV/0!</v>
      </c>
    </row>
    <row r="660" spans="1:13" ht="45" customHeight="1" x14ac:dyDescent="0.2">
      <c r="A660" s="27" t="s">
        <v>539</v>
      </c>
      <c r="B660" s="27" t="s">
        <v>1530</v>
      </c>
      <c r="C660" s="52" t="s">
        <v>1531</v>
      </c>
      <c r="D660" s="28" t="s">
        <v>1532</v>
      </c>
      <c r="E660" s="29"/>
      <c r="F660" s="30"/>
      <c r="G660" s="31">
        <f t="shared" si="99"/>
        <v>0</v>
      </c>
      <c r="H660" s="31"/>
      <c r="I660" s="32">
        <f t="shared" si="100"/>
        <v>0</v>
      </c>
      <c r="J660" s="35">
        <v>2700</v>
      </c>
      <c r="K660" s="32">
        <f t="shared" si="101"/>
        <v>-2700</v>
      </c>
      <c r="L660" s="34">
        <f t="shared" si="102"/>
        <v>-1</v>
      </c>
      <c r="M660" s="44" t="e">
        <f t="shared" si="103"/>
        <v>#DIV/0!</v>
      </c>
    </row>
    <row r="661" spans="1:13" ht="45" customHeight="1" x14ac:dyDescent="0.2">
      <c r="A661" s="27" t="s">
        <v>539</v>
      </c>
      <c r="B661" s="27" t="s">
        <v>1533</v>
      </c>
      <c r="C661" s="52" t="s">
        <v>1534</v>
      </c>
      <c r="D661" s="28" t="s">
        <v>1535</v>
      </c>
      <c r="E661" s="29"/>
      <c r="F661" s="30"/>
      <c r="G661" s="31">
        <f t="shared" si="99"/>
        <v>0</v>
      </c>
      <c r="H661" s="31"/>
      <c r="I661" s="32">
        <f t="shared" si="100"/>
        <v>0</v>
      </c>
      <c r="J661" s="35">
        <v>5400</v>
      </c>
      <c r="K661" s="32">
        <f t="shared" si="101"/>
        <v>-5400</v>
      </c>
      <c r="L661" s="34">
        <f t="shared" si="102"/>
        <v>-1</v>
      </c>
      <c r="M661" s="44" t="e">
        <f t="shared" si="103"/>
        <v>#DIV/0!</v>
      </c>
    </row>
    <row r="662" spans="1:13" ht="45" customHeight="1" x14ac:dyDescent="0.2">
      <c r="A662" s="27" t="s">
        <v>539</v>
      </c>
      <c r="B662" s="27" t="s">
        <v>1536</v>
      </c>
      <c r="C662" s="52" t="s">
        <v>1537</v>
      </c>
      <c r="D662" s="28" t="s">
        <v>1538</v>
      </c>
      <c r="E662" s="29"/>
      <c r="F662" s="30"/>
      <c r="G662" s="31">
        <f t="shared" si="99"/>
        <v>0</v>
      </c>
      <c r="H662" s="31"/>
      <c r="I662" s="32">
        <f t="shared" si="100"/>
        <v>0</v>
      </c>
      <c r="J662" s="35">
        <v>1512</v>
      </c>
      <c r="K662" s="32">
        <f t="shared" si="101"/>
        <v>-1512</v>
      </c>
      <c r="L662" s="34">
        <f t="shared" si="102"/>
        <v>-1</v>
      </c>
      <c r="M662" s="44" t="e">
        <f t="shared" si="103"/>
        <v>#DIV/0!</v>
      </c>
    </row>
    <row r="663" spans="1:13" ht="45" customHeight="1" x14ac:dyDescent="0.2">
      <c r="A663" s="27" t="s">
        <v>549</v>
      </c>
      <c r="B663" s="27" t="s">
        <v>1539</v>
      </c>
      <c r="C663" s="52">
        <v>6942007618915</v>
      </c>
      <c r="D663" s="28" t="s">
        <v>1540</v>
      </c>
      <c r="E663" s="29"/>
      <c r="F663" s="30"/>
      <c r="G663" s="31">
        <f t="shared" si="99"/>
        <v>0</v>
      </c>
      <c r="H663" s="31"/>
      <c r="I663" s="32">
        <f t="shared" si="100"/>
        <v>0</v>
      </c>
      <c r="J663" s="36">
        <v>6000</v>
      </c>
      <c r="K663" s="32">
        <f t="shared" si="101"/>
        <v>-6000</v>
      </c>
      <c r="L663" s="34">
        <f t="shared" si="102"/>
        <v>-1</v>
      </c>
      <c r="M663" s="44" t="e">
        <f t="shared" si="103"/>
        <v>#DIV/0!</v>
      </c>
    </row>
    <row r="664" spans="1:13" ht="45" customHeight="1" x14ac:dyDescent="0.2">
      <c r="A664" s="27" t="s">
        <v>549</v>
      </c>
      <c r="B664" s="27" t="s">
        <v>1541</v>
      </c>
      <c r="C664" s="52">
        <v>6942007618915</v>
      </c>
      <c r="D664" s="28" t="s">
        <v>1540</v>
      </c>
      <c r="E664" s="29"/>
      <c r="F664" s="30"/>
      <c r="G664" s="31">
        <f t="shared" si="99"/>
        <v>0</v>
      </c>
      <c r="H664" s="31"/>
      <c r="I664" s="32">
        <f t="shared" si="100"/>
        <v>0</v>
      </c>
      <c r="J664" s="36">
        <v>6000</v>
      </c>
      <c r="K664" s="32">
        <f t="shared" si="101"/>
        <v>-6000</v>
      </c>
      <c r="L664" s="34">
        <f t="shared" si="102"/>
        <v>-1</v>
      </c>
      <c r="M664" s="44" t="e">
        <f t="shared" si="103"/>
        <v>#DIV/0!</v>
      </c>
    </row>
    <row r="665" spans="1:13" ht="45" customHeight="1" x14ac:dyDescent="0.2">
      <c r="A665" s="27" t="s">
        <v>549</v>
      </c>
      <c r="B665" s="27" t="s">
        <v>1542</v>
      </c>
      <c r="C665" s="52">
        <v>6931474788887</v>
      </c>
      <c r="D665" s="28" t="s">
        <v>1543</v>
      </c>
      <c r="E665" s="29"/>
      <c r="F665" s="30"/>
      <c r="G665" s="31">
        <f t="shared" si="99"/>
        <v>0</v>
      </c>
      <c r="H665" s="31"/>
      <c r="I665" s="32">
        <f t="shared" si="100"/>
        <v>0</v>
      </c>
      <c r="J665" s="36">
        <v>8000</v>
      </c>
      <c r="K665" s="32">
        <f t="shared" si="101"/>
        <v>-8000</v>
      </c>
      <c r="L665" s="34">
        <f t="shared" si="102"/>
        <v>-1</v>
      </c>
      <c r="M665" s="44" t="e">
        <f t="shared" si="103"/>
        <v>#DIV/0!</v>
      </c>
    </row>
    <row r="666" spans="1:13" ht="45" customHeight="1" x14ac:dyDescent="0.2">
      <c r="A666" s="27" t="s">
        <v>549</v>
      </c>
      <c r="B666" s="27" t="s">
        <v>1544</v>
      </c>
      <c r="C666" s="52">
        <v>6931474788887</v>
      </c>
      <c r="D666" s="48" t="s">
        <v>1543</v>
      </c>
      <c r="E666" s="29"/>
      <c r="F666" s="30"/>
      <c r="G666" s="31">
        <f t="shared" si="99"/>
        <v>0</v>
      </c>
      <c r="H666" s="31"/>
      <c r="I666" s="32">
        <f t="shared" si="100"/>
        <v>0</v>
      </c>
      <c r="J666" s="36">
        <v>8000</v>
      </c>
      <c r="K666" s="32">
        <f t="shared" si="101"/>
        <v>-8000</v>
      </c>
      <c r="L666" s="34">
        <f t="shared" si="102"/>
        <v>-1</v>
      </c>
      <c r="M666" s="44" t="e">
        <f t="shared" si="103"/>
        <v>#DIV/0!</v>
      </c>
    </row>
    <row r="667" spans="1:13" ht="45" customHeight="1" x14ac:dyDescent="0.2">
      <c r="A667" s="27" t="s">
        <v>549</v>
      </c>
      <c r="B667" s="27" t="s">
        <v>1545</v>
      </c>
      <c r="C667" s="52">
        <v>6931474788863</v>
      </c>
      <c r="D667" s="28" t="s">
        <v>1546</v>
      </c>
      <c r="E667" s="29"/>
      <c r="F667" s="30"/>
      <c r="G667" s="31">
        <f t="shared" si="99"/>
        <v>0</v>
      </c>
      <c r="H667" s="31"/>
      <c r="I667" s="32">
        <f t="shared" si="100"/>
        <v>0</v>
      </c>
      <c r="J667" s="36">
        <v>8000</v>
      </c>
      <c r="K667" s="32">
        <f t="shared" si="101"/>
        <v>-8000</v>
      </c>
      <c r="L667" s="34">
        <f t="shared" si="102"/>
        <v>-1</v>
      </c>
      <c r="M667" s="44" t="e">
        <f t="shared" si="103"/>
        <v>#DIV/0!</v>
      </c>
    </row>
    <row r="668" spans="1:13" ht="45" customHeight="1" x14ac:dyDescent="0.2">
      <c r="A668" s="27" t="s">
        <v>549</v>
      </c>
      <c r="B668" s="27" t="s">
        <v>1547</v>
      </c>
      <c r="C668" s="52">
        <v>6931474788863</v>
      </c>
      <c r="D668" s="28" t="s">
        <v>1546</v>
      </c>
      <c r="E668" s="29"/>
      <c r="F668" s="30"/>
      <c r="G668" s="31">
        <f t="shared" si="99"/>
        <v>0</v>
      </c>
      <c r="H668" s="31"/>
      <c r="I668" s="32">
        <f t="shared" si="100"/>
        <v>0</v>
      </c>
      <c r="J668" s="36">
        <v>8000</v>
      </c>
      <c r="K668" s="32">
        <f t="shared" si="101"/>
        <v>-8000</v>
      </c>
      <c r="L668" s="34">
        <f t="shared" si="102"/>
        <v>-1</v>
      </c>
      <c r="M668" s="44" t="e">
        <f t="shared" si="103"/>
        <v>#DIV/0!</v>
      </c>
    </row>
    <row r="669" spans="1:13" ht="45" customHeight="1" x14ac:dyDescent="0.2">
      <c r="A669" s="27" t="s">
        <v>549</v>
      </c>
      <c r="B669" s="47" t="s">
        <v>1548</v>
      </c>
      <c r="C669" s="52" t="s">
        <v>1549</v>
      </c>
      <c r="D669" s="39" t="s">
        <v>1550</v>
      </c>
      <c r="E669" s="29"/>
      <c r="F669" s="30"/>
      <c r="G669" s="31">
        <f t="shared" si="99"/>
        <v>0</v>
      </c>
      <c r="H669" s="31"/>
      <c r="I669" s="32">
        <f t="shared" si="100"/>
        <v>0</v>
      </c>
      <c r="J669" s="36">
        <v>7199.9760000000006</v>
      </c>
      <c r="K669" s="32">
        <f t="shared" si="101"/>
        <v>-7199.9760000000006</v>
      </c>
      <c r="L669" s="34">
        <f t="shared" si="102"/>
        <v>-1</v>
      </c>
      <c r="M669" s="44" t="e">
        <f t="shared" si="103"/>
        <v>#DIV/0!</v>
      </c>
    </row>
    <row r="670" spans="1:13" ht="45" customHeight="1" x14ac:dyDescent="0.2">
      <c r="A670" s="27" t="s">
        <v>549</v>
      </c>
      <c r="B670" s="47" t="s">
        <v>1551</v>
      </c>
      <c r="C670" s="52" t="s">
        <v>1549</v>
      </c>
      <c r="D670" s="39" t="s">
        <v>1550</v>
      </c>
      <c r="E670" s="29"/>
      <c r="F670" s="30"/>
      <c r="G670" s="31">
        <f t="shared" si="99"/>
        <v>0</v>
      </c>
      <c r="H670" s="31"/>
      <c r="I670" s="32">
        <f t="shared" si="100"/>
        <v>0</v>
      </c>
      <c r="J670" s="36">
        <v>7199.9760000000006</v>
      </c>
      <c r="K670" s="32">
        <f t="shared" si="101"/>
        <v>-7199.9760000000006</v>
      </c>
      <c r="L670" s="34">
        <f t="shared" si="102"/>
        <v>-1</v>
      </c>
      <c r="M670" s="44" t="e">
        <f t="shared" si="103"/>
        <v>#DIV/0!</v>
      </c>
    </row>
    <row r="671" spans="1:13" ht="45" customHeight="1" x14ac:dyDescent="0.2">
      <c r="A671" s="27" t="s">
        <v>549</v>
      </c>
      <c r="B671" s="47" t="s">
        <v>1552</v>
      </c>
      <c r="C671" s="52" t="s">
        <v>1553</v>
      </c>
      <c r="D671" s="39" t="s">
        <v>1554</v>
      </c>
      <c r="E671" s="29"/>
      <c r="F671" s="30"/>
      <c r="G671" s="31">
        <f t="shared" si="99"/>
        <v>0</v>
      </c>
      <c r="H671" s="31"/>
      <c r="I671" s="32">
        <f t="shared" si="100"/>
        <v>0</v>
      </c>
      <c r="J671" s="36">
        <v>4400.1440000000002</v>
      </c>
      <c r="K671" s="32">
        <f t="shared" si="101"/>
        <v>-4400.1440000000002</v>
      </c>
      <c r="L671" s="34">
        <f t="shared" si="102"/>
        <v>-1</v>
      </c>
      <c r="M671" s="44" t="e">
        <f t="shared" si="103"/>
        <v>#DIV/0!</v>
      </c>
    </row>
    <row r="672" spans="1:13" ht="45" customHeight="1" x14ac:dyDescent="0.2">
      <c r="A672" s="27" t="s">
        <v>549</v>
      </c>
      <c r="B672" s="47" t="s">
        <v>1555</v>
      </c>
      <c r="C672" s="52" t="s">
        <v>1553</v>
      </c>
      <c r="D672" s="39" t="s">
        <v>1554</v>
      </c>
      <c r="E672" s="29"/>
      <c r="F672" s="30"/>
      <c r="G672" s="31">
        <f t="shared" si="99"/>
        <v>0</v>
      </c>
      <c r="H672" s="31"/>
      <c r="I672" s="32">
        <f t="shared" si="100"/>
        <v>0</v>
      </c>
      <c r="J672" s="36">
        <v>4400.1440000000002</v>
      </c>
      <c r="K672" s="32">
        <f t="shared" si="101"/>
        <v>-4400.1440000000002</v>
      </c>
      <c r="L672" s="34">
        <f t="shared" si="102"/>
        <v>-1</v>
      </c>
      <c r="M672" s="44" t="e">
        <f t="shared" si="103"/>
        <v>#DIV/0!</v>
      </c>
    </row>
    <row r="673" spans="1:13" ht="45" customHeight="1" x14ac:dyDescent="0.2">
      <c r="A673" s="27" t="s">
        <v>549</v>
      </c>
      <c r="B673" s="47" t="s">
        <v>1556</v>
      </c>
      <c r="C673" s="52" t="s">
        <v>1557</v>
      </c>
      <c r="D673" s="39" t="s">
        <v>1558</v>
      </c>
      <c r="E673" s="29"/>
      <c r="F673" s="30"/>
      <c r="G673" s="31">
        <f t="shared" si="99"/>
        <v>0</v>
      </c>
      <c r="H673" s="31"/>
      <c r="I673" s="32">
        <f t="shared" si="100"/>
        <v>0</v>
      </c>
      <c r="J673" s="36">
        <v>2399.9920000000002</v>
      </c>
      <c r="K673" s="32">
        <f t="shared" si="101"/>
        <v>-2399.9920000000002</v>
      </c>
      <c r="L673" s="34">
        <f t="shared" si="102"/>
        <v>-1</v>
      </c>
      <c r="M673" s="44" t="e">
        <f t="shared" si="103"/>
        <v>#DIV/0!</v>
      </c>
    </row>
    <row r="674" spans="1:13" ht="45" customHeight="1" x14ac:dyDescent="0.2">
      <c r="A674" s="27" t="s">
        <v>549</v>
      </c>
      <c r="B674" s="47" t="s">
        <v>1559</v>
      </c>
      <c r="C674" s="52" t="s">
        <v>1557</v>
      </c>
      <c r="D674" s="39" t="s">
        <v>1558</v>
      </c>
      <c r="E674" s="29"/>
      <c r="F674" s="30"/>
      <c r="G674" s="31">
        <f t="shared" si="99"/>
        <v>0</v>
      </c>
      <c r="H674" s="31"/>
      <c r="I674" s="32">
        <f t="shared" si="100"/>
        <v>0</v>
      </c>
      <c r="J674" s="36">
        <v>2399.9920000000002</v>
      </c>
      <c r="K674" s="32">
        <f t="shared" si="101"/>
        <v>-2399.9920000000002</v>
      </c>
      <c r="L674" s="34">
        <f t="shared" si="102"/>
        <v>-1</v>
      </c>
      <c r="M674" s="44" t="e">
        <f t="shared" si="103"/>
        <v>#DIV/0!</v>
      </c>
    </row>
    <row r="675" spans="1:13" ht="45" customHeight="1" x14ac:dyDescent="0.2">
      <c r="A675" s="27" t="s">
        <v>549</v>
      </c>
      <c r="B675" s="47" t="s">
        <v>1560</v>
      </c>
      <c r="C675" s="52" t="s">
        <v>1561</v>
      </c>
      <c r="D675" s="39" t="s">
        <v>1562</v>
      </c>
      <c r="E675" s="29"/>
      <c r="F675" s="30"/>
      <c r="G675" s="31">
        <f t="shared" si="99"/>
        <v>0</v>
      </c>
      <c r="H675" s="31"/>
      <c r="I675" s="32">
        <f t="shared" si="100"/>
        <v>0</v>
      </c>
      <c r="J675" s="36">
        <v>6400.2960000000003</v>
      </c>
      <c r="K675" s="32">
        <f t="shared" si="101"/>
        <v>-6400.2960000000003</v>
      </c>
      <c r="L675" s="34">
        <f t="shared" si="102"/>
        <v>-1</v>
      </c>
      <c r="M675" s="44" t="e">
        <f t="shared" si="103"/>
        <v>#DIV/0!</v>
      </c>
    </row>
    <row r="676" spans="1:13" ht="45" customHeight="1" x14ac:dyDescent="0.2">
      <c r="A676" s="27" t="s">
        <v>549</v>
      </c>
      <c r="B676" s="47" t="s">
        <v>1563</v>
      </c>
      <c r="C676" s="52" t="s">
        <v>1561</v>
      </c>
      <c r="D676" s="39" t="s">
        <v>1562</v>
      </c>
      <c r="E676" s="29"/>
      <c r="F676" s="30"/>
      <c r="G676" s="31">
        <f t="shared" si="99"/>
        <v>0</v>
      </c>
      <c r="H676" s="31"/>
      <c r="I676" s="32">
        <f t="shared" si="100"/>
        <v>0</v>
      </c>
      <c r="J676" s="36">
        <v>6400.2960000000003</v>
      </c>
      <c r="K676" s="32">
        <f t="shared" si="101"/>
        <v>-6400.2960000000003</v>
      </c>
      <c r="L676" s="34">
        <f t="shared" si="102"/>
        <v>-1</v>
      </c>
      <c r="M676" s="44" t="e">
        <f t="shared" si="103"/>
        <v>#DIV/0!</v>
      </c>
    </row>
    <row r="677" spans="1:13" ht="45" customHeight="1" x14ac:dyDescent="0.2">
      <c r="A677" s="27" t="s">
        <v>549</v>
      </c>
      <c r="B677" s="47" t="s">
        <v>1564</v>
      </c>
      <c r="C677" s="52" t="s">
        <v>1565</v>
      </c>
      <c r="D677" s="39" t="s">
        <v>1566</v>
      </c>
      <c r="E677" s="29"/>
      <c r="F677" s="30"/>
      <c r="G677" s="31">
        <f t="shared" si="99"/>
        <v>0</v>
      </c>
      <c r="H677" s="31"/>
      <c r="I677" s="32">
        <f t="shared" si="100"/>
        <v>0</v>
      </c>
      <c r="J677" s="36">
        <v>4799.9840000000004</v>
      </c>
      <c r="K677" s="32">
        <f t="shared" si="101"/>
        <v>-4799.9840000000004</v>
      </c>
      <c r="L677" s="34">
        <f t="shared" si="102"/>
        <v>-1</v>
      </c>
      <c r="M677" s="44" t="e">
        <f t="shared" si="103"/>
        <v>#DIV/0!</v>
      </c>
    </row>
    <row r="678" spans="1:13" ht="45" customHeight="1" x14ac:dyDescent="0.2">
      <c r="A678" s="27" t="s">
        <v>549</v>
      </c>
      <c r="B678" s="47" t="s">
        <v>1567</v>
      </c>
      <c r="C678" s="52" t="s">
        <v>1565</v>
      </c>
      <c r="D678" s="39" t="s">
        <v>1566</v>
      </c>
      <c r="E678" s="29"/>
      <c r="F678" s="30"/>
      <c r="G678" s="31">
        <f t="shared" si="99"/>
        <v>0</v>
      </c>
      <c r="H678" s="31"/>
      <c r="I678" s="32">
        <f t="shared" si="100"/>
        <v>0</v>
      </c>
      <c r="J678" s="36">
        <v>4799.9840000000004</v>
      </c>
      <c r="K678" s="32">
        <f t="shared" si="101"/>
        <v>-4799.9840000000004</v>
      </c>
      <c r="L678" s="34">
        <f t="shared" si="102"/>
        <v>-1</v>
      </c>
      <c r="M678" s="44" t="e">
        <f t="shared" si="103"/>
        <v>#DIV/0!</v>
      </c>
    </row>
    <row r="679" spans="1:13" ht="45" customHeight="1" x14ac:dyDescent="0.2">
      <c r="A679" s="27" t="s">
        <v>549</v>
      </c>
      <c r="B679" s="47" t="s">
        <v>1568</v>
      </c>
      <c r="C679" s="52" t="s">
        <v>1569</v>
      </c>
      <c r="D679" s="39" t="s">
        <v>1570</v>
      </c>
      <c r="E679" s="29"/>
      <c r="F679" s="30"/>
      <c r="G679" s="31">
        <f t="shared" si="99"/>
        <v>0</v>
      </c>
      <c r="H679" s="31"/>
      <c r="I679" s="32">
        <f t="shared" si="100"/>
        <v>0</v>
      </c>
      <c r="J679" s="36">
        <v>11999.96</v>
      </c>
      <c r="K679" s="32">
        <f t="shared" si="101"/>
        <v>-11999.96</v>
      </c>
      <c r="L679" s="34">
        <f t="shared" si="102"/>
        <v>-1</v>
      </c>
      <c r="M679" s="44" t="e">
        <f t="shared" si="103"/>
        <v>#DIV/0!</v>
      </c>
    </row>
    <row r="680" spans="1:13" ht="45" customHeight="1" x14ac:dyDescent="0.2">
      <c r="A680" s="27" t="s">
        <v>549</v>
      </c>
      <c r="B680" s="47" t="s">
        <v>1571</v>
      </c>
      <c r="C680" s="52" t="s">
        <v>1569</v>
      </c>
      <c r="D680" s="39" t="s">
        <v>1570</v>
      </c>
      <c r="E680" s="29"/>
      <c r="F680" s="30"/>
      <c r="G680" s="31">
        <f t="shared" si="99"/>
        <v>0</v>
      </c>
      <c r="H680" s="31"/>
      <c r="I680" s="32">
        <f t="shared" si="100"/>
        <v>0</v>
      </c>
      <c r="J680" s="36">
        <v>11999.96</v>
      </c>
      <c r="K680" s="32">
        <f t="shared" si="101"/>
        <v>-11999.96</v>
      </c>
      <c r="L680" s="34">
        <f t="shared" si="102"/>
        <v>-1</v>
      </c>
      <c r="M680" s="44" t="e">
        <f t="shared" si="103"/>
        <v>#DIV/0!</v>
      </c>
    </row>
    <row r="681" spans="1:13" ht="45" customHeight="1" x14ac:dyDescent="0.2">
      <c r="A681" s="27" t="s">
        <v>549</v>
      </c>
      <c r="B681" s="47" t="s">
        <v>1572</v>
      </c>
      <c r="C681" s="52" t="s">
        <v>1573</v>
      </c>
      <c r="D681" s="39" t="s">
        <v>1574</v>
      </c>
      <c r="E681" s="29"/>
      <c r="F681" s="30"/>
      <c r="G681" s="31">
        <f t="shared" si="99"/>
        <v>0</v>
      </c>
      <c r="H681" s="31"/>
      <c r="I681" s="32">
        <f t="shared" si="100"/>
        <v>0</v>
      </c>
      <c r="J681" s="36">
        <v>6400.2960000000003</v>
      </c>
      <c r="K681" s="32">
        <f t="shared" si="101"/>
        <v>-6400.2960000000003</v>
      </c>
      <c r="L681" s="34">
        <f t="shared" si="102"/>
        <v>-1</v>
      </c>
      <c r="M681" s="44" t="e">
        <f t="shared" si="103"/>
        <v>#DIV/0!</v>
      </c>
    </row>
    <row r="682" spans="1:13" ht="45" customHeight="1" x14ac:dyDescent="0.2">
      <c r="A682" s="27" t="s">
        <v>549</v>
      </c>
      <c r="B682" s="47" t="s">
        <v>1575</v>
      </c>
      <c r="C682" s="52" t="s">
        <v>1573</v>
      </c>
      <c r="D682" s="39" t="s">
        <v>1574</v>
      </c>
      <c r="E682" s="29"/>
      <c r="F682" s="30"/>
      <c r="G682" s="31">
        <f t="shared" si="99"/>
        <v>0</v>
      </c>
      <c r="H682" s="31"/>
      <c r="I682" s="32">
        <f t="shared" si="100"/>
        <v>0</v>
      </c>
      <c r="J682" s="36">
        <v>6400.2960000000003</v>
      </c>
      <c r="K682" s="32">
        <f t="shared" si="101"/>
        <v>-6400.2960000000003</v>
      </c>
      <c r="L682" s="34">
        <f t="shared" si="102"/>
        <v>-1</v>
      </c>
      <c r="M682" s="44" t="e">
        <f t="shared" si="103"/>
        <v>#DIV/0!</v>
      </c>
    </row>
    <row r="683" spans="1:13" ht="45" customHeight="1" x14ac:dyDescent="0.2">
      <c r="A683" s="27" t="s">
        <v>549</v>
      </c>
      <c r="B683" s="47" t="s">
        <v>1576</v>
      </c>
      <c r="C683" s="52" t="s">
        <v>1577</v>
      </c>
      <c r="D683" s="39" t="s">
        <v>1578</v>
      </c>
      <c r="E683" s="29"/>
      <c r="F683" s="30"/>
      <c r="G683" s="31">
        <f t="shared" si="99"/>
        <v>0</v>
      </c>
      <c r="H683" s="31"/>
      <c r="I683" s="32">
        <f t="shared" si="100"/>
        <v>0</v>
      </c>
      <c r="J683" s="36">
        <v>48000</v>
      </c>
      <c r="K683" s="32">
        <f t="shared" si="101"/>
        <v>-48000</v>
      </c>
      <c r="L683" s="34">
        <f t="shared" si="102"/>
        <v>-1</v>
      </c>
      <c r="M683" s="44" t="e">
        <f t="shared" si="103"/>
        <v>#DIV/0!</v>
      </c>
    </row>
    <row r="684" spans="1:13" ht="45" customHeight="1" x14ac:dyDescent="0.2">
      <c r="A684" s="27" t="s">
        <v>549</v>
      </c>
      <c r="B684" s="47" t="s">
        <v>1579</v>
      </c>
      <c r="C684" s="52" t="s">
        <v>1577</v>
      </c>
      <c r="D684" s="39" t="s">
        <v>1578</v>
      </c>
      <c r="E684" s="29"/>
      <c r="F684" s="30"/>
      <c r="G684" s="31">
        <f t="shared" si="99"/>
        <v>0</v>
      </c>
      <c r="H684" s="31"/>
      <c r="I684" s="32">
        <f t="shared" si="100"/>
        <v>0</v>
      </c>
      <c r="J684" s="36">
        <v>48000</v>
      </c>
      <c r="K684" s="32">
        <f t="shared" si="101"/>
        <v>-48000</v>
      </c>
      <c r="L684" s="34">
        <f t="shared" si="102"/>
        <v>-1</v>
      </c>
      <c r="M684" s="44" t="e">
        <f t="shared" si="103"/>
        <v>#DIV/0!</v>
      </c>
    </row>
    <row r="685" spans="1:13" ht="45" customHeight="1" x14ac:dyDescent="0.2">
      <c r="A685" s="27" t="s">
        <v>549</v>
      </c>
      <c r="B685" s="47" t="s">
        <v>1580</v>
      </c>
      <c r="C685" s="52" t="s">
        <v>1581</v>
      </c>
      <c r="D685" s="39" t="s">
        <v>1582</v>
      </c>
      <c r="E685" s="29"/>
      <c r="F685" s="30"/>
      <c r="G685" s="31">
        <f t="shared" si="99"/>
        <v>0</v>
      </c>
      <c r="H685" s="31"/>
      <c r="I685" s="32">
        <f t="shared" si="100"/>
        <v>0</v>
      </c>
      <c r="J685" s="36">
        <v>35999.879999999997</v>
      </c>
      <c r="K685" s="32">
        <f t="shared" si="101"/>
        <v>-35999.879999999997</v>
      </c>
      <c r="L685" s="34">
        <f t="shared" si="102"/>
        <v>-1</v>
      </c>
      <c r="M685" s="44" t="e">
        <f t="shared" si="103"/>
        <v>#DIV/0!</v>
      </c>
    </row>
    <row r="686" spans="1:13" ht="45" customHeight="1" x14ac:dyDescent="0.2">
      <c r="A686" s="27" t="s">
        <v>549</v>
      </c>
      <c r="B686" s="47" t="s">
        <v>1583</v>
      </c>
      <c r="C686" s="52" t="s">
        <v>1581</v>
      </c>
      <c r="D686" s="39" t="s">
        <v>1582</v>
      </c>
      <c r="E686" s="29"/>
      <c r="F686" s="30"/>
      <c r="G686" s="31">
        <f t="shared" si="99"/>
        <v>0</v>
      </c>
      <c r="H686" s="31"/>
      <c r="I686" s="32">
        <f t="shared" si="100"/>
        <v>0</v>
      </c>
      <c r="J686" s="36">
        <v>35999.879999999997</v>
      </c>
      <c r="K686" s="32">
        <f t="shared" si="101"/>
        <v>-35999.879999999997</v>
      </c>
      <c r="L686" s="34">
        <f t="shared" si="102"/>
        <v>-1</v>
      </c>
      <c r="M686" s="44" t="e">
        <f t="shared" si="103"/>
        <v>#DIV/0!</v>
      </c>
    </row>
    <row r="687" spans="1:13" ht="45" customHeight="1" x14ac:dyDescent="0.2">
      <c r="A687" s="27" t="s">
        <v>549</v>
      </c>
      <c r="B687" s="47" t="s">
        <v>1584</v>
      </c>
      <c r="C687" s="52" t="s">
        <v>1585</v>
      </c>
      <c r="D687" s="39" t="s">
        <v>1586</v>
      </c>
      <c r="E687" s="29"/>
      <c r="F687" s="30"/>
      <c r="G687" s="31">
        <f t="shared" si="99"/>
        <v>0</v>
      </c>
      <c r="H687" s="31"/>
      <c r="I687" s="32">
        <f t="shared" si="100"/>
        <v>0</v>
      </c>
      <c r="J687" s="36">
        <v>2799.8319999999999</v>
      </c>
      <c r="K687" s="32">
        <f t="shared" si="101"/>
        <v>-2799.8319999999999</v>
      </c>
      <c r="L687" s="34">
        <f t="shared" si="102"/>
        <v>-1</v>
      </c>
      <c r="M687" s="44" t="e">
        <f t="shared" si="103"/>
        <v>#DIV/0!</v>
      </c>
    </row>
    <row r="688" spans="1:13" ht="45" customHeight="1" x14ac:dyDescent="0.2">
      <c r="A688" s="27" t="s">
        <v>549</v>
      </c>
      <c r="B688" s="47" t="s">
        <v>1587</v>
      </c>
      <c r="C688" s="52" t="s">
        <v>1585</v>
      </c>
      <c r="D688" s="39" t="s">
        <v>1586</v>
      </c>
      <c r="E688" s="29"/>
      <c r="F688" s="30"/>
      <c r="G688" s="31">
        <f t="shared" si="99"/>
        <v>0</v>
      </c>
      <c r="H688" s="31"/>
      <c r="I688" s="32">
        <f t="shared" si="100"/>
        <v>0</v>
      </c>
      <c r="J688" s="36">
        <v>2799.8319999999999</v>
      </c>
      <c r="K688" s="32">
        <f t="shared" si="101"/>
        <v>-2799.8319999999999</v>
      </c>
      <c r="L688" s="34">
        <f t="shared" si="102"/>
        <v>-1</v>
      </c>
      <c r="M688" s="44" t="e">
        <f t="shared" si="103"/>
        <v>#DIV/0!</v>
      </c>
    </row>
    <row r="689" spans="1:13" ht="45" customHeight="1" x14ac:dyDescent="0.2">
      <c r="A689" s="27" t="s">
        <v>549</v>
      </c>
      <c r="B689" s="47" t="s">
        <v>1588</v>
      </c>
      <c r="C689" s="52" t="s">
        <v>1589</v>
      </c>
      <c r="D689" s="39" t="s">
        <v>1590</v>
      </c>
      <c r="E689" s="29"/>
      <c r="F689" s="30"/>
      <c r="G689" s="31">
        <f t="shared" si="99"/>
        <v>0</v>
      </c>
      <c r="H689" s="31"/>
      <c r="I689" s="32">
        <f t="shared" si="100"/>
        <v>0</v>
      </c>
      <c r="J689" s="36">
        <v>2240.056</v>
      </c>
      <c r="K689" s="32">
        <f t="shared" si="101"/>
        <v>-2240.056</v>
      </c>
      <c r="L689" s="34">
        <f t="shared" si="102"/>
        <v>-1</v>
      </c>
      <c r="M689" s="44" t="e">
        <f t="shared" si="103"/>
        <v>#DIV/0!</v>
      </c>
    </row>
    <row r="690" spans="1:13" ht="45" customHeight="1" x14ac:dyDescent="0.2">
      <c r="A690" s="27" t="s">
        <v>549</v>
      </c>
      <c r="B690" s="47" t="s">
        <v>1591</v>
      </c>
      <c r="C690" s="52" t="s">
        <v>1589</v>
      </c>
      <c r="D690" s="39" t="s">
        <v>1590</v>
      </c>
      <c r="E690" s="29"/>
      <c r="F690" s="30"/>
      <c r="G690" s="31">
        <f t="shared" si="99"/>
        <v>0</v>
      </c>
      <c r="H690" s="31"/>
      <c r="I690" s="32">
        <f t="shared" si="100"/>
        <v>0</v>
      </c>
      <c r="J690" s="36">
        <v>2240.056</v>
      </c>
      <c r="K690" s="32">
        <f t="shared" si="101"/>
        <v>-2240.056</v>
      </c>
      <c r="L690" s="34">
        <f t="shared" si="102"/>
        <v>-1</v>
      </c>
      <c r="M690" s="44" t="e">
        <f t="shared" si="103"/>
        <v>#DIV/0!</v>
      </c>
    </row>
    <row r="691" spans="1:13" ht="45" customHeight="1" x14ac:dyDescent="0.2">
      <c r="A691" s="27" t="s">
        <v>549</v>
      </c>
      <c r="B691" s="47" t="s">
        <v>1592</v>
      </c>
      <c r="C691" s="52" t="s">
        <v>1593</v>
      </c>
      <c r="D691" s="39" t="s">
        <v>1594</v>
      </c>
      <c r="E691" s="29"/>
      <c r="F691" s="30"/>
      <c r="G691" s="31">
        <f t="shared" si="99"/>
        <v>0</v>
      </c>
      <c r="H691" s="31"/>
      <c r="I691" s="32">
        <f t="shared" si="100"/>
        <v>0</v>
      </c>
      <c r="J691" s="36">
        <v>10399.648000000001</v>
      </c>
      <c r="K691" s="32">
        <f t="shared" si="101"/>
        <v>-10399.648000000001</v>
      </c>
      <c r="L691" s="34">
        <f t="shared" si="102"/>
        <v>-1</v>
      </c>
      <c r="M691" s="44" t="e">
        <f t="shared" si="103"/>
        <v>#DIV/0!</v>
      </c>
    </row>
    <row r="692" spans="1:13" ht="45" customHeight="1" x14ac:dyDescent="0.2">
      <c r="A692" s="27" t="s">
        <v>549</v>
      </c>
      <c r="B692" s="47" t="s">
        <v>1595</v>
      </c>
      <c r="C692" s="52" t="s">
        <v>1593</v>
      </c>
      <c r="D692" s="39" t="s">
        <v>1594</v>
      </c>
      <c r="E692" s="29"/>
      <c r="F692" s="30"/>
      <c r="G692" s="31">
        <f t="shared" si="99"/>
        <v>0</v>
      </c>
      <c r="H692" s="31"/>
      <c r="I692" s="32">
        <f t="shared" si="100"/>
        <v>0</v>
      </c>
      <c r="J692" s="36">
        <v>10399.648000000001</v>
      </c>
      <c r="K692" s="32">
        <f t="shared" si="101"/>
        <v>-10399.648000000001</v>
      </c>
      <c r="L692" s="34">
        <f t="shared" si="102"/>
        <v>-1</v>
      </c>
      <c r="M692" s="44" t="e">
        <f t="shared" si="103"/>
        <v>#DIV/0!</v>
      </c>
    </row>
    <row r="693" spans="1:13" ht="45" customHeight="1" x14ac:dyDescent="0.2">
      <c r="A693" s="27" t="s">
        <v>549</v>
      </c>
      <c r="B693" s="47" t="s">
        <v>1596</v>
      </c>
      <c r="C693" s="52" t="s">
        <v>1597</v>
      </c>
      <c r="D693" s="39" t="s">
        <v>1598</v>
      </c>
      <c r="E693" s="29"/>
      <c r="F693" s="30"/>
      <c r="G693" s="31">
        <f t="shared" si="99"/>
        <v>0</v>
      </c>
      <c r="H693" s="31"/>
      <c r="I693" s="32">
        <f t="shared" si="100"/>
        <v>0</v>
      </c>
      <c r="J693" s="36">
        <v>5599.6639999999998</v>
      </c>
      <c r="K693" s="32">
        <f t="shared" si="101"/>
        <v>-5599.6639999999998</v>
      </c>
      <c r="L693" s="34">
        <f t="shared" si="102"/>
        <v>-1</v>
      </c>
      <c r="M693" s="44" t="e">
        <f t="shared" si="103"/>
        <v>#DIV/0!</v>
      </c>
    </row>
    <row r="694" spans="1:13" ht="45" customHeight="1" x14ac:dyDescent="0.2">
      <c r="A694" s="27" t="s">
        <v>549</v>
      </c>
      <c r="B694" s="47" t="s">
        <v>1599</v>
      </c>
      <c r="C694" s="52" t="s">
        <v>1597</v>
      </c>
      <c r="D694" s="39" t="s">
        <v>1598</v>
      </c>
      <c r="E694" s="29"/>
      <c r="F694" s="30"/>
      <c r="G694" s="31">
        <f t="shared" si="99"/>
        <v>0</v>
      </c>
      <c r="H694" s="31"/>
      <c r="I694" s="32">
        <f t="shared" si="100"/>
        <v>0</v>
      </c>
      <c r="J694" s="36">
        <v>5599.6639999999998</v>
      </c>
      <c r="K694" s="32">
        <f t="shared" si="101"/>
        <v>-5599.6639999999998</v>
      </c>
      <c r="L694" s="34">
        <f t="shared" si="102"/>
        <v>-1</v>
      </c>
      <c r="M694" s="44" t="e">
        <f t="shared" si="103"/>
        <v>#DIV/0!</v>
      </c>
    </row>
    <row r="695" spans="1:13" ht="45" customHeight="1" x14ac:dyDescent="0.2">
      <c r="A695" s="27" t="s">
        <v>549</v>
      </c>
      <c r="B695" s="47" t="s">
        <v>1600</v>
      </c>
      <c r="C695" s="52" t="s">
        <v>1601</v>
      </c>
      <c r="D695" s="39" t="s">
        <v>1602</v>
      </c>
      <c r="E695" s="29"/>
      <c r="F695" s="30"/>
      <c r="G695" s="31">
        <f t="shared" si="99"/>
        <v>0</v>
      </c>
      <c r="H695" s="31"/>
      <c r="I695" s="32">
        <f t="shared" si="100"/>
        <v>0</v>
      </c>
      <c r="J695" s="36">
        <v>10399.648000000001</v>
      </c>
      <c r="K695" s="32">
        <f t="shared" si="101"/>
        <v>-10399.648000000001</v>
      </c>
      <c r="L695" s="34">
        <f t="shared" si="102"/>
        <v>-1</v>
      </c>
      <c r="M695" s="44" t="e">
        <f t="shared" si="103"/>
        <v>#DIV/0!</v>
      </c>
    </row>
    <row r="696" spans="1:13" ht="45" customHeight="1" x14ac:dyDescent="0.2">
      <c r="A696" s="27" t="s">
        <v>549</v>
      </c>
      <c r="B696" s="47" t="s">
        <v>1603</v>
      </c>
      <c r="C696" s="52" t="s">
        <v>1601</v>
      </c>
      <c r="D696" s="39" t="s">
        <v>1602</v>
      </c>
      <c r="E696" s="29"/>
      <c r="F696" s="30"/>
      <c r="G696" s="31">
        <f t="shared" si="99"/>
        <v>0</v>
      </c>
      <c r="H696" s="31"/>
      <c r="I696" s="32">
        <f t="shared" si="100"/>
        <v>0</v>
      </c>
      <c r="J696" s="36">
        <v>10399.648000000001</v>
      </c>
      <c r="K696" s="32">
        <f t="shared" si="101"/>
        <v>-10399.648000000001</v>
      </c>
      <c r="L696" s="34">
        <f t="shared" si="102"/>
        <v>-1</v>
      </c>
      <c r="M696" s="44" t="e">
        <f t="shared" si="103"/>
        <v>#DIV/0!</v>
      </c>
    </row>
    <row r="697" spans="1:13" ht="45" customHeight="1" x14ac:dyDescent="0.2">
      <c r="A697" s="27" t="s">
        <v>549</v>
      </c>
      <c r="B697" s="47" t="s">
        <v>1604</v>
      </c>
      <c r="C697" s="52" t="s">
        <v>1605</v>
      </c>
      <c r="D697" s="39" t="s">
        <v>1606</v>
      </c>
      <c r="E697" s="29"/>
      <c r="F697" s="30"/>
      <c r="G697" s="31">
        <f t="shared" si="99"/>
        <v>0</v>
      </c>
      <c r="H697" s="31"/>
      <c r="I697" s="32">
        <f t="shared" si="100"/>
        <v>0</v>
      </c>
      <c r="J697" s="36">
        <v>7999.6559999999999</v>
      </c>
      <c r="K697" s="32">
        <f t="shared" si="101"/>
        <v>-7999.6559999999999</v>
      </c>
      <c r="L697" s="34">
        <f t="shared" si="102"/>
        <v>-1</v>
      </c>
      <c r="M697" s="44" t="e">
        <f t="shared" si="103"/>
        <v>#DIV/0!</v>
      </c>
    </row>
    <row r="698" spans="1:13" ht="45" customHeight="1" x14ac:dyDescent="0.2">
      <c r="A698" s="27" t="s">
        <v>549</v>
      </c>
      <c r="B698" s="47" t="s">
        <v>1607</v>
      </c>
      <c r="C698" s="52" t="s">
        <v>1605</v>
      </c>
      <c r="D698" s="39" t="s">
        <v>1606</v>
      </c>
      <c r="E698" s="29"/>
      <c r="F698" s="30"/>
      <c r="G698" s="31">
        <f t="shared" si="99"/>
        <v>0</v>
      </c>
      <c r="H698" s="31"/>
      <c r="I698" s="32">
        <f t="shared" si="100"/>
        <v>0</v>
      </c>
      <c r="J698" s="36">
        <v>7999.6559999999999</v>
      </c>
      <c r="K698" s="32">
        <f t="shared" si="101"/>
        <v>-7999.6559999999999</v>
      </c>
      <c r="L698" s="34">
        <f t="shared" si="102"/>
        <v>-1</v>
      </c>
      <c r="M698" s="44" t="e">
        <f t="shared" si="103"/>
        <v>#DIV/0!</v>
      </c>
    </row>
    <row r="699" spans="1:13" ht="45" customHeight="1" x14ac:dyDescent="0.2">
      <c r="A699" s="27" t="s">
        <v>539</v>
      </c>
      <c r="B699" s="47" t="s">
        <v>1608</v>
      </c>
      <c r="C699" s="52" t="s">
        <v>1464</v>
      </c>
      <c r="D699" s="39" t="s">
        <v>1609</v>
      </c>
      <c r="E699" s="29"/>
      <c r="F699" s="30"/>
      <c r="G699" s="31">
        <f t="shared" si="99"/>
        <v>0</v>
      </c>
      <c r="H699" s="31"/>
      <c r="I699" s="32">
        <f t="shared" si="100"/>
        <v>0</v>
      </c>
      <c r="J699" s="35">
        <v>4200</v>
      </c>
      <c r="K699" s="32">
        <f t="shared" si="101"/>
        <v>-4200</v>
      </c>
      <c r="L699" s="34">
        <f t="shared" si="102"/>
        <v>-1</v>
      </c>
      <c r="M699" s="44" t="e">
        <f t="shared" si="103"/>
        <v>#DIV/0!</v>
      </c>
    </row>
    <row r="700" spans="1:13" ht="45" customHeight="1" x14ac:dyDescent="0.2">
      <c r="A700" s="27" t="s">
        <v>1610</v>
      </c>
      <c r="B700" s="47" t="s">
        <v>1611</v>
      </c>
      <c r="C700" s="52" t="s">
        <v>1612</v>
      </c>
      <c r="D700" s="39" t="s">
        <v>1613</v>
      </c>
      <c r="E700" s="29"/>
      <c r="F700" s="30"/>
      <c r="G700" s="31">
        <f t="shared" si="99"/>
        <v>0</v>
      </c>
      <c r="H700" s="31"/>
      <c r="I700" s="32">
        <f t="shared" si="100"/>
        <v>0</v>
      </c>
      <c r="J700" s="36">
        <f>VLOOKUP(Tabla1[[#This Row],[SKU]],[1]Productos!$A$2:$E$20,5,FALSE)</f>
        <v>6045</v>
      </c>
      <c r="K700" s="32">
        <f t="shared" si="101"/>
        <v>-6045</v>
      </c>
      <c r="L700" s="34">
        <f t="shared" si="102"/>
        <v>-1</v>
      </c>
      <c r="M700" s="44" t="e">
        <f t="shared" si="103"/>
        <v>#DIV/0!</v>
      </c>
    </row>
    <row r="701" spans="1:13" ht="45" customHeight="1" x14ac:dyDescent="0.2">
      <c r="A701" s="27" t="s">
        <v>1610</v>
      </c>
      <c r="B701" s="47" t="s">
        <v>1614</v>
      </c>
      <c r="C701" s="52" t="s">
        <v>1612</v>
      </c>
      <c r="D701" s="39" t="s">
        <v>1613</v>
      </c>
      <c r="E701" s="29"/>
      <c r="F701" s="30"/>
      <c r="G701" s="31">
        <f t="shared" ref="G701:G732" si="104">E701*F701</f>
        <v>0</v>
      </c>
      <c r="H701" s="31"/>
      <c r="I701" s="32">
        <f t="shared" ref="I701:I732" si="105">E701-G701-H701</f>
        <v>0</v>
      </c>
      <c r="J701" s="36">
        <f>VLOOKUP(Tabla1[[#This Row],[SKU]],[1]Productos!$A$2:$E$20,5,FALSE)</f>
        <v>6045</v>
      </c>
      <c r="K701" s="32">
        <f t="shared" ref="K701:K732" si="106">I701-J701</f>
        <v>-6045</v>
      </c>
      <c r="L701" s="34">
        <f t="shared" ref="L701:L732" si="107">K701/J701</f>
        <v>-1</v>
      </c>
      <c r="M701" s="44" t="e">
        <f t="shared" ref="M701:M732" si="108">K701/E701</f>
        <v>#DIV/0!</v>
      </c>
    </row>
    <row r="702" spans="1:13" ht="45" customHeight="1" x14ac:dyDescent="0.2">
      <c r="A702" s="27" t="s">
        <v>1610</v>
      </c>
      <c r="B702" s="47" t="s">
        <v>1615</v>
      </c>
      <c r="C702" s="52" t="s">
        <v>1616</v>
      </c>
      <c r="D702" s="39" t="s">
        <v>1617</v>
      </c>
      <c r="E702" s="29"/>
      <c r="F702" s="30"/>
      <c r="G702" s="31">
        <f t="shared" si="104"/>
        <v>0</v>
      </c>
      <c r="H702" s="31"/>
      <c r="I702" s="32">
        <f t="shared" si="105"/>
        <v>0</v>
      </c>
      <c r="J702" s="36">
        <f>VLOOKUP(Tabla1[[#This Row],[SKU]],[1]Productos!$A$2:$E$20,5,FALSE)</f>
        <v>8245</v>
      </c>
      <c r="K702" s="32">
        <f t="shared" si="106"/>
        <v>-8245</v>
      </c>
      <c r="L702" s="34">
        <f t="shared" si="107"/>
        <v>-1</v>
      </c>
      <c r="M702" s="44" t="e">
        <f t="shared" si="108"/>
        <v>#DIV/0!</v>
      </c>
    </row>
    <row r="703" spans="1:13" ht="45" customHeight="1" x14ac:dyDescent="0.2">
      <c r="A703" s="27" t="s">
        <v>1610</v>
      </c>
      <c r="B703" s="47" t="s">
        <v>1618</v>
      </c>
      <c r="C703" s="52" t="s">
        <v>1616</v>
      </c>
      <c r="D703" s="39" t="s">
        <v>1617</v>
      </c>
      <c r="E703" s="29"/>
      <c r="F703" s="30"/>
      <c r="G703" s="31">
        <f t="shared" si="104"/>
        <v>0</v>
      </c>
      <c r="H703" s="31"/>
      <c r="I703" s="32">
        <f t="shared" si="105"/>
        <v>0</v>
      </c>
      <c r="J703" s="36">
        <f>VLOOKUP(Tabla1[[#This Row],[SKU]],[1]Productos!$A$2:$E$20,5,FALSE)</f>
        <v>8245</v>
      </c>
      <c r="K703" s="32">
        <f t="shared" si="106"/>
        <v>-8245</v>
      </c>
      <c r="L703" s="34">
        <f t="shared" si="107"/>
        <v>-1</v>
      </c>
      <c r="M703" s="44" t="e">
        <f t="shared" si="108"/>
        <v>#DIV/0!</v>
      </c>
    </row>
    <row r="704" spans="1:13" ht="45" customHeight="1" x14ac:dyDescent="0.2">
      <c r="A704" s="27" t="s">
        <v>1610</v>
      </c>
      <c r="B704" s="47" t="s">
        <v>1619</v>
      </c>
      <c r="C704" s="52" t="s">
        <v>1620</v>
      </c>
      <c r="D704" s="39" t="s">
        <v>1621</v>
      </c>
      <c r="E704" s="29"/>
      <c r="F704" s="30"/>
      <c r="G704" s="31">
        <f t="shared" si="104"/>
        <v>0</v>
      </c>
      <c r="H704" s="31"/>
      <c r="I704" s="32">
        <f t="shared" si="105"/>
        <v>0</v>
      </c>
      <c r="J704" s="36">
        <f>VLOOKUP(Tabla1[[#This Row],[SKU]],[1]Productos!$A$2:$E$20,5,FALSE)</f>
        <v>21995</v>
      </c>
      <c r="K704" s="32">
        <f t="shared" si="106"/>
        <v>-21995</v>
      </c>
      <c r="L704" s="34">
        <f t="shared" si="107"/>
        <v>-1</v>
      </c>
      <c r="M704" s="44" t="e">
        <f t="shared" si="108"/>
        <v>#DIV/0!</v>
      </c>
    </row>
    <row r="705" spans="1:13" ht="45" customHeight="1" x14ac:dyDescent="0.2">
      <c r="A705" s="27" t="s">
        <v>1610</v>
      </c>
      <c r="B705" s="47" t="s">
        <v>1622</v>
      </c>
      <c r="C705" s="52" t="s">
        <v>1620</v>
      </c>
      <c r="D705" s="39" t="s">
        <v>1621</v>
      </c>
      <c r="E705" s="29"/>
      <c r="F705" s="30"/>
      <c r="G705" s="31">
        <f t="shared" si="104"/>
        <v>0</v>
      </c>
      <c r="H705" s="31"/>
      <c r="I705" s="32">
        <f t="shared" si="105"/>
        <v>0</v>
      </c>
      <c r="J705" s="36">
        <f>VLOOKUP(Tabla1[[#This Row],[SKU]],[1]Productos!$A$2:$E$20,5,FALSE)</f>
        <v>21995</v>
      </c>
      <c r="K705" s="32">
        <f t="shared" si="106"/>
        <v>-21995</v>
      </c>
      <c r="L705" s="34">
        <f t="shared" si="107"/>
        <v>-1</v>
      </c>
      <c r="M705" s="44" t="e">
        <f t="shared" si="108"/>
        <v>#DIV/0!</v>
      </c>
    </row>
    <row r="706" spans="1:13" ht="45" customHeight="1" x14ac:dyDescent="0.2">
      <c r="A706" s="27" t="s">
        <v>1610</v>
      </c>
      <c r="B706" s="47" t="s">
        <v>1623</v>
      </c>
      <c r="C706" s="52" t="s">
        <v>1624</v>
      </c>
      <c r="D706" s="39" t="s">
        <v>1625</v>
      </c>
      <c r="E706" s="29"/>
      <c r="F706" s="30"/>
      <c r="G706" s="31">
        <f t="shared" si="104"/>
        <v>0</v>
      </c>
      <c r="H706" s="31"/>
      <c r="I706" s="32">
        <f t="shared" si="105"/>
        <v>0</v>
      </c>
      <c r="J706" s="36" t="e">
        <f>VLOOKUP(Tabla1[[#This Row],[SKU]],[1]Productos!$A$2:$E$20,5,FALSE)</f>
        <v>#N/A</v>
      </c>
      <c r="K706" s="32" t="e">
        <f t="shared" si="106"/>
        <v>#N/A</v>
      </c>
      <c r="L706" s="34" t="e">
        <f t="shared" si="107"/>
        <v>#N/A</v>
      </c>
      <c r="M706" s="44" t="e">
        <f t="shared" si="108"/>
        <v>#N/A</v>
      </c>
    </row>
    <row r="707" spans="1:13" ht="45" customHeight="1" x14ac:dyDescent="0.2">
      <c r="A707" s="27" t="s">
        <v>1610</v>
      </c>
      <c r="B707" s="47" t="s">
        <v>1626</v>
      </c>
      <c r="C707" s="52" t="s">
        <v>1624</v>
      </c>
      <c r="D707" s="39" t="s">
        <v>1625</v>
      </c>
      <c r="E707" s="29"/>
      <c r="F707" s="30"/>
      <c r="G707" s="31">
        <f t="shared" si="104"/>
        <v>0</v>
      </c>
      <c r="H707" s="31"/>
      <c r="I707" s="32">
        <f t="shared" si="105"/>
        <v>0</v>
      </c>
      <c r="J707" s="36" t="e">
        <f>VLOOKUP(Tabla1[[#This Row],[SKU]],[1]Productos!$A$2:$E$20,5,FALSE)</f>
        <v>#N/A</v>
      </c>
      <c r="K707" s="32" t="e">
        <f t="shared" si="106"/>
        <v>#N/A</v>
      </c>
      <c r="L707" s="34" t="e">
        <f t="shared" si="107"/>
        <v>#N/A</v>
      </c>
      <c r="M707" s="44" t="e">
        <f t="shared" si="108"/>
        <v>#N/A</v>
      </c>
    </row>
    <row r="708" spans="1:13" ht="45" customHeight="1" x14ac:dyDescent="0.2">
      <c r="A708" s="27" t="s">
        <v>1610</v>
      </c>
      <c r="B708" s="47" t="s">
        <v>1627</v>
      </c>
      <c r="C708" s="52" t="s">
        <v>1628</v>
      </c>
      <c r="D708" s="39" t="s">
        <v>1629</v>
      </c>
      <c r="E708" s="29"/>
      <c r="F708" s="30"/>
      <c r="G708" s="31">
        <f t="shared" si="104"/>
        <v>0</v>
      </c>
      <c r="H708" s="31"/>
      <c r="I708" s="32">
        <f t="shared" si="105"/>
        <v>0</v>
      </c>
      <c r="J708" s="36">
        <f>VLOOKUP(Tabla1[[#This Row],[SKU]],[1]Productos!$A$2:$E$20,5,FALSE)</f>
        <v>10995</v>
      </c>
      <c r="K708" s="32">
        <f t="shared" si="106"/>
        <v>-10995</v>
      </c>
      <c r="L708" s="34">
        <f t="shared" si="107"/>
        <v>-1</v>
      </c>
      <c r="M708" s="44" t="e">
        <f t="shared" si="108"/>
        <v>#DIV/0!</v>
      </c>
    </row>
    <row r="709" spans="1:13" ht="45" customHeight="1" x14ac:dyDescent="0.2">
      <c r="A709" s="27" t="s">
        <v>1610</v>
      </c>
      <c r="B709" s="47" t="s">
        <v>1630</v>
      </c>
      <c r="C709" s="52" t="s">
        <v>1628</v>
      </c>
      <c r="D709" s="39" t="s">
        <v>1629</v>
      </c>
      <c r="E709" s="29"/>
      <c r="F709" s="30"/>
      <c r="G709" s="31">
        <f t="shared" si="104"/>
        <v>0</v>
      </c>
      <c r="H709" s="31"/>
      <c r="I709" s="32">
        <f t="shared" si="105"/>
        <v>0</v>
      </c>
      <c r="J709" s="36">
        <f>VLOOKUP(Tabla1[[#This Row],[SKU]],[1]Productos!$A$2:$E$20,5,FALSE)</f>
        <v>10995</v>
      </c>
      <c r="K709" s="32">
        <f t="shared" si="106"/>
        <v>-10995</v>
      </c>
      <c r="L709" s="34">
        <f t="shared" si="107"/>
        <v>-1</v>
      </c>
      <c r="M709" s="44" t="e">
        <f t="shared" si="108"/>
        <v>#DIV/0!</v>
      </c>
    </row>
    <row r="710" spans="1:13" ht="45" customHeight="1" x14ac:dyDescent="0.2">
      <c r="A710" s="27" t="s">
        <v>1610</v>
      </c>
      <c r="B710" s="47" t="s">
        <v>1631</v>
      </c>
      <c r="C710" s="52" t="s">
        <v>1632</v>
      </c>
      <c r="D710" s="39" t="s">
        <v>1633</v>
      </c>
      <c r="E710" s="29"/>
      <c r="F710" s="30"/>
      <c r="G710" s="31">
        <f t="shared" si="104"/>
        <v>0</v>
      </c>
      <c r="H710" s="31"/>
      <c r="I710" s="32">
        <f t="shared" si="105"/>
        <v>0</v>
      </c>
      <c r="J710" s="36" t="e">
        <f>VLOOKUP(Tabla1[[#This Row],[SKU]],[1]Productos!$A$2:$E$20,5,FALSE)</f>
        <v>#N/A</v>
      </c>
      <c r="K710" s="32" t="e">
        <f t="shared" si="106"/>
        <v>#N/A</v>
      </c>
      <c r="L710" s="34" t="e">
        <f t="shared" si="107"/>
        <v>#N/A</v>
      </c>
      <c r="M710" s="44" t="e">
        <f t="shared" si="108"/>
        <v>#N/A</v>
      </c>
    </row>
    <row r="711" spans="1:13" ht="45" customHeight="1" x14ac:dyDescent="0.2">
      <c r="A711" s="27" t="s">
        <v>1610</v>
      </c>
      <c r="B711" s="47" t="s">
        <v>1634</v>
      </c>
      <c r="C711" s="52" t="s">
        <v>1632</v>
      </c>
      <c r="D711" s="39" t="s">
        <v>1633</v>
      </c>
      <c r="E711" s="29"/>
      <c r="F711" s="30"/>
      <c r="G711" s="31">
        <f t="shared" si="104"/>
        <v>0</v>
      </c>
      <c r="H711" s="31"/>
      <c r="I711" s="32">
        <f t="shared" si="105"/>
        <v>0</v>
      </c>
      <c r="J711" s="36" t="e">
        <f>VLOOKUP(Tabla1[[#This Row],[SKU]],[1]Productos!$A$2:$E$20,5,FALSE)</f>
        <v>#N/A</v>
      </c>
      <c r="K711" s="32" t="e">
        <f t="shared" si="106"/>
        <v>#N/A</v>
      </c>
      <c r="L711" s="34" t="e">
        <f t="shared" si="107"/>
        <v>#N/A</v>
      </c>
      <c r="M711" s="44" t="e">
        <f t="shared" si="108"/>
        <v>#N/A</v>
      </c>
    </row>
    <row r="712" spans="1:13" ht="45" customHeight="1" x14ac:dyDescent="0.2">
      <c r="A712" s="27" t="s">
        <v>1610</v>
      </c>
      <c r="B712" s="47" t="s">
        <v>1635</v>
      </c>
      <c r="C712" s="52" t="s">
        <v>1636</v>
      </c>
      <c r="D712" s="39" t="s">
        <v>1637</v>
      </c>
      <c r="E712" s="29"/>
      <c r="F712" s="30"/>
      <c r="G712" s="31">
        <f t="shared" si="104"/>
        <v>0</v>
      </c>
      <c r="H712" s="31"/>
      <c r="I712" s="32">
        <f t="shared" si="105"/>
        <v>0</v>
      </c>
      <c r="J712" s="36" t="e">
        <f>VLOOKUP(Tabla1[[#This Row],[SKU]],[1]Productos!$A$2:$E$20,5,FALSE)</f>
        <v>#N/A</v>
      </c>
      <c r="K712" s="32" t="e">
        <f t="shared" si="106"/>
        <v>#N/A</v>
      </c>
      <c r="L712" s="34" t="e">
        <f t="shared" si="107"/>
        <v>#N/A</v>
      </c>
      <c r="M712" s="44" t="e">
        <f t="shared" si="108"/>
        <v>#N/A</v>
      </c>
    </row>
    <row r="713" spans="1:13" ht="45" customHeight="1" x14ac:dyDescent="0.2">
      <c r="A713" s="27" t="s">
        <v>1610</v>
      </c>
      <c r="B713" s="47" t="s">
        <v>1638</v>
      </c>
      <c r="C713" s="52" t="s">
        <v>1636</v>
      </c>
      <c r="D713" s="39" t="s">
        <v>1637</v>
      </c>
      <c r="E713" s="29"/>
      <c r="F713" s="30"/>
      <c r="G713" s="31">
        <f t="shared" si="104"/>
        <v>0</v>
      </c>
      <c r="H713" s="31"/>
      <c r="I713" s="32">
        <f t="shared" si="105"/>
        <v>0</v>
      </c>
      <c r="J713" s="36" t="e">
        <f>VLOOKUP(Tabla1[[#This Row],[SKU]],[1]Productos!$A$2:$E$20,5,FALSE)</f>
        <v>#N/A</v>
      </c>
      <c r="K713" s="32" t="e">
        <f t="shared" si="106"/>
        <v>#N/A</v>
      </c>
      <c r="L713" s="34" t="e">
        <f t="shared" si="107"/>
        <v>#N/A</v>
      </c>
      <c r="M713" s="44" t="e">
        <f t="shared" si="108"/>
        <v>#N/A</v>
      </c>
    </row>
    <row r="714" spans="1:13" ht="45" customHeight="1" x14ac:dyDescent="0.2">
      <c r="A714" s="27" t="s">
        <v>1610</v>
      </c>
      <c r="B714" s="47" t="s">
        <v>1639</v>
      </c>
      <c r="C714" s="52" t="s">
        <v>1640</v>
      </c>
      <c r="D714" s="39" t="s">
        <v>1641</v>
      </c>
      <c r="E714" s="29"/>
      <c r="F714" s="30"/>
      <c r="G714" s="31">
        <f t="shared" si="104"/>
        <v>0</v>
      </c>
      <c r="H714" s="31"/>
      <c r="I714" s="32">
        <f t="shared" si="105"/>
        <v>0</v>
      </c>
      <c r="J714" s="36">
        <f>VLOOKUP(Tabla1[[#This Row],[SKU]],[1]Productos!$A$2:$E$20,5,FALSE)</f>
        <v>18145</v>
      </c>
      <c r="K714" s="32">
        <f t="shared" si="106"/>
        <v>-18145</v>
      </c>
      <c r="L714" s="34">
        <f t="shared" si="107"/>
        <v>-1</v>
      </c>
      <c r="M714" s="44" t="e">
        <f t="shared" si="108"/>
        <v>#DIV/0!</v>
      </c>
    </row>
    <row r="715" spans="1:13" ht="45" customHeight="1" x14ac:dyDescent="0.2">
      <c r="A715" s="27" t="s">
        <v>1610</v>
      </c>
      <c r="B715" s="47" t="s">
        <v>1642</v>
      </c>
      <c r="C715" s="52" t="s">
        <v>1640</v>
      </c>
      <c r="D715" s="39" t="s">
        <v>1641</v>
      </c>
      <c r="E715" s="29"/>
      <c r="F715" s="30"/>
      <c r="G715" s="31">
        <f t="shared" si="104"/>
        <v>0</v>
      </c>
      <c r="H715" s="31"/>
      <c r="I715" s="32">
        <f t="shared" si="105"/>
        <v>0</v>
      </c>
      <c r="J715" s="36">
        <f>VLOOKUP(Tabla1[[#This Row],[SKU]],[1]Productos!$A$2:$E$20,5,FALSE)</f>
        <v>18145</v>
      </c>
      <c r="K715" s="32">
        <f t="shared" si="106"/>
        <v>-18145</v>
      </c>
      <c r="L715" s="34">
        <f t="shared" si="107"/>
        <v>-1</v>
      </c>
      <c r="M715" s="44" t="e">
        <f t="shared" si="108"/>
        <v>#DIV/0!</v>
      </c>
    </row>
    <row r="716" spans="1:13" ht="45" customHeight="1" x14ac:dyDescent="0.2">
      <c r="A716" s="27" t="s">
        <v>1610</v>
      </c>
      <c r="B716" s="47" t="s">
        <v>1643</v>
      </c>
      <c r="C716" s="52" t="s">
        <v>1644</v>
      </c>
      <c r="D716" s="39" t="s">
        <v>1645</v>
      </c>
      <c r="E716" s="29"/>
      <c r="F716" s="30"/>
      <c r="G716" s="31">
        <f t="shared" si="104"/>
        <v>0</v>
      </c>
      <c r="H716" s="31"/>
      <c r="I716" s="32">
        <f t="shared" si="105"/>
        <v>0</v>
      </c>
      <c r="J716" s="36" t="e">
        <f>VLOOKUP(Tabla1[[#This Row],[SKU]],[1]Productos!$A$2:$E$20,5,FALSE)</f>
        <v>#N/A</v>
      </c>
      <c r="K716" s="32" t="e">
        <f t="shared" si="106"/>
        <v>#N/A</v>
      </c>
      <c r="L716" s="34" t="e">
        <f t="shared" si="107"/>
        <v>#N/A</v>
      </c>
      <c r="M716" s="44" t="e">
        <f t="shared" si="108"/>
        <v>#N/A</v>
      </c>
    </row>
    <row r="717" spans="1:13" ht="45" customHeight="1" x14ac:dyDescent="0.2">
      <c r="A717" s="27" t="s">
        <v>1610</v>
      </c>
      <c r="B717" s="47" t="s">
        <v>1646</v>
      </c>
      <c r="C717" s="52" t="s">
        <v>1644</v>
      </c>
      <c r="D717" s="39" t="s">
        <v>1645</v>
      </c>
      <c r="E717" s="29"/>
      <c r="F717" s="30"/>
      <c r="G717" s="31">
        <f t="shared" si="104"/>
        <v>0</v>
      </c>
      <c r="H717" s="31"/>
      <c r="I717" s="32">
        <f t="shared" si="105"/>
        <v>0</v>
      </c>
      <c r="J717" s="36" t="e">
        <f>VLOOKUP(Tabla1[[#This Row],[SKU]],[1]Productos!$A$2:$E$20,5,FALSE)</f>
        <v>#N/A</v>
      </c>
      <c r="K717" s="32" t="e">
        <f t="shared" si="106"/>
        <v>#N/A</v>
      </c>
      <c r="L717" s="34" t="e">
        <f t="shared" si="107"/>
        <v>#N/A</v>
      </c>
      <c r="M717" s="44" t="e">
        <f t="shared" si="108"/>
        <v>#N/A</v>
      </c>
    </row>
    <row r="718" spans="1:13" ht="45" customHeight="1" x14ac:dyDescent="0.2">
      <c r="A718" s="27" t="s">
        <v>1610</v>
      </c>
      <c r="B718" s="47" t="s">
        <v>1647</v>
      </c>
      <c r="C718" s="52" t="s">
        <v>1648</v>
      </c>
      <c r="D718" s="39" t="s">
        <v>1649</v>
      </c>
      <c r="E718" s="29"/>
      <c r="F718" s="30"/>
      <c r="G718" s="31">
        <f t="shared" si="104"/>
        <v>0</v>
      </c>
      <c r="H718" s="31"/>
      <c r="I718" s="32">
        <f t="shared" si="105"/>
        <v>0</v>
      </c>
      <c r="J718" s="36" t="e">
        <f>VLOOKUP(Tabla1[[#This Row],[SKU]],[1]Productos!$A$2:$E$20,5,FALSE)</f>
        <v>#N/A</v>
      </c>
      <c r="K718" s="32" t="e">
        <f t="shared" si="106"/>
        <v>#N/A</v>
      </c>
      <c r="L718" s="34" t="e">
        <f t="shared" si="107"/>
        <v>#N/A</v>
      </c>
      <c r="M718" s="44" t="e">
        <f t="shared" si="108"/>
        <v>#N/A</v>
      </c>
    </row>
    <row r="719" spans="1:13" ht="45" customHeight="1" x14ac:dyDescent="0.2">
      <c r="A719" s="27" t="s">
        <v>1610</v>
      </c>
      <c r="B719" s="47" t="s">
        <v>1650</v>
      </c>
      <c r="C719" s="52" t="s">
        <v>1648</v>
      </c>
      <c r="D719" s="39" t="s">
        <v>1649</v>
      </c>
      <c r="E719" s="29"/>
      <c r="F719" s="30"/>
      <c r="G719" s="31">
        <f t="shared" si="104"/>
        <v>0</v>
      </c>
      <c r="H719" s="31"/>
      <c r="I719" s="32">
        <f t="shared" si="105"/>
        <v>0</v>
      </c>
      <c r="J719" s="36" t="e">
        <f>VLOOKUP(Tabla1[[#This Row],[SKU]],[1]Productos!$A$2:$E$20,5,FALSE)</f>
        <v>#N/A</v>
      </c>
      <c r="K719" s="32" t="e">
        <f t="shared" si="106"/>
        <v>#N/A</v>
      </c>
      <c r="L719" s="34" t="e">
        <f t="shared" si="107"/>
        <v>#N/A</v>
      </c>
      <c r="M719" s="44" t="e">
        <f t="shared" si="108"/>
        <v>#N/A</v>
      </c>
    </row>
    <row r="720" spans="1:13" ht="45" customHeight="1" x14ac:dyDescent="0.2">
      <c r="A720" s="27" t="s">
        <v>1610</v>
      </c>
      <c r="B720" s="47" t="s">
        <v>1651</v>
      </c>
      <c r="C720" s="52" t="s">
        <v>1652</v>
      </c>
      <c r="D720" s="39" t="s">
        <v>1653</v>
      </c>
      <c r="E720" s="29"/>
      <c r="F720" s="30"/>
      <c r="G720" s="31">
        <f t="shared" si="104"/>
        <v>0</v>
      </c>
      <c r="H720" s="31"/>
      <c r="I720" s="32">
        <f t="shared" si="105"/>
        <v>0</v>
      </c>
      <c r="J720" s="36">
        <f>VLOOKUP(Tabla1[[#This Row],[SKU]],[1]Productos!$A$2:$E$20,5,FALSE)</f>
        <v>38495</v>
      </c>
      <c r="K720" s="32">
        <f t="shared" si="106"/>
        <v>-38495</v>
      </c>
      <c r="L720" s="34">
        <f t="shared" si="107"/>
        <v>-1</v>
      </c>
      <c r="M720" s="44" t="e">
        <f t="shared" si="108"/>
        <v>#DIV/0!</v>
      </c>
    </row>
    <row r="721" spans="1:13" ht="45" customHeight="1" x14ac:dyDescent="0.2">
      <c r="A721" s="27" t="s">
        <v>1610</v>
      </c>
      <c r="B721" s="47" t="s">
        <v>1654</v>
      </c>
      <c r="C721" s="52" t="s">
        <v>1652</v>
      </c>
      <c r="D721" s="39" t="s">
        <v>1653</v>
      </c>
      <c r="E721" s="29"/>
      <c r="F721" s="30"/>
      <c r="G721" s="31">
        <f t="shared" si="104"/>
        <v>0</v>
      </c>
      <c r="H721" s="31"/>
      <c r="I721" s="32">
        <f t="shared" si="105"/>
        <v>0</v>
      </c>
      <c r="J721" s="36">
        <f>VLOOKUP(Tabla1[[#This Row],[SKU]],[1]Productos!$A$2:$E$20,5,FALSE)</f>
        <v>38495</v>
      </c>
      <c r="K721" s="32">
        <f t="shared" si="106"/>
        <v>-38495</v>
      </c>
      <c r="L721" s="34">
        <f t="shared" si="107"/>
        <v>-1</v>
      </c>
      <c r="M721" s="44" t="e">
        <f t="shared" si="108"/>
        <v>#DIV/0!</v>
      </c>
    </row>
    <row r="722" spans="1:13" ht="45" customHeight="1" x14ac:dyDescent="0.2">
      <c r="A722" s="27" t="s">
        <v>1610</v>
      </c>
      <c r="B722" s="47" t="s">
        <v>1655</v>
      </c>
      <c r="C722" s="52" t="s">
        <v>1656</v>
      </c>
      <c r="D722" s="39" t="s">
        <v>1657</v>
      </c>
      <c r="E722" s="29"/>
      <c r="F722" s="30"/>
      <c r="G722" s="31">
        <f t="shared" si="104"/>
        <v>0</v>
      </c>
      <c r="H722" s="31"/>
      <c r="I722" s="32">
        <f t="shared" si="105"/>
        <v>0</v>
      </c>
      <c r="J722" s="36" t="e">
        <f>VLOOKUP(Tabla1[[#This Row],[SKU]],[1]Productos!$A$2:$E$20,5,FALSE)</f>
        <v>#N/A</v>
      </c>
      <c r="K722" s="32" t="e">
        <f t="shared" si="106"/>
        <v>#N/A</v>
      </c>
      <c r="L722" s="34" t="e">
        <f t="shared" si="107"/>
        <v>#N/A</v>
      </c>
      <c r="M722" s="44" t="e">
        <f t="shared" si="108"/>
        <v>#N/A</v>
      </c>
    </row>
    <row r="723" spans="1:13" ht="45" customHeight="1" x14ac:dyDescent="0.2">
      <c r="A723" s="27" t="s">
        <v>1610</v>
      </c>
      <c r="B723" s="47" t="s">
        <v>1658</v>
      </c>
      <c r="C723" s="52" t="s">
        <v>1656</v>
      </c>
      <c r="D723" s="39" t="s">
        <v>1657</v>
      </c>
      <c r="E723" s="29"/>
      <c r="F723" s="30"/>
      <c r="G723" s="31">
        <f t="shared" si="104"/>
        <v>0</v>
      </c>
      <c r="H723" s="31"/>
      <c r="I723" s="32">
        <f t="shared" si="105"/>
        <v>0</v>
      </c>
      <c r="J723" s="36" t="e">
        <f>VLOOKUP(Tabla1[[#This Row],[SKU]],[1]Productos!$A$2:$E$20,5,FALSE)</f>
        <v>#N/A</v>
      </c>
      <c r="K723" s="32" t="e">
        <f t="shared" si="106"/>
        <v>#N/A</v>
      </c>
      <c r="L723" s="34" t="e">
        <f t="shared" si="107"/>
        <v>#N/A</v>
      </c>
      <c r="M723" s="44" t="e">
        <f t="shared" si="108"/>
        <v>#N/A</v>
      </c>
    </row>
    <row r="724" spans="1:13" ht="45" customHeight="1" x14ac:dyDescent="0.2">
      <c r="A724" s="27" t="s">
        <v>1610</v>
      </c>
      <c r="B724" s="47" t="s">
        <v>1659</v>
      </c>
      <c r="C724" s="52" t="s">
        <v>1660</v>
      </c>
      <c r="D724" s="39" t="s">
        <v>1661</v>
      </c>
      <c r="E724" s="29"/>
      <c r="F724" s="30"/>
      <c r="G724" s="31">
        <f t="shared" si="104"/>
        <v>0</v>
      </c>
      <c r="H724" s="31"/>
      <c r="I724" s="32">
        <f t="shared" si="105"/>
        <v>0</v>
      </c>
      <c r="J724" s="36" t="e">
        <f>VLOOKUP(Tabla1[[#This Row],[SKU]],[1]Productos!$A$2:$E$20,5,FALSE)</f>
        <v>#N/A</v>
      </c>
      <c r="K724" s="32" t="e">
        <f t="shared" si="106"/>
        <v>#N/A</v>
      </c>
      <c r="L724" s="34" t="e">
        <f t="shared" si="107"/>
        <v>#N/A</v>
      </c>
      <c r="M724" s="44" t="e">
        <f t="shared" si="108"/>
        <v>#N/A</v>
      </c>
    </row>
    <row r="725" spans="1:13" ht="45" customHeight="1" x14ac:dyDescent="0.2">
      <c r="A725" s="27" t="s">
        <v>1610</v>
      </c>
      <c r="B725" s="47" t="s">
        <v>1662</v>
      </c>
      <c r="C725" s="52" t="s">
        <v>1660</v>
      </c>
      <c r="D725" s="39" t="s">
        <v>1661</v>
      </c>
      <c r="E725" s="29"/>
      <c r="F725" s="30"/>
      <c r="G725" s="31">
        <f t="shared" si="104"/>
        <v>0</v>
      </c>
      <c r="H725" s="31"/>
      <c r="I725" s="32">
        <f t="shared" si="105"/>
        <v>0</v>
      </c>
      <c r="J725" s="36" t="e">
        <f>VLOOKUP(Tabla1[[#This Row],[SKU]],[1]Productos!$A$2:$E$20,5,FALSE)</f>
        <v>#N/A</v>
      </c>
      <c r="K725" s="32" t="e">
        <f t="shared" si="106"/>
        <v>#N/A</v>
      </c>
      <c r="L725" s="34" t="e">
        <f t="shared" si="107"/>
        <v>#N/A</v>
      </c>
      <c r="M725" s="44" t="e">
        <f t="shared" si="108"/>
        <v>#N/A</v>
      </c>
    </row>
    <row r="726" spans="1:13" ht="45" customHeight="1" x14ac:dyDescent="0.2">
      <c r="A726" s="27" t="s">
        <v>1610</v>
      </c>
      <c r="B726" s="47" t="s">
        <v>1663</v>
      </c>
      <c r="C726" s="52" t="s">
        <v>1664</v>
      </c>
      <c r="D726" s="39" t="s">
        <v>1665</v>
      </c>
      <c r="E726" s="29"/>
      <c r="F726" s="30"/>
      <c r="G726" s="31">
        <f t="shared" si="104"/>
        <v>0</v>
      </c>
      <c r="H726" s="31"/>
      <c r="I726" s="32">
        <f t="shared" si="105"/>
        <v>0</v>
      </c>
      <c r="J726" s="36" t="e">
        <f>VLOOKUP(Tabla1[[#This Row],[SKU]],[1]Productos!$A$2:$E$20,5,FALSE)</f>
        <v>#N/A</v>
      </c>
      <c r="K726" s="32" t="e">
        <f t="shared" si="106"/>
        <v>#N/A</v>
      </c>
      <c r="L726" s="34" t="e">
        <f t="shared" si="107"/>
        <v>#N/A</v>
      </c>
      <c r="M726" s="44" t="e">
        <f t="shared" si="108"/>
        <v>#N/A</v>
      </c>
    </row>
    <row r="727" spans="1:13" ht="45" customHeight="1" x14ac:dyDescent="0.2">
      <c r="A727" s="27" t="s">
        <v>1610</v>
      </c>
      <c r="B727" s="47" t="s">
        <v>1666</v>
      </c>
      <c r="C727" s="52" t="s">
        <v>1664</v>
      </c>
      <c r="D727" s="39" t="s">
        <v>1665</v>
      </c>
      <c r="E727" s="29"/>
      <c r="F727" s="30"/>
      <c r="G727" s="31">
        <f t="shared" si="104"/>
        <v>0</v>
      </c>
      <c r="H727" s="31"/>
      <c r="I727" s="32">
        <f t="shared" si="105"/>
        <v>0</v>
      </c>
      <c r="J727" s="36" t="e">
        <f>VLOOKUP(Tabla1[[#This Row],[SKU]],[1]Productos!$A$2:$E$20,5,FALSE)</f>
        <v>#N/A</v>
      </c>
      <c r="K727" s="32" t="e">
        <f t="shared" si="106"/>
        <v>#N/A</v>
      </c>
      <c r="L727" s="34" t="e">
        <f t="shared" si="107"/>
        <v>#N/A</v>
      </c>
      <c r="M727" s="44" t="e">
        <f t="shared" si="108"/>
        <v>#N/A</v>
      </c>
    </row>
    <row r="728" spans="1:13" ht="45" customHeight="1" x14ac:dyDescent="0.2">
      <c r="A728" s="27" t="s">
        <v>551</v>
      </c>
      <c r="B728" s="47" t="s">
        <v>1667</v>
      </c>
      <c r="C728" s="52" t="s">
        <v>1668</v>
      </c>
      <c r="D728" s="39" t="s">
        <v>1669</v>
      </c>
      <c r="E728" s="29"/>
      <c r="F728" s="30"/>
      <c r="G728" s="31">
        <f t="shared" si="104"/>
        <v>0</v>
      </c>
      <c r="H728" s="31"/>
      <c r="I728" s="32">
        <f t="shared" si="105"/>
        <v>0</v>
      </c>
      <c r="J728" s="36">
        <v>2303</v>
      </c>
      <c r="K728" s="32">
        <f t="shared" si="106"/>
        <v>-2303</v>
      </c>
      <c r="L728" s="34">
        <f t="shared" si="107"/>
        <v>-1</v>
      </c>
      <c r="M728" s="44" t="e">
        <f t="shared" si="108"/>
        <v>#DIV/0!</v>
      </c>
    </row>
    <row r="729" spans="1:13" ht="45" customHeight="1" x14ac:dyDescent="0.2">
      <c r="A729" s="27" t="s">
        <v>551</v>
      </c>
      <c r="B729" s="47" t="s">
        <v>1670</v>
      </c>
      <c r="C729" s="52" t="s">
        <v>1668</v>
      </c>
      <c r="D729" s="39" t="s">
        <v>1669</v>
      </c>
      <c r="E729" s="29"/>
      <c r="F729" s="30"/>
      <c r="G729" s="31">
        <f t="shared" si="104"/>
        <v>0</v>
      </c>
      <c r="H729" s="31"/>
      <c r="I729" s="32">
        <f t="shared" si="105"/>
        <v>0</v>
      </c>
      <c r="J729" s="36">
        <v>2303</v>
      </c>
      <c r="K729" s="32">
        <f t="shared" si="106"/>
        <v>-2303</v>
      </c>
      <c r="L729" s="34">
        <f t="shared" si="107"/>
        <v>-1</v>
      </c>
      <c r="M729" s="44" t="e">
        <f t="shared" si="108"/>
        <v>#DIV/0!</v>
      </c>
    </row>
    <row r="730" spans="1:13" ht="45" customHeight="1" x14ac:dyDescent="0.2">
      <c r="A730" s="27" t="s">
        <v>551</v>
      </c>
      <c r="B730" s="47" t="s">
        <v>1671</v>
      </c>
      <c r="C730" s="52" t="s">
        <v>1672</v>
      </c>
      <c r="D730" s="39" t="s">
        <v>1673</v>
      </c>
      <c r="E730" s="29"/>
      <c r="F730" s="30"/>
      <c r="G730" s="31">
        <f t="shared" si="104"/>
        <v>0</v>
      </c>
      <c r="H730" s="31"/>
      <c r="I730" s="32">
        <f t="shared" si="105"/>
        <v>0</v>
      </c>
      <c r="J730" s="36">
        <v>2850</v>
      </c>
      <c r="K730" s="32">
        <f t="shared" si="106"/>
        <v>-2850</v>
      </c>
      <c r="L730" s="34">
        <f t="shared" si="107"/>
        <v>-1</v>
      </c>
      <c r="M730" s="44" t="e">
        <f t="shared" si="108"/>
        <v>#DIV/0!</v>
      </c>
    </row>
    <row r="731" spans="1:13" ht="45" customHeight="1" x14ac:dyDescent="0.2">
      <c r="A731" s="27" t="s">
        <v>551</v>
      </c>
      <c r="B731" s="47" t="s">
        <v>1674</v>
      </c>
      <c r="C731" s="52" t="s">
        <v>1672</v>
      </c>
      <c r="D731" s="39" t="s">
        <v>1673</v>
      </c>
      <c r="E731" s="29"/>
      <c r="F731" s="30"/>
      <c r="G731" s="31">
        <f t="shared" si="104"/>
        <v>0</v>
      </c>
      <c r="H731" s="31"/>
      <c r="I731" s="32">
        <f t="shared" si="105"/>
        <v>0</v>
      </c>
      <c r="J731" s="36">
        <v>2850</v>
      </c>
      <c r="K731" s="32">
        <f t="shared" si="106"/>
        <v>-2850</v>
      </c>
      <c r="L731" s="34">
        <f t="shared" si="107"/>
        <v>-1</v>
      </c>
      <c r="M731" s="44" t="e">
        <f t="shared" si="108"/>
        <v>#DIV/0!</v>
      </c>
    </row>
    <row r="732" spans="1:13" ht="45" customHeight="1" x14ac:dyDescent="0.2">
      <c r="A732" s="27" t="s">
        <v>551</v>
      </c>
      <c r="B732" s="47" t="s">
        <v>1675</v>
      </c>
      <c r="C732" s="52" t="s">
        <v>1676</v>
      </c>
      <c r="D732" s="39" t="s">
        <v>1677</v>
      </c>
      <c r="E732" s="29"/>
      <c r="F732" s="30"/>
      <c r="G732" s="31">
        <f t="shared" si="104"/>
        <v>0</v>
      </c>
      <c r="H732" s="31"/>
      <c r="I732" s="32">
        <f t="shared" si="105"/>
        <v>0</v>
      </c>
      <c r="J732" s="36">
        <v>2850</v>
      </c>
      <c r="K732" s="32">
        <f t="shared" si="106"/>
        <v>-2850</v>
      </c>
      <c r="L732" s="34">
        <f t="shared" si="107"/>
        <v>-1</v>
      </c>
      <c r="M732" s="44" t="e">
        <f t="shared" si="108"/>
        <v>#DIV/0!</v>
      </c>
    </row>
    <row r="733" spans="1:13" ht="45" customHeight="1" x14ac:dyDescent="0.2">
      <c r="A733" s="27" t="s">
        <v>551</v>
      </c>
      <c r="B733" s="47" t="s">
        <v>1678</v>
      </c>
      <c r="C733" s="52" t="s">
        <v>1676</v>
      </c>
      <c r="D733" s="39" t="s">
        <v>1677</v>
      </c>
      <c r="E733" s="29"/>
      <c r="F733" s="30"/>
      <c r="G733" s="31">
        <f t="shared" ref="G733:G764" si="109">E733*F733</f>
        <v>0</v>
      </c>
      <c r="H733" s="31"/>
      <c r="I733" s="32">
        <f t="shared" ref="I733:I764" si="110">E733-G733-H733</f>
        <v>0</v>
      </c>
      <c r="J733" s="36">
        <v>2850</v>
      </c>
      <c r="K733" s="32">
        <f t="shared" ref="K733:K764" si="111">I733-J733</f>
        <v>-2850</v>
      </c>
      <c r="L733" s="34">
        <f t="shared" ref="L733:L764" si="112">K733/J733</f>
        <v>-1</v>
      </c>
      <c r="M733" s="44" t="e">
        <f t="shared" ref="M733:M764" si="113">K733/E733</f>
        <v>#DIV/0!</v>
      </c>
    </row>
    <row r="734" spans="1:13" ht="45" customHeight="1" x14ac:dyDescent="0.2">
      <c r="A734" s="27" t="s">
        <v>551</v>
      </c>
      <c r="B734" s="47" t="s">
        <v>1679</v>
      </c>
      <c r="C734" s="52" t="s">
        <v>1680</v>
      </c>
      <c r="D734" s="39" t="s">
        <v>1681</v>
      </c>
      <c r="E734" s="29"/>
      <c r="F734" s="30"/>
      <c r="G734" s="31">
        <f t="shared" si="109"/>
        <v>0</v>
      </c>
      <c r="H734" s="31"/>
      <c r="I734" s="32">
        <f t="shared" si="110"/>
        <v>0</v>
      </c>
      <c r="J734" s="36">
        <v>2850</v>
      </c>
      <c r="K734" s="32">
        <f t="shared" si="111"/>
        <v>-2850</v>
      </c>
      <c r="L734" s="34">
        <f t="shared" si="112"/>
        <v>-1</v>
      </c>
      <c r="M734" s="44" t="e">
        <f t="shared" si="113"/>
        <v>#DIV/0!</v>
      </c>
    </row>
    <row r="735" spans="1:13" ht="45" customHeight="1" x14ac:dyDescent="0.2">
      <c r="A735" s="27" t="s">
        <v>551</v>
      </c>
      <c r="B735" s="47" t="s">
        <v>1682</v>
      </c>
      <c r="C735" s="52" t="s">
        <v>1680</v>
      </c>
      <c r="D735" s="39" t="s">
        <v>1681</v>
      </c>
      <c r="E735" s="29"/>
      <c r="F735" s="30"/>
      <c r="G735" s="31">
        <f t="shared" si="109"/>
        <v>0</v>
      </c>
      <c r="H735" s="31"/>
      <c r="I735" s="32">
        <f t="shared" si="110"/>
        <v>0</v>
      </c>
      <c r="J735" s="36">
        <v>2850</v>
      </c>
      <c r="K735" s="32">
        <f t="shared" si="111"/>
        <v>-2850</v>
      </c>
      <c r="L735" s="34">
        <f t="shared" si="112"/>
        <v>-1</v>
      </c>
      <c r="M735" s="44" t="e">
        <f t="shared" si="113"/>
        <v>#DIV/0!</v>
      </c>
    </row>
    <row r="736" spans="1:13" ht="45" customHeight="1" x14ac:dyDescent="0.2">
      <c r="A736" s="27" t="s">
        <v>551</v>
      </c>
      <c r="B736" s="47" t="s">
        <v>1683</v>
      </c>
      <c r="C736" s="52" t="s">
        <v>1684</v>
      </c>
      <c r="D736" s="39" t="s">
        <v>1685</v>
      </c>
      <c r="E736" s="29"/>
      <c r="F736" s="30"/>
      <c r="G736" s="31">
        <f t="shared" si="109"/>
        <v>0</v>
      </c>
      <c r="H736" s="31"/>
      <c r="I736" s="32">
        <f t="shared" si="110"/>
        <v>0</v>
      </c>
      <c r="J736" s="36">
        <v>524</v>
      </c>
      <c r="K736" s="32">
        <f t="shared" si="111"/>
        <v>-524</v>
      </c>
      <c r="L736" s="34">
        <f t="shared" si="112"/>
        <v>-1</v>
      </c>
      <c r="M736" s="44" t="e">
        <f t="shared" si="113"/>
        <v>#DIV/0!</v>
      </c>
    </row>
    <row r="737" spans="1:13" ht="45" customHeight="1" x14ac:dyDescent="0.2">
      <c r="A737" s="27" t="s">
        <v>551</v>
      </c>
      <c r="B737" s="47" t="s">
        <v>1686</v>
      </c>
      <c r="C737" s="52" t="s">
        <v>1684</v>
      </c>
      <c r="D737" s="39" t="s">
        <v>1685</v>
      </c>
      <c r="E737" s="29"/>
      <c r="F737" s="30"/>
      <c r="G737" s="31">
        <f t="shared" si="109"/>
        <v>0</v>
      </c>
      <c r="H737" s="31"/>
      <c r="I737" s="32">
        <f t="shared" si="110"/>
        <v>0</v>
      </c>
      <c r="J737" s="36">
        <v>524</v>
      </c>
      <c r="K737" s="32">
        <f t="shared" si="111"/>
        <v>-524</v>
      </c>
      <c r="L737" s="34">
        <f t="shared" si="112"/>
        <v>-1</v>
      </c>
      <c r="M737" s="44" t="e">
        <f t="shared" si="113"/>
        <v>#DIV/0!</v>
      </c>
    </row>
    <row r="738" spans="1:13" ht="45" customHeight="1" x14ac:dyDescent="0.2">
      <c r="A738" s="27" t="s">
        <v>551</v>
      </c>
      <c r="B738" s="47" t="s">
        <v>1687</v>
      </c>
      <c r="C738" s="52" t="s">
        <v>1688</v>
      </c>
      <c r="D738" s="39" t="s">
        <v>1689</v>
      </c>
      <c r="E738" s="29"/>
      <c r="F738" s="30"/>
      <c r="G738" s="31">
        <f t="shared" si="109"/>
        <v>0</v>
      </c>
      <c r="H738" s="31"/>
      <c r="I738" s="32">
        <f t="shared" si="110"/>
        <v>0</v>
      </c>
      <c r="J738" s="36">
        <v>524</v>
      </c>
      <c r="K738" s="32">
        <f t="shared" si="111"/>
        <v>-524</v>
      </c>
      <c r="L738" s="34">
        <f t="shared" si="112"/>
        <v>-1</v>
      </c>
      <c r="M738" s="44" t="e">
        <f t="shared" si="113"/>
        <v>#DIV/0!</v>
      </c>
    </row>
    <row r="739" spans="1:13" ht="45" customHeight="1" x14ac:dyDescent="0.2">
      <c r="A739" s="27" t="s">
        <v>551</v>
      </c>
      <c r="B739" s="47" t="s">
        <v>1690</v>
      </c>
      <c r="C739" s="52" t="s">
        <v>1688</v>
      </c>
      <c r="D739" s="39" t="s">
        <v>1689</v>
      </c>
      <c r="E739" s="29"/>
      <c r="F739" s="30"/>
      <c r="G739" s="31">
        <f t="shared" si="109"/>
        <v>0</v>
      </c>
      <c r="H739" s="31"/>
      <c r="I739" s="32">
        <f t="shared" si="110"/>
        <v>0</v>
      </c>
      <c r="J739" s="36">
        <v>524</v>
      </c>
      <c r="K739" s="32">
        <f t="shared" si="111"/>
        <v>-524</v>
      </c>
      <c r="L739" s="34">
        <f t="shared" si="112"/>
        <v>-1</v>
      </c>
      <c r="M739" s="44" t="e">
        <f t="shared" si="113"/>
        <v>#DIV/0!</v>
      </c>
    </row>
    <row r="740" spans="1:13" ht="45" customHeight="1" x14ac:dyDescent="0.2">
      <c r="A740" s="27" t="s">
        <v>551</v>
      </c>
      <c r="B740" s="47" t="s">
        <v>1691</v>
      </c>
      <c r="C740" s="52" t="s">
        <v>1692</v>
      </c>
      <c r="D740" s="39" t="s">
        <v>1693</v>
      </c>
      <c r="E740" s="29"/>
      <c r="F740" s="30"/>
      <c r="G740" s="31">
        <f t="shared" si="109"/>
        <v>0</v>
      </c>
      <c r="H740" s="31"/>
      <c r="I740" s="32">
        <f t="shared" si="110"/>
        <v>0</v>
      </c>
      <c r="J740" s="36">
        <v>524</v>
      </c>
      <c r="K740" s="32">
        <f t="shared" si="111"/>
        <v>-524</v>
      </c>
      <c r="L740" s="34">
        <f t="shared" si="112"/>
        <v>-1</v>
      </c>
      <c r="M740" s="44" t="e">
        <f t="shared" si="113"/>
        <v>#DIV/0!</v>
      </c>
    </row>
    <row r="741" spans="1:13" ht="45" customHeight="1" x14ac:dyDescent="0.2">
      <c r="A741" s="27" t="s">
        <v>551</v>
      </c>
      <c r="B741" s="47" t="s">
        <v>1694</v>
      </c>
      <c r="C741" s="52" t="s">
        <v>1692</v>
      </c>
      <c r="D741" s="39" t="s">
        <v>1693</v>
      </c>
      <c r="E741" s="29"/>
      <c r="F741" s="30"/>
      <c r="G741" s="31">
        <f t="shared" si="109"/>
        <v>0</v>
      </c>
      <c r="H741" s="31"/>
      <c r="I741" s="32">
        <f t="shared" si="110"/>
        <v>0</v>
      </c>
      <c r="J741" s="36">
        <v>524</v>
      </c>
      <c r="K741" s="32">
        <f t="shared" si="111"/>
        <v>-524</v>
      </c>
      <c r="L741" s="34">
        <f t="shared" si="112"/>
        <v>-1</v>
      </c>
      <c r="M741" s="44" t="e">
        <f t="shared" si="113"/>
        <v>#DIV/0!</v>
      </c>
    </row>
    <row r="742" spans="1:13" ht="45" customHeight="1" x14ac:dyDescent="0.2">
      <c r="A742" s="27" t="s">
        <v>551</v>
      </c>
      <c r="B742" s="47" t="s">
        <v>1695</v>
      </c>
      <c r="C742" s="52" t="s">
        <v>1696</v>
      </c>
      <c r="D742" s="39" t="s">
        <v>1697</v>
      </c>
      <c r="E742" s="29"/>
      <c r="F742" s="30"/>
      <c r="G742" s="31">
        <f t="shared" si="109"/>
        <v>0</v>
      </c>
      <c r="H742" s="31"/>
      <c r="I742" s="32">
        <f t="shared" si="110"/>
        <v>0</v>
      </c>
      <c r="J742" s="36">
        <v>524</v>
      </c>
      <c r="K742" s="32">
        <f t="shared" si="111"/>
        <v>-524</v>
      </c>
      <c r="L742" s="34">
        <f t="shared" si="112"/>
        <v>-1</v>
      </c>
      <c r="M742" s="44" t="e">
        <f t="shared" si="113"/>
        <v>#DIV/0!</v>
      </c>
    </row>
    <row r="743" spans="1:13" ht="45" customHeight="1" x14ac:dyDescent="0.2">
      <c r="A743" s="27" t="s">
        <v>551</v>
      </c>
      <c r="B743" s="47" t="s">
        <v>1698</v>
      </c>
      <c r="C743" s="52" t="s">
        <v>1696</v>
      </c>
      <c r="D743" s="39" t="s">
        <v>1697</v>
      </c>
      <c r="E743" s="29"/>
      <c r="F743" s="30"/>
      <c r="G743" s="31">
        <f t="shared" si="109"/>
        <v>0</v>
      </c>
      <c r="H743" s="31"/>
      <c r="I743" s="32">
        <f t="shared" si="110"/>
        <v>0</v>
      </c>
      <c r="J743" s="36">
        <v>524</v>
      </c>
      <c r="K743" s="32">
        <f t="shared" si="111"/>
        <v>-524</v>
      </c>
      <c r="L743" s="34">
        <f t="shared" si="112"/>
        <v>-1</v>
      </c>
      <c r="M743" s="44" t="e">
        <f t="shared" si="113"/>
        <v>#DIV/0!</v>
      </c>
    </row>
    <row r="744" spans="1:13" ht="45" customHeight="1" x14ac:dyDescent="0.2">
      <c r="A744" s="27" t="s">
        <v>551</v>
      </c>
      <c r="B744" s="47" t="s">
        <v>1699</v>
      </c>
      <c r="C744" s="52" t="s">
        <v>1700</v>
      </c>
      <c r="D744" s="39" t="s">
        <v>1701</v>
      </c>
      <c r="E744" s="29"/>
      <c r="F744" s="30"/>
      <c r="G744" s="31">
        <f t="shared" si="109"/>
        <v>0</v>
      </c>
      <c r="H744" s="31"/>
      <c r="I744" s="32">
        <f t="shared" si="110"/>
        <v>0</v>
      </c>
      <c r="J744" s="36">
        <v>1777</v>
      </c>
      <c r="K744" s="32">
        <f t="shared" si="111"/>
        <v>-1777</v>
      </c>
      <c r="L744" s="34">
        <f t="shared" si="112"/>
        <v>-1</v>
      </c>
      <c r="M744" s="44" t="e">
        <f t="shared" si="113"/>
        <v>#DIV/0!</v>
      </c>
    </row>
    <row r="745" spans="1:13" ht="45" customHeight="1" x14ac:dyDescent="0.2">
      <c r="A745" s="27" t="s">
        <v>551</v>
      </c>
      <c r="B745" s="47" t="s">
        <v>1702</v>
      </c>
      <c r="C745" s="52" t="s">
        <v>1700</v>
      </c>
      <c r="D745" s="39" t="s">
        <v>1701</v>
      </c>
      <c r="E745" s="29"/>
      <c r="F745" s="30"/>
      <c r="G745" s="31">
        <f t="shared" si="109"/>
        <v>0</v>
      </c>
      <c r="H745" s="31"/>
      <c r="I745" s="32">
        <f t="shared" si="110"/>
        <v>0</v>
      </c>
      <c r="J745" s="36">
        <v>1777</v>
      </c>
      <c r="K745" s="32">
        <f t="shared" si="111"/>
        <v>-1777</v>
      </c>
      <c r="L745" s="34">
        <f t="shared" si="112"/>
        <v>-1</v>
      </c>
      <c r="M745" s="44" t="e">
        <f t="shared" si="113"/>
        <v>#DIV/0!</v>
      </c>
    </row>
    <row r="746" spans="1:13" ht="45" customHeight="1" x14ac:dyDescent="0.2">
      <c r="A746" s="27" t="s">
        <v>551</v>
      </c>
      <c r="B746" s="47" t="s">
        <v>1703</v>
      </c>
      <c r="C746" s="52" t="s">
        <v>1704</v>
      </c>
      <c r="D746" s="39" t="s">
        <v>1705</v>
      </c>
      <c r="E746" s="29"/>
      <c r="F746" s="30"/>
      <c r="G746" s="31">
        <f t="shared" si="109"/>
        <v>0</v>
      </c>
      <c r="H746" s="31"/>
      <c r="I746" s="32">
        <f t="shared" si="110"/>
        <v>0</v>
      </c>
      <c r="J746" s="36">
        <v>1777</v>
      </c>
      <c r="K746" s="32">
        <f t="shared" si="111"/>
        <v>-1777</v>
      </c>
      <c r="L746" s="34">
        <f t="shared" si="112"/>
        <v>-1</v>
      </c>
      <c r="M746" s="44" t="e">
        <f t="shared" si="113"/>
        <v>#DIV/0!</v>
      </c>
    </row>
    <row r="747" spans="1:13" ht="45" customHeight="1" x14ac:dyDescent="0.2">
      <c r="A747" s="27" t="s">
        <v>551</v>
      </c>
      <c r="B747" s="47" t="s">
        <v>1707</v>
      </c>
      <c r="C747" s="52" t="s">
        <v>1706</v>
      </c>
      <c r="D747" s="39" t="s">
        <v>1708</v>
      </c>
      <c r="E747" s="29"/>
      <c r="F747" s="30"/>
      <c r="G747" s="31">
        <f t="shared" si="109"/>
        <v>0</v>
      </c>
      <c r="H747" s="31"/>
      <c r="I747" s="32">
        <f t="shared" si="110"/>
        <v>0</v>
      </c>
      <c r="J747" s="36">
        <v>524</v>
      </c>
      <c r="K747" s="32">
        <f t="shared" si="111"/>
        <v>-524</v>
      </c>
      <c r="L747" s="34">
        <f t="shared" si="112"/>
        <v>-1</v>
      </c>
      <c r="M747" s="44" t="e">
        <f t="shared" si="113"/>
        <v>#DIV/0!</v>
      </c>
    </row>
    <row r="748" spans="1:13" ht="45" customHeight="1" x14ac:dyDescent="0.2">
      <c r="A748" s="27" t="s">
        <v>539</v>
      </c>
      <c r="B748" s="47" t="s">
        <v>1709</v>
      </c>
      <c r="C748" s="52" t="s">
        <v>1470</v>
      </c>
      <c r="D748" s="39" t="s">
        <v>1710</v>
      </c>
      <c r="E748" s="29"/>
      <c r="F748" s="30"/>
      <c r="G748" s="31">
        <f t="shared" si="109"/>
        <v>0</v>
      </c>
      <c r="H748" s="31"/>
      <c r="I748" s="32">
        <f t="shared" si="110"/>
        <v>0</v>
      </c>
      <c r="J748" s="36">
        <v>1260</v>
      </c>
      <c r="K748" s="32">
        <f t="shared" si="111"/>
        <v>-1260</v>
      </c>
      <c r="L748" s="34">
        <f t="shared" si="112"/>
        <v>-1</v>
      </c>
      <c r="M748" s="44" t="e">
        <f t="shared" si="113"/>
        <v>#DIV/0!</v>
      </c>
    </row>
    <row r="749" spans="1:13" ht="45" customHeight="1" x14ac:dyDescent="0.2">
      <c r="A749" s="27" t="s">
        <v>539</v>
      </c>
      <c r="B749" s="47" t="s">
        <v>1711</v>
      </c>
      <c r="C749" s="52" t="s">
        <v>1464</v>
      </c>
      <c r="D749" s="39" t="s">
        <v>1712</v>
      </c>
      <c r="E749" s="29"/>
      <c r="F749" s="30"/>
      <c r="G749" s="31">
        <f t="shared" si="109"/>
        <v>0</v>
      </c>
      <c r="H749" s="31"/>
      <c r="I749" s="32">
        <f t="shared" si="110"/>
        <v>0</v>
      </c>
      <c r="J749" s="36">
        <v>4200</v>
      </c>
      <c r="K749" s="32">
        <f t="shared" si="111"/>
        <v>-4200</v>
      </c>
      <c r="L749" s="34">
        <f t="shared" si="112"/>
        <v>-1</v>
      </c>
      <c r="M749" s="44" t="e">
        <f t="shared" si="113"/>
        <v>#DIV/0!</v>
      </c>
    </row>
    <row r="750" spans="1:13" ht="45" customHeight="1" x14ac:dyDescent="0.2">
      <c r="A750" s="27" t="s">
        <v>539</v>
      </c>
      <c r="B750" s="47" t="s">
        <v>1713</v>
      </c>
      <c r="C750" s="52" t="s">
        <v>1359</v>
      </c>
      <c r="D750" s="39" t="s">
        <v>1714</v>
      </c>
      <c r="E750" s="29"/>
      <c r="F750" s="30"/>
      <c r="G750" s="31">
        <f t="shared" si="109"/>
        <v>0</v>
      </c>
      <c r="H750" s="31"/>
      <c r="I750" s="32">
        <f t="shared" si="110"/>
        <v>0</v>
      </c>
      <c r="J750" s="36">
        <v>6720</v>
      </c>
      <c r="K750" s="32">
        <f t="shared" si="111"/>
        <v>-6720</v>
      </c>
      <c r="L750" s="34">
        <f t="shared" si="112"/>
        <v>-1</v>
      </c>
      <c r="M750" s="44" t="e">
        <f t="shared" si="113"/>
        <v>#DIV/0!</v>
      </c>
    </row>
    <row r="751" spans="1:13" ht="45" customHeight="1" x14ac:dyDescent="0.2">
      <c r="A751" s="27" t="s">
        <v>539</v>
      </c>
      <c r="B751" s="47" t="s">
        <v>1715</v>
      </c>
      <c r="C751" s="52" t="s">
        <v>1501</v>
      </c>
      <c r="D751" s="39" t="s">
        <v>1716</v>
      </c>
      <c r="E751" s="29"/>
      <c r="F751" s="30"/>
      <c r="G751" s="31">
        <f t="shared" si="109"/>
        <v>0</v>
      </c>
      <c r="H751" s="31"/>
      <c r="I751" s="32">
        <f t="shared" si="110"/>
        <v>0</v>
      </c>
      <c r="J751" s="36">
        <v>3600</v>
      </c>
      <c r="K751" s="32">
        <f t="shared" si="111"/>
        <v>-3600</v>
      </c>
      <c r="L751" s="34">
        <f t="shared" si="112"/>
        <v>-1</v>
      </c>
      <c r="M751" s="44" t="e">
        <f t="shared" si="113"/>
        <v>#DIV/0!</v>
      </c>
    </row>
    <row r="752" spans="1:13" ht="45" customHeight="1" x14ac:dyDescent="0.2">
      <c r="A752" s="27" t="s">
        <v>539</v>
      </c>
      <c r="B752" s="47" t="s">
        <v>1717</v>
      </c>
      <c r="C752" s="52" t="s">
        <v>1510</v>
      </c>
      <c r="D752" s="39" t="s">
        <v>1718</v>
      </c>
      <c r="E752" s="29"/>
      <c r="F752" s="30"/>
      <c r="G752" s="31">
        <f t="shared" si="109"/>
        <v>0</v>
      </c>
      <c r="H752" s="31"/>
      <c r="I752" s="32">
        <f t="shared" si="110"/>
        <v>0</v>
      </c>
      <c r="J752" s="36">
        <v>8400</v>
      </c>
      <c r="K752" s="32">
        <f t="shared" si="111"/>
        <v>-8400</v>
      </c>
      <c r="L752" s="34">
        <f t="shared" si="112"/>
        <v>-1</v>
      </c>
      <c r="M752" s="44" t="e">
        <f t="shared" si="113"/>
        <v>#DIV/0!</v>
      </c>
    </row>
    <row r="753" spans="1:13" ht="45" customHeight="1" x14ac:dyDescent="0.2">
      <c r="A753" s="27" t="s">
        <v>539</v>
      </c>
      <c r="B753" s="47" t="s">
        <v>1719</v>
      </c>
      <c r="C753" s="52" t="s">
        <v>1453</v>
      </c>
      <c r="D753" s="39" t="s">
        <v>1720</v>
      </c>
      <c r="E753" s="29"/>
      <c r="F753" s="30"/>
      <c r="G753" s="31">
        <f t="shared" si="109"/>
        <v>0</v>
      </c>
      <c r="H753" s="31"/>
      <c r="I753" s="32">
        <f t="shared" si="110"/>
        <v>0</v>
      </c>
      <c r="J753" s="36">
        <v>5460</v>
      </c>
      <c r="K753" s="32">
        <f t="shared" si="111"/>
        <v>-5460</v>
      </c>
      <c r="L753" s="34">
        <f t="shared" si="112"/>
        <v>-1</v>
      </c>
      <c r="M753" s="44" t="e">
        <f t="shared" si="113"/>
        <v>#DIV/0!</v>
      </c>
    </row>
    <row r="754" spans="1:13" ht="45" customHeight="1" x14ac:dyDescent="0.2">
      <c r="A754" s="27" t="s">
        <v>1310</v>
      </c>
      <c r="B754" s="47" t="s">
        <v>1721</v>
      </c>
      <c r="C754" s="52" t="s">
        <v>1295</v>
      </c>
      <c r="D754" s="39" t="s">
        <v>1722</v>
      </c>
      <c r="E754" s="29"/>
      <c r="F754" s="30"/>
      <c r="G754" s="31">
        <f t="shared" si="109"/>
        <v>0</v>
      </c>
      <c r="H754" s="31"/>
      <c r="I754" s="32">
        <f t="shared" si="110"/>
        <v>0</v>
      </c>
      <c r="J754" s="36">
        <v>6902</v>
      </c>
      <c r="K754" s="32">
        <f t="shared" si="111"/>
        <v>-6902</v>
      </c>
      <c r="L754" s="34">
        <f t="shared" si="112"/>
        <v>-1</v>
      </c>
      <c r="M754" s="44" t="e">
        <f t="shared" si="113"/>
        <v>#DIV/0!</v>
      </c>
    </row>
    <row r="755" spans="1:13" ht="45" customHeight="1" x14ac:dyDescent="0.2">
      <c r="A755" s="27" t="s">
        <v>539</v>
      </c>
      <c r="B755" s="47" t="s">
        <v>1723</v>
      </c>
      <c r="C755" s="52" t="s">
        <v>1476</v>
      </c>
      <c r="D755" s="39" t="s">
        <v>1724</v>
      </c>
      <c r="E755" s="29"/>
      <c r="F755" s="30"/>
      <c r="G755" s="31">
        <f t="shared" si="109"/>
        <v>0</v>
      </c>
      <c r="H755" s="31"/>
      <c r="I755" s="32">
        <f t="shared" si="110"/>
        <v>0</v>
      </c>
      <c r="J755" s="36">
        <v>3360</v>
      </c>
      <c r="K755" s="32">
        <f t="shared" si="111"/>
        <v>-3360</v>
      </c>
      <c r="L755" s="34">
        <f t="shared" si="112"/>
        <v>-1</v>
      </c>
      <c r="M755" s="44" t="e">
        <f t="shared" si="113"/>
        <v>#DIV/0!</v>
      </c>
    </row>
    <row r="756" spans="1:13" ht="45" customHeight="1" x14ac:dyDescent="0.2">
      <c r="A756" s="27" t="s">
        <v>539</v>
      </c>
      <c r="B756" s="47" t="s">
        <v>1725</v>
      </c>
      <c r="C756" s="52" t="s">
        <v>1357</v>
      </c>
      <c r="D756" s="39" t="s">
        <v>1726</v>
      </c>
      <c r="E756" s="29"/>
      <c r="F756" s="30"/>
      <c r="G756" s="31">
        <f t="shared" si="109"/>
        <v>0</v>
      </c>
      <c r="H756" s="31"/>
      <c r="I756" s="32">
        <f t="shared" si="110"/>
        <v>0</v>
      </c>
      <c r="J756" s="36">
        <v>5460</v>
      </c>
      <c r="K756" s="32">
        <f t="shared" si="111"/>
        <v>-5460</v>
      </c>
      <c r="L756" s="34">
        <f t="shared" si="112"/>
        <v>-1</v>
      </c>
      <c r="M756" s="44" t="e">
        <f t="shared" si="113"/>
        <v>#DIV/0!</v>
      </c>
    </row>
    <row r="757" spans="1:13" ht="45" customHeight="1" x14ac:dyDescent="0.2">
      <c r="A757" s="27" t="s">
        <v>539</v>
      </c>
      <c r="B757" s="47" t="s">
        <v>1727</v>
      </c>
      <c r="C757" s="52" t="s">
        <v>1479</v>
      </c>
      <c r="D757" s="39" t="s">
        <v>1728</v>
      </c>
      <c r="E757" s="29"/>
      <c r="F757" s="30"/>
      <c r="G757" s="31">
        <f t="shared" si="109"/>
        <v>0</v>
      </c>
      <c r="H757" s="31"/>
      <c r="I757" s="32">
        <f t="shared" si="110"/>
        <v>0</v>
      </c>
      <c r="J757" s="36">
        <v>2520</v>
      </c>
      <c r="K757" s="32">
        <f t="shared" si="111"/>
        <v>-2520</v>
      </c>
      <c r="L757" s="34">
        <f t="shared" si="112"/>
        <v>-1</v>
      </c>
      <c r="M757" s="44" t="e">
        <f t="shared" si="113"/>
        <v>#DIV/0!</v>
      </c>
    </row>
    <row r="758" spans="1:13" ht="45" customHeight="1" x14ac:dyDescent="0.2">
      <c r="A758" s="27" t="s">
        <v>539</v>
      </c>
      <c r="B758" s="47" t="s">
        <v>1729</v>
      </c>
      <c r="C758" s="52" t="s">
        <v>1504</v>
      </c>
      <c r="D758" s="39" t="s">
        <v>1730</v>
      </c>
      <c r="E758" s="29"/>
      <c r="F758" s="30"/>
      <c r="G758" s="31">
        <f t="shared" si="109"/>
        <v>0</v>
      </c>
      <c r="H758" s="31"/>
      <c r="I758" s="32">
        <f t="shared" si="110"/>
        <v>0</v>
      </c>
      <c r="J758" s="36">
        <v>7200</v>
      </c>
      <c r="K758" s="32">
        <f t="shared" si="111"/>
        <v>-7200</v>
      </c>
      <c r="L758" s="34">
        <f t="shared" si="112"/>
        <v>-1</v>
      </c>
      <c r="M758" s="44" t="e">
        <f t="shared" si="113"/>
        <v>#DIV/0!</v>
      </c>
    </row>
    <row r="759" spans="1:13" ht="45" customHeight="1" x14ac:dyDescent="0.2">
      <c r="A759" s="27" t="s">
        <v>539</v>
      </c>
      <c r="B759" s="47" t="s">
        <v>1731</v>
      </c>
      <c r="C759" s="52" t="s">
        <v>1458</v>
      </c>
      <c r="D759" s="39" t="s">
        <v>1732</v>
      </c>
      <c r="E759" s="29"/>
      <c r="F759" s="30"/>
      <c r="G759" s="31">
        <f t="shared" si="109"/>
        <v>0</v>
      </c>
      <c r="H759" s="31"/>
      <c r="I759" s="32">
        <f t="shared" si="110"/>
        <v>0</v>
      </c>
      <c r="J759" s="36">
        <v>5040</v>
      </c>
      <c r="K759" s="32">
        <f t="shared" si="111"/>
        <v>-5040</v>
      </c>
      <c r="L759" s="34">
        <f t="shared" si="112"/>
        <v>-1</v>
      </c>
      <c r="M759" s="44" t="e">
        <f t="shared" si="113"/>
        <v>#DIV/0!</v>
      </c>
    </row>
    <row r="760" spans="1:13" ht="45" customHeight="1" x14ac:dyDescent="0.2">
      <c r="A760" s="27" t="s">
        <v>539</v>
      </c>
      <c r="B760" s="47" t="s">
        <v>1733</v>
      </c>
      <c r="C760" s="52" t="s">
        <v>1460</v>
      </c>
      <c r="D760" s="39" t="s">
        <v>1734</v>
      </c>
      <c r="E760" s="29"/>
      <c r="F760" s="30"/>
      <c r="G760" s="31">
        <f t="shared" si="109"/>
        <v>0</v>
      </c>
      <c r="H760" s="31"/>
      <c r="I760" s="32">
        <f t="shared" si="110"/>
        <v>0</v>
      </c>
      <c r="J760" s="36">
        <v>2940</v>
      </c>
      <c r="K760" s="32">
        <f t="shared" si="111"/>
        <v>-2940</v>
      </c>
      <c r="L760" s="34">
        <f t="shared" si="112"/>
        <v>-1</v>
      </c>
      <c r="M760" s="44" t="e">
        <f t="shared" si="113"/>
        <v>#DIV/0!</v>
      </c>
    </row>
    <row r="761" spans="1:13" ht="45" customHeight="1" x14ac:dyDescent="0.2">
      <c r="A761" s="27" t="s">
        <v>539</v>
      </c>
      <c r="B761" s="47" t="s">
        <v>1735</v>
      </c>
      <c r="C761" s="52" t="s">
        <v>1455</v>
      </c>
      <c r="D761" s="39" t="s">
        <v>1736</v>
      </c>
      <c r="E761" s="29"/>
      <c r="F761" s="30"/>
      <c r="G761" s="31">
        <f t="shared" si="109"/>
        <v>0</v>
      </c>
      <c r="H761" s="31"/>
      <c r="I761" s="32">
        <f t="shared" si="110"/>
        <v>0</v>
      </c>
      <c r="J761" s="36">
        <v>4550</v>
      </c>
      <c r="K761" s="32">
        <f t="shared" si="111"/>
        <v>-4550</v>
      </c>
      <c r="L761" s="34">
        <f t="shared" si="112"/>
        <v>-1</v>
      </c>
      <c r="M761" s="44" t="e">
        <f t="shared" si="113"/>
        <v>#DIV/0!</v>
      </c>
    </row>
    <row r="762" spans="1:13" ht="45" customHeight="1" x14ac:dyDescent="0.2">
      <c r="A762" s="27" t="s">
        <v>539</v>
      </c>
      <c r="B762" s="47" t="s">
        <v>1737</v>
      </c>
      <c r="C762" s="52" t="s">
        <v>1507</v>
      </c>
      <c r="D762" s="39" t="s">
        <v>1738</v>
      </c>
      <c r="E762" s="29"/>
      <c r="F762" s="30"/>
      <c r="G762" s="31">
        <f t="shared" si="109"/>
        <v>0</v>
      </c>
      <c r="H762" s="31"/>
      <c r="I762" s="32">
        <f t="shared" si="110"/>
        <v>0</v>
      </c>
      <c r="J762" s="36">
        <v>7200</v>
      </c>
      <c r="K762" s="32">
        <f t="shared" si="111"/>
        <v>-7200</v>
      </c>
      <c r="L762" s="34">
        <f t="shared" si="112"/>
        <v>-1</v>
      </c>
      <c r="M762" s="44" t="e">
        <f t="shared" si="113"/>
        <v>#DIV/0!</v>
      </c>
    </row>
    <row r="763" spans="1:13" ht="45" customHeight="1" x14ac:dyDescent="0.2">
      <c r="A763" s="27" t="s">
        <v>539</v>
      </c>
      <c r="B763" s="47" t="s">
        <v>1739</v>
      </c>
      <c r="C763" s="52" t="s">
        <v>1446</v>
      </c>
      <c r="D763" s="39" t="s">
        <v>1740</v>
      </c>
      <c r="E763" s="29"/>
      <c r="F763" s="30"/>
      <c r="G763" s="31">
        <f t="shared" si="109"/>
        <v>0</v>
      </c>
      <c r="H763" s="31"/>
      <c r="I763" s="32">
        <f t="shared" si="110"/>
        <v>0</v>
      </c>
      <c r="J763" s="36">
        <v>3780</v>
      </c>
      <c r="K763" s="32">
        <f t="shared" si="111"/>
        <v>-3780</v>
      </c>
      <c r="L763" s="34">
        <f t="shared" si="112"/>
        <v>-1</v>
      </c>
      <c r="M763" s="44" t="e">
        <f t="shared" si="113"/>
        <v>#DIV/0!</v>
      </c>
    </row>
    <row r="764" spans="1:13" ht="45" customHeight="1" x14ac:dyDescent="0.2">
      <c r="A764" s="27" t="s">
        <v>539</v>
      </c>
      <c r="B764" s="47" t="s">
        <v>1741</v>
      </c>
      <c r="C764" s="52" t="s">
        <v>1531</v>
      </c>
      <c r="D764" s="39" t="s">
        <v>1742</v>
      </c>
      <c r="E764" s="29"/>
      <c r="F764" s="30"/>
      <c r="G764" s="31">
        <f t="shared" si="109"/>
        <v>0</v>
      </c>
      <c r="H764" s="31"/>
      <c r="I764" s="32">
        <f t="shared" si="110"/>
        <v>0</v>
      </c>
      <c r="J764" s="36">
        <v>2700</v>
      </c>
      <c r="K764" s="32">
        <f t="shared" si="111"/>
        <v>-2700</v>
      </c>
      <c r="L764" s="34">
        <f t="shared" si="112"/>
        <v>-1</v>
      </c>
      <c r="M764" s="44" t="e">
        <f t="shared" si="113"/>
        <v>#DIV/0!</v>
      </c>
    </row>
    <row r="765" spans="1:13" ht="45" customHeight="1" x14ac:dyDescent="0.2">
      <c r="A765" s="27" t="s">
        <v>539</v>
      </c>
      <c r="B765" s="47" t="s">
        <v>1743</v>
      </c>
      <c r="C765" s="52" t="s">
        <v>1534</v>
      </c>
      <c r="D765" s="39" t="s">
        <v>1744</v>
      </c>
      <c r="E765" s="29"/>
      <c r="F765" s="30"/>
      <c r="G765" s="31">
        <f t="shared" ref="G765:G770" si="114">E765*F765</f>
        <v>0</v>
      </c>
      <c r="H765" s="31"/>
      <c r="I765" s="32">
        <f t="shared" ref="I765:I770" si="115">E765-G765-H765</f>
        <v>0</v>
      </c>
      <c r="J765" s="36">
        <v>5400</v>
      </c>
      <c r="K765" s="32">
        <f t="shared" ref="K765:K770" si="116">I765-J765</f>
        <v>-5400</v>
      </c>
      <c r="L765" s="34">
        <f t="shared" ref="L765:L770" si="117">K765/J765</f>
        <v>-1</v>
      </c>
      <c r="M765" s="44" t="e">
        <f t="shared" ref="M765:M770" si="118">K765/E765</f>
        <v>#DIV/0!</v>
      </c>
    </row>
    <row r="766" spans="1:13" ht="45" customHeight="1" x14ac:dyDescent="0.2">
      <c r="A766" s="27" t="s">
        <v>539</v>
      </c>
      <c r="B766" s="47" t="s">
        <v>1745</v>
      </c>
      <c r="C766" s="52" t="s">
        <v>1522</v>
      </c>
      <c r="D766" s="39" t="s">
        <v>1746</v>
      </c>
      <c r="E766" s="29"/>
      <c r="F766" s="30"/>
      <c r="G766" s="31">
        <f t="shared" si="114"/>
        <v>0</v>
      </c>
      <c r="H766" s="31"/>
      <c r="I766" s="32">
        <f t="shared" si="115"/>
        <v>0</v>
      </c>
      <c r="J766" s="36">
        <v>1980</v>
      </c>
      <c r="K766" s="32">
        <f t="shared" si="116"/>
        <v>-1980</v>
      </c>
      <c r="L766" s="34">
        <f t="shared" si="117"/>
        <v>-1</v>
      </c>
      <c r="M766" s="44" t="e">
        <f t="shared" si="118"/>
        <v>#DIV/0!</v>
      </c>
    </row>
    <row r="767" spans="1:13" ht="45" customHeight="1" x14ac:dyDescent="0.2">
      <c r="A767" s="27" t="s">
        <v>539</v>
      </c>
      <c r="B767" s="47" t="s">
        <v>1747</v>
      </c>
      <c r="C767" s="52" t="s">
        <v>1525</v>
      </c>
      <c r="D767" s="39" t="s">
        <v>1748</v>
      </c>
      <c r="E767" s="29"/>
      <c r="F767" s="30"/>
      <c r="G767" s="31">
        <f t="shared" si="114"/>
        <v>0</v>
      </c>
      <c r="H767" s="31"/>
      <c r="I767" s="32">
        <f t="shared" si="115"/>
        <v>0</v>
      </c>
      <c r="J767" s="36">
        <v>2925</v>
      </c>
      <c r="K767" s="32">
        <f t="shared" si="116"/>
        <v>-2925</v>
      </c>
      <c r="L767" s="34">
        <f t="shared" si="117"/>
        <v>-1</v>
      </c>
      <c r="M767" s="44" t="e">
        <f t="shared" si="118"/>
        <v>#DIV/0!</v>
      </c>
    </row>
    <row r="768" spans="1:13" ht="45" customHeight="1" x14ac:dyDescent="0.2">
      <c r="A768" s="27" t="s">
        <v>539</v>
      </c>
      <c r="B768" s="47" t="s">
        <v>1749</v>
      </c>
      <c r="C768" s="52" t="s">
        <v>1448</v>
      </c>
      <c r="D768" s="39" t="s">
        <v>1750</v>
      </c>
      <c r="E768" s="29"/>
      <c r="F768" s="30"/>
      <c r="G768" s="31">
        <f t="shared" si="114"/>
        <v>0</v>
      </c>
      <c r="H768" s="31"/>
      <c r="I768" s="32">
        <f t="shared" si="115"/>
        <v>0</v>
      </c>
      <c r="J768" s="36">
        <v>3360</v>
      </c>
      <c r="K768" s="32">
        <f t="shared" si="116"/>
        <v>-3360</v>
      </c>
      <c r="L768" s="34">
        <f t="shared" si="117"/>
        <v>-1</v>
      </c>
      <c r="M768" s="44" t="e">
        <f t="shared" si="118"/>
        <v>#DIV/0!</v>
      </c>
    </row>
    <row r="769" spans="1:13" ht="45" customHeight="1" x14ac:dyDescent="0.2">
      <c r="A769" s="27" t="s">
        <v>539</v>
      </c>
      <c r="B769" s="47" t="s">
        <v>1751</v>
      </c>
      <c r="C769" s="52" t="s">
        <v>1519</v>
      </c>
      <c r="D769" s="39" t="s">
        <v>1752</v>
      </c>
      <c r="E769" s="29"/>
      <c r="F769" s="30"/>
      <c r="G769" s="31">
        <f t="shared" si="114"/>
        <v>0</v>
      </c>
      <c r="H769" s="31"/>
      <c r="I769" s="32">
        <f t="shared" si="115"/>
        <v>0</v>
      </c>
      <c r="J769" s="36">
        <v>2925</v>
      </c>
      <c r="K769" s="32">
        <f t="shared" si="116"/>
        <v>-2925</v>
      </c>
      <c r="L769" s="34">
        <f t="shared" si="117"/>
        <v>-1</v>
      </c>
      <c r="M769" s="44" t="e">
        <f t="shared" si="118"/>
        <v>#DIV/0!</v>
      </c>
    </row>
    <row r="770" spans="1:13" ht="45" customHeight="1" x14ac:dyDescent="0.2">
      <c r="A770" s="27" t="s">
        <v>539</v>
      </c>
      <c r="B770" s="47" t="s">
        <v>1753</v>
      </c>
      <c r="C770" s="52" t="s">
        <v>1498</v>
      </c>
      <c r="D770" s="39" t="s">
        <v>1754</v>
      </c>
      <c r="E770" s="29"/>
      <c r="F770" s="30"/>
      <c r="G770" s="31">
        <f t="shared" si="114"/>
        <v>0</v>
      </c>
      <c r="H770" s="31"/>
      <c r="I770" s="32">
        <f t="shared" si="115"/>
        <v>0</v>
      </c>
      <c r="J770" s="36">
        <v>5850</v>
      </c>
      <c r="K770" s="32">
        <f t="shared" si="116"/>
        <v>-5850</v>
      </c>
      <c r="L770" s="34">
        <f t="shared" si="117"/>
        <v>-1</v>
      </c>
      <c r="M770" s="44" t="e">
        <f t="shared" si="118"/>
        <v>#DIV/0!</v>
      </c>
    </row>
    <row r="771" spans="1:13" ht="45" customHeight="1" x14ac:dyDescent="0.2">
      <c r="A771" s="27" t="s">
        <v>552</v>
      </c>
      <c r="B771" s="47" t="s">
        <v>1758</v>
      </c>
      <c r="C771" s="52" t="s">
        <v>1759</v>
      </c>
      <c r="D771" s="39" t="s">
        <v>1760</v>
      </c>
      <c r="E771" s="29"/>
      <c r="F771" s="30"/>
      <c r="G771" s="31">
        <f t="shared" ref="G771:G777" si="119">E771*F771</f>
        <v>0</v>
      </c>
      <c r="H771" s="31"/>
      <c r="I771" s="32">
        <f t="shared" ref="I771:I777" si="120">E771-G771-H771</f>
        <v>0</v>
      </c>
      <c r="J771" s="36">
        <v>6694</v>
      </c>
      <c r="K771" s="32">
        <f t="shared" ref="K771:K777" si="121">I771-J771</f>
        <v>-6694</v>
      </c>
      <c r="L771" s="34">
        <f t="shared" ref="L771:L777" si="122">K771/J771</f>
        <v>-1</v>
      </c>
      <c r="M771" s="44" t="e">
        <f t="shared" ref="M771:M777" si="123">K771/E771</f>
        <v>#DIV/0!</v>
      </c>
    </row>
    <row r="772" spans="1:13" ht="45" customHeight="1" x14ac:dyDescent="0.2">
      <c r="A772" s="27" t="s">
        <v>539</v>
      </c>
      <c r="B772" s="47" t="s">
        <v>1761</v>
      </c>
      <c r="C772" s="52" t="s">
        <v>1762</v>
      </c>
      <c r="D772" s="39" t="s">
        <v>1763</v>
      </c>
      <c r="E772" s="29"/>
      <c r="F772" s="30"/>
      <c r="G772" s="31">
        <f t="shared" si="119"/>
        <v>0</v>
      </c>
      <c r="H772" s="31"/>
      <c r="I772" s="32">
        <f t="shared" si="120"/>
        <v>0</v>
      </c>
      <c r="J772" s="36">
        <v>8064</v>
      </c>
      <c r="K772" s="32">
        <f t="shared" si="121"/>
        <v>-8064</v>
      </c>
      <c r="L772" s="34">
        <f t="shared" si="122"/>
        <v>-1</v>
      </c>
      <c r="M772" s="44" t="e">
        <f t="shared" si="123"/>
        <v>#DIV/0!</v>
      </c>
    </row>
    <row r="773" spans="1:13" ht="45" customHeight="1" x14ac:dyDescent="0.2">
      <c r="A773" s="27" t="s">
        <v>539</v>
      </c>
      <c r="B773" s="47" t="s">
        <v>1764</v>
      </c>
      <c r="C773" s="52" t="s">
        <v>1765</v>
      </c>
      <c r="D773" s="39" t="s">
        <v>1766</v>
      </c>
      <c r="E773" s="29"/>
      <c r="F773" s="30"/>
      <c r="G773" s="31">
        <f t="shared" si="119"/>
        <v>0</v>
      </c>
      <c r="H773" s="31"/>
      <c r="I773" s="32">
        <f t="shared" si="120"/>
        <v>0</v>
      </c>
      <c r="J773" s="36">
        <v>8820</v>
      </c>
      <c r="K773" s="32">
        <f t="shared" si="121"/>
        <v>-8820</v>
      </c>
      <c r="L773" s="34">
        <f t="shared" si="122"/>
        <v>-1</v>
      </c>
      <c r="M773" s="44" t="e">
        <f t="shared" si="123"/>
        <v>#DIV/0!</v>
      </c>
    </row>
    <row r="774" spans="1:13" ht="45" customHeight="1" x14ac:dyDescent="0.2">
      <c r="A774" s="27" t="s">
        <v>543</v>
      </c>
      <c r="B774" s="47" t="s">
        <v>1767</v>
      </c>
      <c r="C774" s="52" t="s">
        <v>1770</v>
      </c>
      <c r="D774" s="39" t="s">
        <v>1769</v>
      </c>
      <c r="E774" s="29"/>
      <c r="F774" s="30"/>
      <c r="G774" s="31">
        <f t="shared" si="119"/>
        <v>0</v>
      </c>
      <c r="H774" s="31"/>
      <c r="I774" s="32">
        <f t="shared" si="120"/>
        <v>0</v>
      </c>
      <c r="J774" s="36">
        <v>16794.232</v>
      </c>
      <c r="K774" s="32">
        <f t="shared" si="121"/>
        <v>-16794.232</v>
      </c>
      <c r="L774" s="34">
        <f t="shared" si="122"/>
        <v>-1</v>
      </c>
      <c r="M774" s="44" t="e">
        <f t="shared" si="123"/>
        <v>#DIV/0!</v>
      </c>
    </row>
    <row r="775" spans="1:13" ht="45" customHeight="1" x14ac:dyDescent="0.2">
      <c r="A775" s="27" t="s">
        <v>543</v>
      </c>
      <c r="B775" s="47" t="s">
        <v>1768</v>
      </c>
      <c r="C775" s="52" t="s">
        <v>1771</v>
      </c>
      <c r="D775" s="39" t="s">
        <v>1772</v>
      </c>
      <c r="E775" s="29"/>
      <c r="F775" s="30"/>
      <c r="G775" s="31">
        <f t="shared" si="119"/>
        <v>0</v>
      </c>
      <c r="H775" s="31"/>
      <c r="I775" s="32">
        <f t="shared" si="120"/>
        <v>0</v>
      </c>
      <c r="J775" s="36">
        <v>26454.770999999997</v>
      </c>
      <c r="K775" s="32">
        <f t="shared" si="121"/>
        <v>-26454.770999999997</v>
      </c>
      <c r="L775" s="34">
        <f t="shared" si="122"/>
        <v>-1</v>
      </c>
      <c r="M775" s="44" t="e">
        <f t="shared" si="123"/>
        <v>#DIV/0!</v>
      </c>
    </row>
    <row r="776" spans="1:13" ht="45" customHeight="1" x14ac:dyDescent="0.2">
      <c r="A776" s="27" t="s">
        <v>543</v>
      </c>
      <c r="B776" s="47" t="s">
        <v>1774</v>
      </c>
      <c r="C776" s="52" t="s">
        <v>1775</v>
      </c>
      <c r="D776" s="39" t="s">
        <v>1773</v>
      </c>
      <c r="E776" s="29"/>
      <c r="F776" s="30"/>
      <c r="G776" s="31">
        <f t="shared" si="119"/>
        <v>0</v>
      </c>
      <c r="H776" s="31"/>
      <c r="I776" s="32">
        <f t="shared" si="120"/>
        <v>0</v>
      </c>
      <c r="J776" s="36">
        <v>18194.624</v>
      </c>
      <c r="K776" s="32">
        <f t="shared" si="121"/>
        <v>-18194.624</v>
      </c>
      <c r="L776" s="34">
        <f t="shared" si="122"/>
        <v>-1</v>
      </c>
      <c r="M776" s="44" t="e">
        <f t="shared" si="123"/>
        <v>#DIV/0!</v>
      </c>
    </row>
    <row r="777" spans="1:13" ht="45" customHeight="1" x14ac:dyDescent="0.2">
      <c r="A777" s="27" t="s">
        <v>543</v>
      </c>
      <c r="B777" s="47" t="s">
        <v>1776</v>
      </c>
      <c r="C777" s="52" t="s">
        <v>1777</v>
      </c>
      <c r="D777" s="39" t="s">
        <v>1778</v>
      </c>
      <c r="E777" s="29"/>
      <c r="F777" s="30"/>
      <c r="G777" s="31">
        <f t="shared" si="119"/>
        <v>0</v>
      </c>
      <c r="H777" s="31"/>
      <c r="I777" s="32">
        <f t="shared" si="120"/>
        <v>0</v>
      </c>
      <c r="J777" s="36">
        <v>18194.624</v>
      </c>
      <c r="K777" s="32">
        <f t="shared" si="121"/>
        <v>-18194.624</v>
      </c>
      <c r="L777" s="34">
        <f t="shared" si="122"/>
        <v>-1</v>
      </c>
      <c r="M777" s="44" t="e">
        <f t="shared" si="123"/>
        <v>#DIV/0!</v>
      </c>
    </row>
    <row r="778" spans="1:13" ht="45" customHeight="1" x14ac:dyDescent="0.2">
      <c r="A778" s="27" t="s">
        <v>1779</v>
      </c>
      <c r="B778" s="47" t="s">
        <v>1780</v>
      </c>
      <c r="C778" s="52" t="s">
        <v>1781</v>
      </c>
      <c r="D778" s="39" t="s">
        <v>1782</v>
      </c>
      <c r="E778" s="29"/>
      <c r="F778" s="30"/>
      <c r="G778" s="31">
        <f t="shared" ref="G778:G812" si="124">E778*F778</f>
        <v>0</v>
      </c>
      <c r="H778" s="31"/>
      <c r="I778" s="32">
        <f t="shared" ref="I778:I812" si="125">E778-G778-H778</f>
        <v>0</v>
      </c>
      <c r="J778" s="36">
        <v>3797</v>
      </c>
      <c r="K778" s="32">
        <f t="shared" ref="K778:K812" si="126">I778-J778</f>
        <v>-3797</v>
      </c>
      <c r="L778" s="34">
        <f t="shared" ref="L778:L812" si="127">K778/J778</f>
        <v>-1</v>
      </c>
      <c r="M778" s="44" t="e">
        <f t="shared" ref="M778:M812" si="128">K778/E778</f>
        <v>#DIV/0!</v>
      </c>
    </row>
    <row r="779" spans="1:13" ht="45" customHeight="1" x14ac:dyDescent="0.2">
      <c r="A779" s="27" t="s">
        <v>1779</v>
      </c>
      <c r="B779" s="47" t="s">
        <v>1783</v>
      </c>
      <c r="C779" s="52" t="s">
        <v>1781</v>
      </c>
      <c r="D779" s="39" t="s">
        <v>1782</v>
      </c>
      <c r="E779" s="29"/>
      <c r="F779" s="30"/>
      <c r="G779" s="31">
        <f t="shared" si="124"/>
        <v>0</v>
      </c>
      <c r="H779" s="31"/>
      <c r="I779" s="32">
        <f t="shared" si="125"/>
        <v>0</v>
      </c>
      <c r="J779" s="36">
        <v>3797</v>
      </c>
      <c r="K779" s="32">
        <f t="shared" si="126"/>
        <v>-3797</v>
      </c>
      <c r="L779" s="34">
        <f t="shared" si="127"/>
        <v>-1</v>
      </c>
      <c r="M779" s="44" t="e">
        <f t="shared" si="128"/>
        <v>#DIV/0!</v>
      </c>
    </row>
    <row r="780" spans="1:13" ht="45" customHeight="1" x14ac:dyDescent="0.2">
      <c r="A780" s="27" t="s">
        <v>1779</v>
      </c>
      <c r="B780" s="47" t="s">
        <v>1784</v>
      </c>
      <c r="C780" s="52" t="s">
        <v>1785</v>
      </c>
      <c r="D780" s="39" t="s">
        <v>1787</v>
      </c>
      <c r="E780" s="29"/>
      <c r="F780" s="30"/>
      <c r="G780" s="31">
        <f t="shared" si="124"/>
        <v>0</v>
      </c>
      <c r="H780" s="31"/>
      <c r="I780" s="32">
        <f t="shared" si="125"/>
        <v>0</v>
      </c>
      <c r="J780" s="36">
        <v>3094</v>
      </c>
      <c r="K780" s="32">
        <f t="shared" si="126"/>
        <v>-3094</v>
      </c>
      <c r="L780" s="34">
        <f t="shared" si="127"/>
        <v>-1</v>
      </c>
      <c r="M780" s="44" t="e">
        <f t="shared" si="128"/>
        <v>#DIV/0!</v>
      </c>
    </row>
    <row r="781" spans="1:13" ht="45" customHeight="1" x14ac:dyDescent="0.2">
      <c r="A781" s="27" t="s">
        <v>1779</v>
      </c>
      <c r="B781" s="47" t="s">
        <v>1786</v>
      </c>
      <c r="C781" s="52" t="s">
        <v>1785</v>
      </c>
      <c r="D781" s="39" t="s">
        <v>1787</v>
      </c>
      <c r="E781" s="29"/>
      <c r="F781" s="30"/>
      <c r="G781" s="31">
        <f t="shared" si="124"/>
        <v>0</v>
      </c>
      <c r="H781" s="31"/>
      <c r="I781" s="32">
        <f t="shared" si="125"/>
        <v>0</v>
      </c>
      <c r="J781" s="36">
        <v>3094</v>
      </c>
      <c r="K781" s="32">
        <f t="shared" si="126"/>
        <v>-3094</v>
      </c>
      <c r="L781" s="34">
        <f t="shared" si="127"/>
        <v>-1</v>
      </c>
      <c r="M781" s="44" t="e">
        <f t="shared" si="128"/>
        <v>#DIV/0!</v>
      </c>
    </row>
    <row r="782" spans="1:13" ht="45" customHeight="1" x14ac:dyDescent="0.2">
      <c r="A782" s="27" t="s">
        <v>1779</v>
      </c>
      <c r="B782" s="47" t="s">
        <v>1788</v>
      </c>
      <c r="C782" s="52" t="s">
        <v>1789</v>
      </c>
      <c r="D782" s="39" t="s">
        <v>1790</v>
      </c>
      <c r="E782" s="29"/>
      <c r="F782" s="30"/>
      <c r="G782" s="31">
        <f t="shared" si="124"/>
        <v>0</v>
      </c>
      <c r="H782" s="31"/>
      <c r="I782" s="32">
        <f t="shared" si="125"/>
        <v>0</v>
      </c>
      <c r="J782" s="36">
        <v>3511</v>
      </c>
      <c r="K782" s="32">
        <f t="shared" si="126"/>
        <v>-3511</v>
      </c>
      <c r="L782" s="34">
        <f t="shared" si="127"/>
        <v>-1</v>
      </c>
      <c r="M782" s="44" t="e">
        <f t="shared" si="128"/>
        <v>#DIV/0!</v>
      </c>
    </row>
    <row r="783" spans="1:13" ht="45" customHeight="1" x14ac:dyDescent="0.2">
      <c r="A783" s="27" t="s">
        <v>1779</v>
      </c>
      <c r="B783" s="47" t="s">
        <v>1791</v>
      </c>
      <c r="C783" s="52" t="s">
        <v>1789</v>
      </c>
      <c r="D783" s="39" t="s">
        <v>1790</v>
      </c>
      <c r="E783" s="29"/>
      <c r="F783" s="30"/>
      <c r="G783" s="31">
        <f t="shared" si="124"/>
        <v>0</v>
      </c>
      <c r="H783" s="31"/>
      <c r="I783" s="32">
        <f t="shared" si="125"/>
        <v>0</v>
      </c>
      <c r="J783" s="36">
        <v>3511</v>
      </c>
      <c r="K783" s="32">
        <f t="shared" si="126"/>
        <v>-3511</v>
      </c>
      <c r="L783" s="34">
        <f t="shared" si="127"/>
        <v>-1</v>
      </c>
      <c r="M783" s="44" t="e">
        <f t="shared" si="128"/>
        <v>#DIV/0!</v>
      </c>
    </row>
    <row r="784" spans="1:13" ht="45" customHeight="1" x14ac:dyDescent="0.2">
      <c r="A784" s="27" t="s">
        <v>1610</v>
      </c>
      <c r="B784" s="47" t="s">
        <v>1792</v>
      </c>
      <c r="C784" s="52" t="s">
        <v>1793</v>
      </c>
      <c r="D784" s="39" t="s">
        <v>1795</v>
      </c>
      <c r="E784" s="29"/>
      <c r="F784" s="30"/>
      <c r="G784" s="31">
        <f t="shared" si="124"/>
        <v>0</v>
      </c>
      <c r="H784" s="31"/>
      <c r="I784" s="32">
        <f t="shared" si="125"/>
        <v>0</v>
      </c>
      <c r="J784" s="36">
        <v>9811.5499999999993</v>
      </c>
      <c r="K784" s="32">
        <f t="shared" si="126"/>
        <v>-9811.5499999999993</v>
      </c>
      <c r="L784" s="34">
        <f t="shared" si="127"/>
        <v>-1</v>
      </c>
      <c r="M784" s="44" t="e">
        <f t="shared" si="128"/>
        <v>#DIV/0!</v>
      </c>
    </row>
    <row r="785" spans="1:13" ht="45" customHeight="1" x14ac:dyDescent="0.2">
      <c r="A785" s="27" t="s">
        <v>1610</v>
      </c>
      <c r="B785" s="47" t="s">
        <v>1794</v>
      </c>
      <c r="C785" s="52" t="s">
        <v>1793</v>
      </c>
      <c r="D785" s="39" t="s">
        <v>1795</v>
      </c>
      <c r="E785" s="29"/>
      <c r="F785" s="30"/>
      <c r="G785" s="31">
        <f t="shared" si="124"/>
        <v>0</v>
      </c>
      <c r="H785" s="31"/>
      <c r="I785" s="32">
        <f t="shared" si="125"/>
        <v>0</v>
      </c>
      <c r="J785" s="36">
        <v>9811.5499999999993</v>
      </c>
      <c r="K785" s="32">
        <f t="shared" si="126"/>
        <v>-9811.5499999999993</v>
      </c>
      <c r="L785" s="34">
        <f t="shared" si="127"/>
        <v>-1</v>
      </c>
      <c r="M785" s="44" t="e">
        <f t="shared" si="128"/>
        <v>#DIV/0!</v>
      </c>
    </row>
    <row r="786" spans="1:13" ht="45" customHeight="1" x14ac:dyDescent="0.2">
      <c r="A786" s="27" t="s">
        <v>1610</v>
      </c>
      <c r="B786" s="47" t="s">
        <v>1796</v>
      </c>
      <c r="C786" s="52" t="s">
        <v>1797</v>
      </c>
      <c r="D786" s="39" t="s">
        <v>1799</v>
      </c>
      <c r="E786" s="29"/>
      <c r="F786" s="30"/>
      <c r="G786" s="31">
        <f t="shared" si="124"/>
        <v>0</v>
      </c>
      <c r="H786" s="31"/>
      <c r="I786" s="32">
        <f t="shared" si="125"/>
        <v>0</v>
      </c>
      <c r="J786" s="36">
        <v>9811.5499999999993</v>
      </c>
      <c r="K786" s="32">
        <f t="shared" si="126"/>
        <v>-9811.5499999999993</v>
      </c>
      <c r="L786" s="34">
        <f t="shared" si="127"/>
        <v>-1</v>
      </c>
      <c r="M786" s="44" t="e">
        <f t="shared" si="128"/>
        <v>#DIV/0!</v>
      </c>
    </row>
    <row r="787" spans="1:13" ht="45" customHeight="1" x14ac:dyDescent="0.2">
      <c r="A787" s="27" t="s">
        <v>1610</v>
      </c>
      <c r="B787" s="47" t="s">
        <v>1798</v>
      </c>
      <c r="C787" s="52" t="s">
        <v>1797</v>
      </c>
      <c r="D787" s="39" t="s">
        <v>1799</v>
      </c>
      <c r="E787" s="29"/>
      <c r="F787" s="30"/>
      <c r="G787" s="31">
        <f t="shared" si="124"/>
        <v>0</v>
      </c>
      <c r="H787" s="31"/>
      <c r="I787" s="32">
        <f t="shared" si="125"/>
        <v>0</v>
      </c>
      <c r="J787" s="36">
        <v>9811.5499999999993</v>
      </c>
      <c r="K787" s="32">
        <f t="shared" si="126"/>
        <v>-9811.5499999999993</v>
      </c>
      <c r="L787" s="34">
        <f t="shared" si="127"/>
        <v>-1</v>
      </c>
      <c r="M787" s="44" t="e">
        <f t="shared" si="128"/>
        <v>#DIV/0!</v>
      </c>
    </row>
    <row r="788" spans="1:13" ht="45" customHeight="1" x14ac:dyDescent="0.2">
      <c r="A788" s="27" t="s">
        <v>1610</v>
      </c>
      <c r="B788" s="47" t="s">
        <v>1800</v>
      </c>
      <c r="C788" s="52" t="s">
        <v>1802</v>
      </c>
      <c r="D788" s="39" t="s">
        <v>1803</v>
      </c>
      <c r="E788" s="29"/>
      <c r="F788" s="30"/>
      <c r="G788" s="31">
        <f t="shared" si="124"/>
        <v>0</v>
      </c>
      <c r="H788" s="31"/>
      <c r="I788" s="32">
        <f t="shared" si="125"/>
        <v>0</v>
      </c>
      <c r="J788" s="36">
        <v>8502.5499999999993</v>
      </c>
      <c r="K788" s="32">
        <f t="shared" si="126"/>
        <v>-8502.5499999999993</v>
      </c>
      <c r="L788" s="34">
        <f t="shared" si="127"/>
        <v>-1</v>
      </c>
      <c r="M788" s="44" t="e">
        <f t="shared" si="128"/>
        <v>#DIV/0!</v>
      </c>
    </row>
    <row r="789" spans="1:13" ht="45" customHeight="1" x14ac:dyDescent="0.2">
      <c r="A789" s="27" t="s">
        <v>1610</v>
      </c>
      <c r="B789" s="47" t="s">
        <v>1801</v>
      </c>
      <c r="C789" s="52" t="s">
        <v>1802</v>
      </c>
      <c r="D789" s="39" t="s">
        <v>1803</v>
      </c>
      <c r="E789" s="29"/>
      <c r="F789" s="30"/>
      <c r="G789" s="31">
        <f t="shared" si="124"/>
        <v>0</v>
      </c>
      <c r="H789" s="31"/>
      <c r="I789" s="32">
        <f t="shared" si="125"/>
        <v>0</v>
      </c>
      <c r="J789" s="36">
        <v>8502.5499999999993</v>
      </c>
      <c r="K789" s="32">
        <f t="shared" si="126"/>
        <v>-8502.5499999999993</v>
      </c>
      <c r="L789" s="34">
        <f t="shared" si="127"/>
        <v>-1</v>
      </c>
      <c r="M789" s="44" t="e">
        <f t="shared" si="128"/>
        <v>#DIV/0!</v>
      </c>
    </row>
    <row r="790" spans="1:13" ht="45" customHeight="1" x14ac:dyDescent="0.2">
      <c r="A790" s="27" t="s">
        <v>1610</v>
      </c>
      <c r="B790" s="47" t="s">
        <v>1804</v>
      </c>
      <c r="C790" s="52" t="s">
        <v>1805</v>
      </c>
      <c r="D790" s="39" t="s">
        <v>1807</v>
      </c>
      <c r="E790" s="29"/>
      <c r="F790" s="30"/>
      <c r="G790" s="31">
        <f t="shared" si="124"/>
        <v>0</v>
      </c>
      <c r="H790" s="31"/>
      <c r="I790" s="32">
        <f t="shared" si="125"/>
        <v>0</v>
      </c>
      <c r="J790" s="36">
        <v>13084.05</v>
      </c>
      <c r="K790" s="32">
        <f t="shared" si="126"/>
        <v>-13084.05</v>
      </c>
      <c r="L790" s="34">
        <f t="shared" si="127"/>
        <v>-1</v>
      </c>
      <c r="M790" s="44" t="e">
        <f t="shared" si="128"/>
        <v>#DIV/0!</v>
      </c>
    </row>
    <row r="791" spans="1:13" ht="45" customHeight="1" x14ac:dyDescent="0.2">
      <c r="A791" s="27" t="s">
        <v>1610</v>
      </c>
      <c r="B791" s="47" t="s">
        <v>1806</v>
      </c>
      <c r="C791" s="52" t="s">
        <v>1805</v>
      </c>
      <c r="D791" s="39" t="s">
        <v>1807</v>
      </c>
      <c r="E791" s="29"/>
      <c r="F791" s="30"/>
      <c r="G791" s="31">
        <f t="shared" si="124"/>
        <v>0</v>
      </c>
      <c r="H791" s="31"/>
      <c r="I791" s="32">
        <f t="shared" si="125"/>
        <v>0</v>
      </c>
      <c r="J791" s="36">
        <v>13084.05</v>
      </c>
      <c r="K791" s="32">
        <f t="shared" si="126"/>
        <v>-13084.05</v>
      </c>
      <c r="L791" s="34">
        <f t="shared" si="127"/>
        <v>-1</v>
      </c>
      <c r="M791" s="44" t="e">
        <f t="shared" si="128"/>
        <v>#DIV/0!</v>
      </c>
    </row>
    <row r="792" spans="1:13" ht="45" customHeight="1" x14ac:dyDescent="0.2">
      <c r="A792" s="27" t="s">
        <v>1610</v>
      </c>
      <c r="B792" s="47" t="s">
        <v>1808</v>
      </c>
      <c r="C792" s="52" t="s">
        <v>1809</v>
      </c>
      <c r="D792" s="39" t="s">
        <v>1811</v>
      </c>
      <c r="E792" s="29"/>
      <c r="F792" s="30"/>
      <c r="G792" s="31">
        <f t="shared" si="124"/>
        <v>0</v>
      </c>
      <c r="H792" s="31"/>
      <c r="I792" s="32">
        <f t="shared" si="125"/>
        <v>0</v>
      </c>
      <c r="J792" s="36">
        <v>10793.3</v>
      </c>
      <c r="K792" s="32">
        <f t="shared" si="126"/>
        <v>-10793.3</v>
      </c>
      <c r="L792" s="34">
        <f t="shared" si="127"/>
        <v>-1</v>
      </c>
      <c r="M792" s="44" t="e">
        <f t="shared" si="128"/>
        <v>#DIV/0!</v>
      </c>
    </row>
    <row r="793" spans="1:13" ht="45" customHeight="1" x14ac:dyDescent="0.2">
      <c r="A793" s="27" t="s">
        <v>1610</v>
      </c>
      <c r="B793" s="47" t="s">
        <v>1810</v>
      </c>
      <c r="C793" s="52" t="s">
        <v>1809</v>
      </c>
      <c r="D793" s="39" t="s">
        <v>1811</v>
      </c>
      <c r="E793" s="29"/>
      <c r="F793" s="30"/>
      <c r="G793" s="31">
        <f t="shared" si="124"/>
        <v>0</v>
      </c>
      <c r="H793" s="31"/>
      <c r="I793" s="32">
        <f t="shared" si="125"/>
        <v>0</v>
      </c>
      <c r="J793" s="36">
        <v>10793.3</v>
      </c>
      <c r="K793" s="32">
        <f t="shared" si="126"/>
        <v>-10793.3</v>
      </c>
      <c r="L793" s="34">
        <f t="shared" si="127"/>
        <v>-1</v>
      </c>
      <c r="M793" s="44" t="e">
        <f t="shared" si="128"/>
        <v>#DIV/0!</v>
      </c>
    </row>
    <row r="794" spans="1:13" ht="45" customHeight="1" x14ac:dyDescent="0.2">
      <c r="A794" s="27" t="s">
        <v>1610</v>
      </c>
      <c r="B794" s="47" t="s">
        <v>1812</v>
      </c>
      <c r="C794" s="52" t="s">
        <v>1813</v>
      </c>
      <c r="D794" s="39" t="s">
        <v>1815</v>
      </c>
      <c r="E794" s="29"/>
      <c r="F794" s="30"/>
      <c r="G794" s="31">
        <f t="shared" si="124"/>
        <v>0</v>
      </c>
      <c r="H794" s="31"/>
      <c r="I794" s="32">
        <f t="shared" si="125"/>
        <v>0</v>
      </c>
      <c r="J794" s="36">
        <v>7193.5499999999993</v>
      </c>
      <c r="K794" s="32">
        <f t="shared" si="126"/>
        <v>-7193.5499999999993</v>
      </c>
      <c r="L794" s="34">
        <f t="shared" si="127"/>
        <v>-1</v>
      </c>
      <c r="M794" s="44" t="e">
        <f t="shared" si="128"/>
        <v>#DIV/0!</v>
      </c>
    </row>
    <row r="795" spans="1:13" ht="45" customHeight="1" x14ac:dyDescent="0.2">
      <c r="A795" s="27" t="s">
        <v>1610</v>
      </c>
      <c r="B795" s="47" t="s">
        <v>1814</v>
      </c>
      <c r="C795" s="52" t="s">
        <v>1813</v>
      </c>
      <c r="D795" s="39" t="s">
        <v>1815</v>
      </c>
      <c r="E795" s="29"/>
      <c r="F795" s="30"/>
      <c r="G795" s="31">
        <f t="shared" si="124"/>
        <v>0</v>
      </c>
      <c r="H795" s="31"/>
      <c r="I795" s="32">
        <f t="shared" si="125"/>
        <v>0</v>
      </c>
      <c r="J795" s="36">
        <v>7193.5499999999993</v>
      </c>
      <c r="K795" s="32">
        <f t="shared" si="126"/>
        <v>-7193.5499999999993</v>
      </c>
      <c r="L795" s="34">
        <f t="shared" si="127"/>
        <v>-1</v>
      </c>
      <c r="M795" s="44" t="e">
        <f t="shared" si="128"/>
        <v>#DIV/0!</v>
      </c>
    </row>
    <row r="796" spans="1:13" ht="45" customHeight="1" x14ac:dyDescent="0.2">
      <c r="A796" s="27" t="s">
        <v>1610</v>
      </c>
      <c r="B796" s="47" t="s">
        <v>1816</v>
      </c>
      <c r="C796" s="52" t="s">
        <v>1818</v>
      </c>
      <c r="D796" s="39" t="s">
        <v>1819</v>
      </c>
      <c r="E796" s="29"/>
      <c r="F796" s="30"/>
      <c r="G796" s="31">
        <f t="shared" si="124"/>
        <v>0</v>
      </c>
      <c r="H796" s="31"/>
      <c r="I796" s="32">
        <f t="shared" si="125"/>
        <v>0</v>
      </c>
      <c r="J796" s="36">
        <v>3070.2</v>
      </c>
      <c r="K796" s="32">
        <f t="shared" si="126"/>
        <v>-3070.2</v>
      </c>
      <c r="L796" s="34">
        <f t="shared" si="127"/>
        <v>-1</v>
      </c>
      <c r="M796" s="44" t="e">
        <f t="shared" si="128"/>
        <v>#DIV/0!</v>
      </c>
    </row>
    <row r="797" spans="1:13" ht="45" customHeight="1" x14ac:dyDescent="0.2">
      <c r="A797" s="27" t="s">
        <v>1610</v>
      </c>
      <c r="B797" s="47" t="s">
        <v>1817</v>
      </c>
      <c r="C797" s="52" t="s">
        <v>1818</v>
      </c>
      <c r="D797" s="39" t="s">
        <v>1819</v>
      </c>
      <c r="E797" s="29"/>
      <c r="F797" s="30"/>
      <c r="G797" s="31">
        <f t="shared" si="124"/>
        <v>0</v>
      </c>
      <c r="H797" s="31"/>
      <c r="I797" s="32">
        <f t="shared" si="125"/>
        <v>0</v>
      </c>
      <c r="J797" s="36">
        <v>3070.2</v>
      </c>
      <c r="K797" s="32">
        <f t="shared" si="126"/>
        <v>-3070.2</v>
      </c>
      <c r="L797" s="34">
        <f t="shared" si="127"/>
        <v>-1</v>
      </c>
      <c r="M797" s="44" t="e">
        <f t="shared" si="128"/>
        <v>#DIV/0!</v>
      </c>
    </row>
    <row r="798" spans="1:13" ht="45" customHeight="1" x14ac:dyDescent="0.2">
      <c r="A798" s="27" t="s">
        <v>1610</v>
      </c>
      <c r="B798" s="47" t="s">
        <v>1820</v>
      </c>
      <c r="C798" s="52" t="s">
        <v>1822</v>
      </c>
      <c r="D798" s="39" t="s">
        <v>1823</v>
      </c>
      <c r="E798" s="29"/>
      <c r="F798" s="30"/>
      <c r="G798" s="31">
        <f t="shared" si="124"/>
        <v>0</v>
      </c>
      <c r="H798" s="31"/>
      <c r="I798" s="32">
        <f t="shared" si="125"/>
        <v>0</v>
      </c>
      <c r="J798" s="36">
        <v>426.02</v>
      </c>
      <c r="K798" s="32">
        <f t="shared" si="126"/>
        <v>-426.02</v>
      </c>
      <c r="L798" s="34">
        <f t="shared" si="127"/>
        <v>-1</v>
      </c>
      <c r="M798" s="44" t="e">
        <f t="shared" si="128"/>
        <v>#DIV/0!</v>
      </c>
    </row>
    <row r="799" spans="1:13" ht="45" customHeight="1" x14ac:dyDescent="0.2">
      <c r="A799" s="27" t="s">
        <v>1610</v>
      </c>
      <c r="B799" s="47" t="s">
        <v>1821</v>
      </c>
      <c r="C799" s="52" t="s">
        <v>1822</v>
      </c>
      <c r="D799" s="39" t="s">
        <v>1823</v>
      </c>
      <c r="E799" s="29"/>
      <c r="F799" s="30"/>
      <c r="G799" s="31">
        <f t="shared" si="124"/>
        <v>0</v>
      </c>
      <c r="H799" s="31"/>
      <c r="I799" s="32">
        <f t="shared" si="125"/>
        <v>0</v>
      </c>
      <c r="J799" s="36">
        <v>426.02</v>
      </c>
      <c r="K799" s="32">
        <f t="shared" si="126"/>
        <v>-426.02</v>
      </c>
      <c r="L799" s="34">
        <f t="shared" si="127"/>
        <v>-1</v>
      </c>
      <c r="M799" s="44" t="e">
        <f t="shared" si="128"/>
        <v>#DIV/0!</v>
      </c>
    </row>
    <row r="800" spans="1:13" ht="45" customHeight="1" x14ac:dyDescent="0.2">
      <c r="A800" s="27" t="s">
        <v>1610</v>
      </c>
      <c r="B800" s="47" t="s">
        <v>1824</v>
      </c>
      <c r="C800" s="52" t="s">
        <v>1825</v>
      </c>
      <c r="D800" s="39" t="s">
        <v>1827</v>
      </c>
      <c r="E800" s="29"/>
      <c r="F800" s="30"/>
      <c r="G800" s="31">
        <f t="shared" si="124"/>
        <v>0</v>
      </c>
      <c r="H800" s="31"/>
      <c r="I800" s="32">
        <f t="shared" si="125"/>
        <v>0</v>
      </c>
      <c r="J800" s="36">
        <v>16356.55</v>
      </c>
      <c r="K800" s="32">
        <f t="shared" si="126"/>
        <v>-16356.55</v>
      </c>
      <c r="L800" s="34">
        <f t="shared" si="127"/>
        <v>-1</v>
      </c>
      <c r="M800" s="44" t="e">
        <f t="shared" si="128"/>
        <v>#DIV/0!</v>
      </c>
    </row>
    <row r="801" spans="1:13" ht="45" customHeight="1" x14ac:dyDescent="0.2">
      <c r="A801" s="27" t="s">
        <v>1610</v>
      </c>
      <c r="B801" s="47" t="s">
        <v>1826</v>
      </c>
      <c r="C801" s="52" t="s">
        <v>1825</v>
      </c>
      <c r="D801" s="39" t="s">
        <v>1827</v>
      </c>
      <c r="E801" s="29"/>
      <c r="F801" s="30"/>
      <c r="G801" s="31">
        <f t="shared" si="124"/>
        <v>0</v>
      </c>
      <c r="H801" s="31"/>
      <c r="I801" s="32">
        <f t="shared" si="125"/>
        <v>0</v>
      </c>
      <c r="J801" s="36">
        <v>16356.55</v>
      </c>
      <c r="K801" s="32">
        <f t="shared" si="126"/>
        <v>-16356.55</v>
      </c>
      <c r="L801" s="34">
        <f t="shared" si="127"/>
        <v>-1</v>
      </c>
      <c r="M801" s="44" t="e">
        <f t="shared" si="128"/>
        <v>#DIV/0!</v>
      </c>
    </row>
    <row r="802" spans="1:13" ht="45" customHeight="1" x14ac:dyDescent="0.2">
      <c r="A802" s="27" t="s">
        <v>1610</v>
      </c>
      <c r="B802" s="47" t="s">
        <v>1828</v>
      </c>
      <c r="C802" s="52" t="s">
        <v>1830</v>
      </c>
      <c r="D802" s="39" t="s">
        <v>1831</v>
      </c>
      <c r="E802" s="29"/>
      <c r="F802" s="30"/>
      <c r="G802" s="31">
        <f t="shared" si="124"/>
        <v>0</v>
      </c>
      <c r="H802" s="31"/>
      <c r="I802" s="32">
        <f t="shared" si="125"/>
        <v>0</v>
      </c>
      <c r="J802" s="36">
        <v>10705.24</v>
      </c>
      <c r="K802" s="32">
        <f t="shared" si="126"/>
        <v>-10705.24</v>
      </c>
      <c r="L802" s="34">
        <f t="shared" si="127"/>
        <v>-1</v>
      </c>
      <c r="M802" s="44" t="e">
        <f t="shared" si="128"/>
        <v>#DIV/0!</v>
      </c>
    </row>
    <row r="803" spans="1:13" ht="45" customHeight="1" x14ac:dyDescent="0.2">
      <c r="A803" s="27" t="s">
        <v>1610</v>
      </c>
      <c r="B803" s="47" t="s">
        <v>1829</v>
      </c>
      <c r="C803" s="52" t="s">
        <v>1830</v>
      </c>
      <c r="D803" s="39" t="s">
        <v>1831</v>
      </c>
      <c r="E803" s="29"/>
      <c r="F803" s="30"/>
      <c r="G803" s="31">
        <f t="shared" si="124"/>
        <v>0</v>
      </c>
      <c r="H803" s="31"/>
      <c r="I803" s="32">
        <f t="shared" si="125"/>
        <v>0</v>
      </c>
      <c r="J803" s="36">
        <v>10705.24</v>
      </c>
      <c r="K803" s="32">
        <f t="shared" si="126"/>
        <v>-10705.24</v>
      </c>
      <c r="L803" s="34">
        <f t="shared" si="127"/>
        <v>-1</v>
      </c>
      <c r="M803" s="44" t="e">
        <f t="shared" si="128"/>
        <v>#DIV/0!</v>
      </c>
    </row>
    <row r="804" spans="1:13" ht="45" customHeight="1" x14ac:dyDescent="0.2">
      <c r="A804" s="27" t="s">
        <v>1610</v>
      </c>
      <c r="B804" s="47" t="s">
        <v>1832</v>
      </c>
      <c r="C804" s="52" t="s">
        <v>1835</v>
      </c>
      <c r="D804" s="39" t="s">
        <v>1834</v>
      </c>
      <c r="E804" s="29"/>
      <c r="F804" s="30"/>
      <c r="G804" s="31">
        <f t="shared" si="124"/>
        <v>0</v>
      </c>
      <c r="H804" s="31"/>
      <c r="I804" s="32">
        <f t="shared" si="125"/>
        <v>0</v>
      </c>
      <c r="J804" s="36">
        <v>8502.5499999999993</v>
      </c>
      <c r="K804" s="32">
        <f t="shared" si="126"/>
        <v>-8502.5499999999993</v>
      </c>
      <c r="L804" s="34">
        <f t="shared" si="127"/>
        <v>-1</v>
      </c>
      <c r="M804" s="44" t="e">
        <f t="shared" si="128"/>
        <v>#DIV/0!</v>
      </c>
    </row>
    <row r="805" spans="1:13" ht="45" customHeight="1" x14ac:dyDescent="0.2">
      <c r="A805" s="27" t="s">
        <v>1610</v>
      </c>
      <c r="B805" s="47" t="s">
        <v>1833</v>
      </c>
      <c r="C805" s="52" t="s">
        <v>1835</v>
      </c>
      <c r="D805" s="39" t="s">
        <v>1834</v>
      </c>
      <c r="E805" s="29"/>
      <c r="F805" s="30"/>
      <c r="G805" s="31">
        <f t="shared" si="124"/>
        <v>0</v>
      </c>
      <c r="H805" s="31"/>
      <c r="I805" s="32">
        <f t="shared" si="125"/>
        <v>0</v>
      </c>
      <c r="J805" s="36">
        <v>8502.5499999999993</v>
      </c>
      <c r="K805" s="32">
        <f t="shared" si="126"/>
        <v>-8502.5499999999993</v>
      </c>
      <c r="L805" s="34">
        <f t="shared" si="127"/>
        <v>-1</v>
      </c>
      <c r="M805" s="44" t="e">
        <f t="shared" si="128"/>
        <v>#DIV/0!</v>
      </c>
    </row>
    <row r="806" spans="1:13" ht="45" customHeight="1" x14ac:dyDescent="0.2">
      <c r="A806" s="27" t="s">
        <v>1610</v>
      </c>
      <c r="B806" s="47" t="s">
        <v>1836</v>
      </c>
      <c r="C806" s="52" t="s">
        <v>1838</v>
      </c>
      <c r="D806" s="39" t="s">
        <v>1849</v>
      </c>
      <c r="E806" s="29"/>
      <c r="F806" s="30"/>
      <c r="G806" s="31">
        <f t="shared" si="124"/>
        <v>0</v>
      </c>
      <c r="H806" s="31"/>
      <c r="I806" s="32">
        <f t="shared" si="125"/>
        <v>0</v>
      </c>
      <c r="J806" s="36">
        <v>10793.3</v>
      </c>
      <c r="K806" s="32">
        <f t="shared" si="126"/>
        <v>-10793.3</v>
      </c>
      <c r="L806" s="34">
        <f t="shared" si="127"/>
        <v>-1</v>
      </c>
      <c r="M806" s="44" t="e">
        <f t="shared" si="128"/>
        <v>#DIV/0!</v>
      </c>
    </row>
    <row r="807" spans="1:13" ht="45" customHeight="1" x14ac:dyDescent="0.2">
      <c r="A807" s="27" t="s">
        <v>1610</v>
      </c>
      <c r="B807" s="47" t="s">
        <v>1837</v>
      </c>
      <c r="C807" s="52" t="s">
        <v>1838</v>
      </c>
      <c r="D807" s="39" t="s">
        <v>1849</v>
      </c>
      <c r="E807" s="29"/>
      <c r="F807" s="30"/>
      <c r="G807" s="31">
        <f t="shared" si="124"/>
        <v>0</v>
      </c>
      <c r="H807" s="31"/>
      <c r="I807" s="32">
        <f t="shared" si="125"/>
        <v>0</v>
      </c>
      <c r="J807" s="36">
        <v>10793.3</v>
      </c>
      <c r="K807" s="32">
        <f t="shared" si="126"/>
        <v>-10793.3</v>
      </c>
      <c r="L807" s="34">
        <f t="shared" si="127"/>
        <v>-1</v>
      </c>
      <c r="M807" s="44" t="e">
        <f t="shared" si="128"/>
        <v>#DIV/0!</v>
      </c>
    </row>
    <row r="808" spans="1:13" ht="45" customHeight="1" x14ac:dyDescent="0.2">
      <c r="A808" s="27" t="s">
        <v>543</v>
      </c>
      <c r="B808" s="47" t="s">
        <v>1839</v>
      </c>
      <c r="C808" s="52">
        <v>799192588938</v>
      </c>
      <c r="D808" s="39" t="s">
        <v>1840</v>
      </c>
      <c r="E808" s="29"/>
      <c r="F808" s="30"/>
      <c r="G808" s="31">
        <f t="shared" si="124"/>
        <v>0</v>
      </c>
      <c r="H808" s="31"/>
      <c r="I808" s="32">
        <f t="shared" si="125"/>
        <v>0</v>
      </c>
      <c r="J808" s="36">
        <v>18194.624</v>
      </c>
      <c r="K808" s="32">
        <f t="shared" si="126"/>
        <v>-18194.624</v>
      </c>
      <c r="L808" s="34">
        <f t="shared" si="127"/>
        <v>-1</v>
      </c>
      <c r="M808" s="44" t="e">
        <f t="shared" si="128"/>
        <v>#DIV/0!</v>
      </c>
    </row>
    <row r="809" spans="1:13" ht="45" customHeight="1" x14ac:dyDescent="0.2">
      <c r="A809" s="27" t="s">
        <v>543</v>
      </c>
      <c r="B809" s="47" t="s">
        <v>1841</v>
      </c>
      <c r="C809" s="52">
        <v>799192588945</v>
      </c>
      <c r="D809" s="39" t="s">
        <v>1842</v>
      </c>
      <c r="E809" s="29"/>
      <c r="F809" s="30"/>
      <c r="G809" s="31">
        <f t="shared" si="124"/>
        <v>0</v>
      </c>
      <c r="H809" s="31"/>
      <c r="I809" s="32">
        <f t="shared" si="125"/>
        <v>0</v>
      </c>
      <c r="J809" s="36">
        <v>26454.770999999997</v>
      </c>
      <c r="K809" s="32">
        <f t="shared" si="126"/>
        <v>-26454.770999999997</v>
      </c>
      <c r="L809" s="34">
        <f t="shared" si="127"/>
        <v>-1</v>
      </c>
      <c r="M809" s="44" t="e">
        <f t="shared" si="128"/>
        <v>#DIV/0!</v>
      </c>
    </row>
    <row r="810" spans="1:13" ht="45" customHeight="1" x14ac:dyDescent="0.2">
      <c r="A810" s="27" t="s">
        <v>543</v>
      </c>
      <c r="B810" s="47" t="s">
        <v>1843</v>
      </c>
      <c r="C810" s="52">
        <v>799192588914</v>
      </c>
      <c r="D810" s="39" t="s">
        <v>1844</v>
      </c>
      <c r="E810" s="29"/>
      <c r="F810" s="30"/>
      <c r="G810" s="31">
        <f t="shared" si="124"/>
        <v>0</v>
      </c>
      <c r="H810" s="31"/>
      <c r="I810" s="32">
        <f t="shared" si="125"/>
        <v>0</v>
      </c>
      <c r="J810" s="36">
        <v>16794.232</v>
      </c>
      <c r="K810" s="32">
        <f t="shared" si="126"/>
        <v>-16794.232</v>
      </c>
      <c r="L810" s="34">
        <f t="shared" si="127"/>
        <v>-1</v>
      </c>
      <c r="M810" s="44" t="e">
        <f t="shared" si="128"/>
        <v>#DIV/0!</v>
      </c>
    </row>
    <row r="811" spans="1:13" ht="45" customHeight="1" x14ac:dyDescent="0.2">
      <c r="A811" s="27" t="s">
        <v>1610</v>
      </c>
      <c r="B811" s="47" t="s">
        <v>1845</v>
      </c>
      <c r="C811" s="52" t="s">
        <v>1846</v>
      </c>
      <c r="D811" s="39" t="s">
        <v>1848</v>
      </c>
      <c r="E811" s="29"/>
      <c r="F811" s="30"/>
      <c r="G811" s="31">
        <f t="shared" si="124"/>
        <v>0</v>
      </c>
      <c r="H811" s="31"/>
      <c r="I811" s="32">
        <f t="shared" si="125"/>
        <v>0</v>
      </c>
      <c r="J811" s="36">
        <v>2023</v>
      </c>
      <c r="K811" s="32">
        <f t="shared" si="126"/>
        <v>-2023</v>
      </c>
      <c r="L811" s="34">
        <f t="shared" si="127"/>
        <v>-1</v>
      </c>
      <c r="M811" s="44" t="e">
        <f t="shared" si="128"/>
        <v>#DIV/0!</v>
      </c>
    </row>
    <row r="812" spans="1:13" ht="45" customHeight="1" x14ac:dyDescent="0.2">
      <c r="A812" s="27" t="s">
        <v>1610</v>
      </c>
      <c r="B812" s="47" t="s">
        <v>1847</v>
      </c>
      <c r="C812" s="52" t="s">
        <v>1846</v>
      </c>
      <c r="D812" s="39" t="s">
        <v>1848</v>
      </c>
      <c r="E812" s="29"/>
      <c r="F812" s="30"/>
      <c r="G812" s="31">
        <f t="shared" si="124"/>
        <v>0</v>
      </c>
      <c r="H812" s="31"/>
      <c r="I812" s="32">
        <f t="shared" si="125"/>
        <v>0</v>
      </c>
      <c r="J812" s="36">
        <v>2023</v>
      </c>
      <c r="K812" s="32">
        <f t="shared" si="126"/>
        <v>-2023</v>
      </c>
      <c r="L812" s="34">
        <f t="shared" si="127"/>
        <v>-1</v>
      </c>
      <c r="M812" s="44" t="e">
        <f t="shared" si="128"/>
        <v>#DIV/0!</v>
      </c>
    </row>
    <row r="813" spans="1:13" ht="45" customHeight="1" x14ac:dyDescent="0.2">
      <c r="A813" s="27" t="s">
        <v>543</v>
      </c>
      <c r="B813" s="47" t="s">
        <v>1850</v>
      </c>
      <c r="C813" s="52" t="s">
        <v>1775</v>
      </c>
      <c r="D813" s="39" t="s">
        <v>1851</v>
      </c>
      <c r="E813" s="29"/>
      <c r="F813" s="30"/>
      <c r="G813" s="31">
        <f t="shared" ref="G813:G837" si="129">E813*F813</f>
        <v>0</v>
      </c>
      <c r="H813" s="31"/>
      <c r="I813" s="32">
        <f t="shared" ref="I813:I837" si="130">E813-G813-H813</f>
        <v>0</v>
      </c>
      <c r="J813" s="36">
        <v>18194.624</v>
      </c>
      <c r="K813" s="32">
        <f t="shared" ref="K813:K837" si="131">I813-J813</f>
        <v>-18194.624</v>
      </c>
      <c r="L813" s="34">
        <f t="shared" ref="L813:L837" si="132">K813/J813</f>
        <v>-1</v>
      </c>
      <c r="M813" s="44" t="e">
        <f t="shared" ref="M813:M837" si="133">K813/E813</f>
        <v>#DIV/0!</v>
      </c>
    </row>
    <row r="814" spans="1:13" ht="45" customHeight="1" x14ac:dyDescent="0.2">
      <c r="A814" s="27" t="s">
        <v>539</v>
      </c>
      <c r="B814" s="47" t="s">
        <v>1918</v>
      </c>
      <c r="C814" s="52" t="s">
        <v>1919</v>
      </c>
      <c r="D814" s="39" t="s">
        <v>1920</v>
      </c>
      <c r="E814" s="29"/>
      <c r="F814" s="30"/>
      <c r="G814" s="31">
        <f t="shared" si="129"/>
        <v>0</v>
      </c>
      <c r="H814" s="31"/>
      <c r="I814" s="32">
        <f t="shared" si="130"/>
        <v>0</v>
      </c>
      <c r="J814" s="36">
        <v>1848</v>
      </c>
      <c r="K814" s="32">
        <f t="shared" si="131"/>
        <v>-1848</v>
      </c>
      <c r="L814" s="34">
        <f t="shared" si="132"/>
        <v>-1</v>
      </c>
      <c r="M814" s="44" t="e">
        <f t="shared" si="133"/>
        <v>#DIV/0!</v>
      </c>
    </row>
    <row r="815" spans="1:13" ht="45" customHeight="1" x14ac:dyDescent="0.2">
      <c r="A815" s="27" t="s">
        <v>539</v>
      </c>
      <c r="B815" s="47" t="s">
        <v>1921</v>
      </c>
      <c r="C815" s="52" t="s">
        <v>1922</v>
      </c>
      <c r="D815" s="39" t="s">
        <v>1923</v>
      </c>
      <c r="E815" s="29"/>
      <c r="F815" s="30"/>
      <c r="G815" s="31">
        <f t="shared" si="129"/>
        <v>0</v>
      </c>
      <c r="H815" s="31"/>
      <c r="I815" s="32">
        <f t="shared" si="130"/>
        <v>0</v>
      </c>
      <c r="J815" s="36">
        <f>VLOOKUP(Tabla1[[#This Row],[SKU]],[2]Hoja1!$D$2:$F$23,3,FALSE)</f>
        <v>7200</v>
      </c>
      <c r="K815" s="32">
        <f t="shared" si="131"/>
        <v>-7200</v>
      </c>
      <c r="L815" s="34">
        <f t="shared" si="132"/>
        <v>-1</v>
      </c>
      <c r="M815" s="44" t="e">
        <f t="shared" si="133"/>
        <v>#DIV/0!</v>
      </c>
    </row>
    <row r="816" spans="1:13" ht="45" customHeight="1" x14ac:dyDescent="0.2">
      <c r="A816" s="27" t="s">
        <v>539</v>
      </c>
      <c r="B816" s="47" t="s">
        <v>1924</v>
      </c>
      <c r="C816" s="52" t="s">
        <v>1925</v>
      </c>
      <c r="D816" s="39" t="s">
        <v>1926</v>
      </c>
      <c r="E816" s="29"/>
      <c r="F816" s="30"/>
      <c r="G816" s="31">
        <f t="shared" si="129"/>
        <v>0</v>
      </c>
      <c r="H816" s="31"/>
      <c r="I816" s="32">
        <f t="shared" si="130"/>
        <v>0</v>
      </c>
      <c r="J816" s="36">
        <f>VLOOKUP(Tabla1[[#This Row],[SKU]],[2]Hoja1!$D$2:$F$23,3,FALSE)</f>
        <v>2925</v>
      </c>
      <c r="K816" s="32">
        <f t="shared" si="131"/>
        <v>-2925</v>
      </c>
      <c r="L816" s="34">
        <f t="shared" si="132"/>
        <v>-1</v>
      </c>
      <c r="M816" s="44" t="e">
        <f t="shared" si="133"/>
        <v>#DIV/0!</v>
      </c>
    </row>
    <row r="817" spans="1:13" ht="45" customHeight="1" x14ac:dyDescent="0.2">
      <c r="A817" s="27" t="s">
        <v>539</v>
      </c>
      <c r="B817" s="47" t="s">
        <v>1927</v>
      </c>
      <c r="C817" s="52" t="s">
        <v>1928</v>
      </c>
      <c r="D817" s="39" t="s">
        <v>1929</v>
      </c>
      <c r="E817" s="29"/>
      <c r="F817" s="30"/>
      <c r="G817" s="31">
        <f t="shared" si="129"/>
        <v>0</v>
      </c>
      <c r="H817" s="31"/>
      <c r="I817" s="32">
        <f t="shared" si="130"/>
        <v>0</v>
      </c>
      <c r="J817" s="36">
        <f>VLOOKUP(Tabla1[[#This Row],[SKU]],[2]Hoja1!$D$2:$F$23,3,FALSE)</f>
        <v>4050</v>
      </c>
      <c r="K817" s="32">
        <f t="shared" si="131"/>
        <v>-4050</v>
      </c>
      <c r="L817" s="34">
        <f t="shared" si="132"/>
        <v>-1</v>
      </c>
      <c r="M817" s="44" t="e">
        <f t="shared" si="133"/>
        <v>#DIV/0!</v>
      </c>
    </row>
    <row r="818" spans="1:13" ht="45" customHeight="1" x14ac:dyDescent="0.2">
      <c r="A818" s="27" t="s">
        <v>539</v>
      </c>
      <c r="B818" s="47" t="s">
        <v>1930</v>
      </c>
      <c r="C818" s="52" t="s">
        <v>1931</v>
      </c>
      <c r="D818" s="39" t="s">
        <v>1932</v>
      </c>
      <c r="E818" s="29"/>
      <c r="F818" s="30"/>
      <c r="G818" s="31">
        <f t="shared" si="129"/>
        <v>0</v>
      </c>
      <c r="H818" s="31"/>
      <c r="I818" s="32">
        <f t="shared" si="130"/>
        <v>0</v>
      </c>
      <c r="J818" s="36">
        <f>VLOOKUP(Tabla1[[#This Row],[SKU]],[2]Hoja1!$D$2:$F$23,3,FALSE)</f>
        <v>1620</v>
      </c>
      <c r="K818" s="32">
        <f t="shared" si="131"/>
        <v>-1620</v>
      </c>
      <c r="L818" s="34">
        <f t="shared" si="132"/>
        <v>-1</v>
      </c>
      <c r="M818" s="44" t="e">
        <f t="shared" si="133"/>
        <v>#DIV/0!</v>
      </c>
    </row>
    <row r="819" spans="1:13" ht="45" customHeight="1" x14ac:dyDescent="0.2">
      <c r="A819" s="27" t="s">
        <v>539</v>
      </c>
      <c r="B819" s="47" t="s">
        <v>1933</v>
      </c>
      <c r="C819" s="52" t="s">
        <v>1934</v>
      </c>
      <c r="D819" s="39" t="s">
        <v>1935</v>
      </c>
      <c r="E819" s="29"/>
      <c r="F819" s="30"/>
      <c r="G819" s="31">
        <f t="shared" si="129"/>
        <v>0</v>
      </c>
      <c r="H819" s="31"/>
      <c r="I819" s="32">
        <f t="shared" si="130"/>
        <v>0</v>
      </c>
      <c r="J819" s="36">
        <f>VLOOKUP(Tabla1[[#This Row],[SKU]],[2]Hoja1!$D$2:$F$23,3,FALSE)</f>
        <v>1350</v>
      </c>
      <c r="K819" s="32">
        <f t="shared" si="131"/>
        <v>-1350</v>
      </c>
      <c r="L819" s="34">
        <f t="shared" si="132"/>
        <v>-1</v>
      </c>
      <c r="M819" s="44" t="e">
        <f t="shared" si="133"/>
        <v>#DIV/0!</v>
      </c>
    </row>
    <row r="820" spans="1:13" ht="45" customHeight="1" x14ac:dyDescent="0.2">
      <c r="A820" s="27" t="s">
        <v>539</v>
      </c>
      <c r="B820" s="47" t="s">
        <v>1936</v>
      </c>
      <c r="C820" s="52" t="s">
        <v>1937</v>
      </c>
      <c r="D820" s="39" t="s">
        <v>1938</v>
      </c>
      <c r="E820" s="29"/>
      <c r="F820" s="30"/>
      <c r="G820" s="31">
        <f t="shared" si="129"/>
        <v>0</v>
      </c>
      <c r="H820" s="31"/>
      <c r="I820" s="32">
        <f t="shared" si="130"/>
        <v>0</v>
      </c>
      <c r="J820" s="36">
        <f>VLOOKUP(Tabla1[[#This Row],[SKU]],[2]Hoja1!$D$2:$F$23,3,FALSE)</f>
        <v>1350</v>
      </c>
      <c r="K820" s="32">
        <f t="shared" si="131"/>
        <v>-1350</v>
      </c>
      <c r="L820" s="34">
        <f t="shared" si="132"/>
        <v>-1</v>
      </c>
      <c r="M820" s="44" t="e">
        <f t="shared" si="133"/>
        <v>#DIV/0!</v>
      </c>
    </row>
    <row r="821" spans="1:13" ht="45" customHeight="1" x14ac:dyDescent="0.2">
      <c r="A821" s="27" t="s">
        <v>539</v>
      </c>
      <c r="B821" s="47" t="s">
        <v>1939</v>
      </c>
      <c r="C821" s="52" t="s">
        <v>1940</v>
      </c>
      <c r="D821" s="39" t="s">
        <v>1941</v>
      </c>
      <c r="E821" s="29"/>
      <c r="F821" s="30"/>
      <c r="G821" s="31">
        <f t="shared" si="129"/>
        <v>0</v>
      </c>
      <c r="H821" s="31"/>
      <c r="I821" s="32">
        <f t="shared" si="130"/>
        <v>0</v>
      </c>
      <c r="J821" s="36">
        <f>VLOOKUP(Tabla1[[#This Row],[SKU]],[2]Hoja1!$D$2:$F$23,3,FALSE)</f>
        <v>2700</v>
      </c>
      <c r="K821" s="32">
        <f t="shared" si="131"/>
        <v>-2700</v>
      </c>
      <c r="L821" s="34">
        <f t="shared" si="132"/>
        <v>-1</v>
      </c>
      <c r="M821" s="44" t="e">
        <f t="shared" si="133"/>
        <v>#DIV/0!</v>
      </c>
    </row>
    <row r="822" spans="1:13" ht="45" customHeight="1" x14ac:dyDescent="0.2">
      <c r="A822" s="27" t="s">
        <v>539</v>
      </c>
      <c r="B822" s="47" t="s">
        <v>1942</v>
      </c>
      <c r="C822" s="52" t="s">
        <v>1943</v>
      </c>
      <c r="D822" s="39" t="s">
        <v>1944</v>
      </c>
      <c r="E822" s="29"/>
      <c r="F822" s="30"/>
      <c r="G822" s="31">
        <f t="shared" si="129"/>
        <v>0</v>
      </c>
      <c r="H822" s="31"/>
      <c r="I822" s="32">
        <f t="shared" si="130"/>
        <v>0</v>
      </c>
      <c r="J822" s="36">
        <f>VLOOKUP(Tabla1[[#This Row],[SKU]],[2]Hoja1!$D$2:$F$23,3,FALSE)</f>
        <v>2700</v>
      </c>
      <c r="K822" s="32">
        <f t="shared" si="131"/>
        <v>-2700</v>
      </c>
      <c r="L822" s="34">
        <f t="shared" si="132"/>
        <v>-1</v>
      </c>
      <c r="M822" s="44" t="e">
        <f t="shared" si="133"/>
        <v>#DIV/0!</v>
      </c>
    </row>
    <row r="823" spans="1:13" ht="45" customHeight="1" x14ac:dyDescent="0.2">
      <c r="A823" s="27" t="s">
        <v>539</v>
      </c>
      <c r="B823" s="47" t="s">
        <v>1945</v>
      </c>
      <c r="C823" s="52" t="s">
        <v>1946</v>
      </c>
      <c r="D823" s="39" t="s">
        <v>1947</v>
      </c>
      <c r="E823" s="29"/>
      <c r="F823" s="30"/>
      <c r="G823" s="31">
        <f t="shared" si="129"/>
        <v>0</v>
      </c>
      <c r="H823" s="31"/>
      <c r="I823" s="32">
        <f t="shared" si="130"/>
        <v>0</v>
      </c>
      <c r="J823" s="36">
        <f>VLOOKUP(Tabla1[[#This Row],[SKU]],[2]Hoja1!$D$2:$F$23,3,FALSE)</f>
        <v>2700</v>
      </c>
      <c r="K823" s="32">
        <f t="shared" si="131"/>
        <v>-2700</v>
      </c>
      <c r="L823" s="34">
        <f t="shared" si="132"/>
        <v>-1</v>
      </c>
      <c r="M823" s="44" t="e">
        <f t="shared" si="133"/>
        <v>#DIV/0!</v>
      </c>
    </row>
    <row r="824" spans="1:13" ht="45" customHeight="1" x14ac:dyDescent="0.2">
      <c r="A824" s="27" t="s">
        <v>539</v>
      </c>
      <c r="B824" s="47" t="s">
        <v>1948</v>
      </c>
      <c r="C824" s="52" t="s">
        <v>1949</v>
      </c>
      <c r="D824" s="39" t="s">
        <v>1950</v>
      </c>
      <c r="E824" s="29"/>
      <c r="F824" s="30"/>
      <c r="G824" s="31">
        <f t="shared" si="129"/>
        <v>0</v>
      </c>
      <c r="H824" s="31"/>
      <c r="I824" s="32">
        <f t="shared" si="130"/>
        <v>0</v>
      </c>
      <c r="J824" s="36">
        <f>VLOOKUP(Tabla1[[#This Row],[SKU]],[2]Hoja1!$D$2:$F$23,3,FALSE)</f>
        <v>5400</v>
      </c>
      <c r="K824" s="32">
        <f t="shared" si="131"/>
        <v>-5400</v>
      </c>
      <c r="L824" s="34">
        <f t="shared" si="132"/>
        <v>-1</v>
      </c>
      <c r="M824" s="44" t="e">
        <f t="shared" si="133"/>
        <v>#DIV/0!</v>
      </c>
    </row>
    <row r="825" spans="1:13" ht="45" customHeight="1" x14ac:dyDescent="0.2">
      <c r="A825" s="27" t="s">
        <v>539</v>
      </c>
      <c r="B825" s="47" t="s">
        <v>1951</v>
      </c>
      <c r="C825" s="52" t="s">
        <v>1952</v>
      </c>
      <c r="D825" s="39" t="s">
        <v>1953</v>
      </c>
      <c r="E825" s="29"/>
      <c r="F825" s="30"/>
      <c r="G825" s="31">
        <f t="shared" si="129"/>
        <v>0</v>
      </c>
      <c r="H825" s="31"/>
      <c r="I825" s="32">
        <f t="shared" si="130"/>
        <v>0</v>
      </c>
      <c r="J825" s="36">
        <f>VLOOKUP(Tabla1[[#This Row],[SKU]],[2]Hoja1!$D$2:$F$23,3,FALSE)</f>
        <v>1980</v>
      </c>
      <c r="K825" s="32">
        <f t="shared" si="131"/>
        <v>-1980</v>
      </c>
      <c r="L825" s="34">
        <f t="shared" si="132"/>
        <v>-1</v>
      </c>
      <c r="M825" s="44" t="e">
        <f t="shared" si="133"/>
        <v>#DIV/0!</v>
      </c>
    </row>
    <row r="826" spans="1:13" ht="45" customHeight="1" x14ac:dyDescent="0.2">
      <c r="A826" s="27" t="s">
        <v>539</v>
      </c>
      <c r="B826" s="47" t="s">
        <v>1954</v>
      </c>
      <c r="C826" s="52" t="s">
        <v>1955</v>
      </c>
      <c r="D826" s="39" t="s">
        <v>1956</v>
      </c>
      <c r="E826" s="29"/>
      <c r="F826" s="30"/>
      <c r="G826" s="31">
        <f t="shared" si="129"/>
        <v>0</v>
      </c>
      <c r="H826" s="31"/>
      <c r="I826" s="32">
        <f t="shared" si="130"/>
        <v>0</v>
      </c>
      <c r="J826" s="36">
        <f>VLOOKUP(Tabla1[[#This Row],[SKU]],[2]Hoja1!$D$2:$F$23,3,FALSE)</f>
        <v>3150</v>
      </c>
      <c r="K826" s="32">
        <f t="shared" si="131"/>
        <v>-3150</v>
      </c>
      <c r="L826" s="34">
        <f t="shared" si="132"/>
        <v>-1</v>
      </c>
      <c r="M826" s="44" t="e">
        <f t="shared" si="133"/>
        <v>#DIV/0!</v>
      </c>
    </row>
    <row r="827" spans="1:13" ht="45" customHeight="1" x14ac:dyDescent="0.2">
      <c r="A827" s="27" t="s">
        <v>539</v>
      </c>
      <c r="B827" s="47" t="s">
        <v>1957</v>
      </c>
      <c r="C827" s="52" t="s">
        <v>1958</v>
      </c>
      <c r="D827" s="39" t="s">
        <v>1959</v>
      </c>
      <c r="E827" s="29"/>
      <c r="F827" s="30"/>
      <c r="G827" s="31">
        <f t="shared" si="129"/>
        <v>0</v>
      </c>
      <c r="H827" s="31"/>
      <c r="I827" s="32">
        <f t="shared" si="130"/>
        <v>0</v>
      </c>
      <c r="J827" s="36">
        <f>VLOOKUP(Tabla1[[#This Row],[SKU]],[2]Hoja1!$D$2:$F$23,3,FALSE)</f>
        <v>2700</v>
      </c>
      <c r="K827" s="32">
        <f t="shared" si="131"/>
        <v>-2700</v>
      </c>
      <c r="L827" s="34">
        <f t="shared" si="132"/>
        <v>-1</v>
      </c>
      <c r="M827" s="44" t="e">
        <f t="shared" si="133"/>
        <v>#DIV/0!</v>
      </c>
    </row>
    <row r="828" spans="1:13" ht="45" customHeight="1" x14ac:dyDescent="0.2">
      <c r="A828" s="27" t="s">
        <v>539</v>
      </c>
      <c r="B828" s="47" t="s">
        <v>1960</v>
      </c>
      <c r="C828" s="52" t="s">
        <v>1961</v>
      </c>
      <c r="D828" s="39" t="s">
        <v>1962</v>
      </c>
      <c r="E828" s="29"/>
      <c r="F828" s="30"/>
      <c r="G828" s="31">
        <f t="shared" si="129"/>
        <v>0</v>
      </c>
      <c r="H828" s="31"/>
      <c r="I828" s="32">
        <f t="shared" si="130"/>
        <v>0</v>
      </c>
      <c r="J828" s="36">
        <f>VLOOKUP(Tabla1[[#This Row],[SKU]],[2]Hoja1!$D$2:$F$23,3,FALSE)</f>
        <v>4500</v>
      </c>
      <c r="K828" s="32">
        <f t="shared" si="131"/>
        <v>-4500</v>
      </c>
      <c r="L828" s="34">
        <f t="shared" si="132"/>
        <v>-1</v>
      </c>
      <c r="M828" s="44" t="e">
        <f t="shared" si="133"/>
        <v>#DIV/0!</v>
      </c>
    </row>
    <row r="829" spans="1:13" ht="45" customHeight="1" x14ac:dyDescent="0.2">
      <c r="A829" s="27" t="s">
        <v>539</v>
      </c>
      <c r="B829" s="47" t="s">
        <v>1963</v>
      </c>
      <c r="C829" s="52" t="s">
        <v>1964</v>
      </c>
      <c r="D829" s="39" t="s">
        <v>1965</v>
      </c>
      <c r="E829" s="29"/>
      <c r="F829" s="30"/>
      <c r="G829" s="31">
        <f t="shared" si="129"/>
        <v>0</v>
      </c>
      <c r="H829" s="31"/>
      <c r="I829" s="32">
        <f t="shared" si="130"/>
        <v>0</v>
      </c>
      <c r="J829" s="36">
        <f>VLOOKUP(Tabla1[[#This Row],[SKU]],[2]Hoja1!$D$2:$F$23,3,FALSE)</f>
        <v>1620</v>
      </c>
      <c r="K829" s="32">
        <f t="shared" si="131"/>
        <v>-1620</v>
      </c>
      <c r="L829" s="34">
        <f t="shared" si="132"/>
        <v>-1</v>
      </c>
      <c r="M829" s="44" t="e">
        <f t="shared" si="133"/>
        <v>#DIV/0!</v>
      </c>
    </row>
    <row r="830" spans="1:13" ht="45" customHeight="1" x14ac:dyDescent="0.2">
      <c r="A830" s="27" t="s">
        <v>539</v>
      </c>
      <c r="B830" s="47" t="s">
        <v>1966</v>
      </c>
      <c r="C830" s="52" t="s">
        <v>1967</v>
      </c>
      <c r="D830" s="39" t="s">
        <v>1968</v>
      </c>
      <c r="E830" s="29"/>
      <c r="F830" s="30"/>
      <c r="G830" s="31">
        <f t="shared" si="129"/>
        <v>0</v>
      </c>
      <c r="H830" s="31"/>
      <c r="I830" s="32">
        <f t="shared" si="130"/>
        <v>0</v>
      </c>
      <c r="J830" s="36">
        <f>VLOOKUP(Tabla1[[#This Row],[SKU]],[2]Hoja1!$D$2:$F$23,3,FALSE)</f>
        <v>3150</v>
      </c>
      <c r="K830" s="32">
        <f t="shared" si="131"/>
        <v>-3150</v>
      </c>
      <c r="L830" s="34">
        <f t="shared" si="132"/>
        <v>-1</v>
      </c>
      <c r="M830" s="44" t="e">
        <f t="shared" si="133"/>
        <v>#DIV/0!</v>
      </c>
    </row>
    <row r="831" spans="1:13" ht="45" customHeight="1" x14ac:dyDescent="0.2">
      <c r="A831" s="27" t="s">
        <v>539</v>
      </c>
      <c r="B831" s="47" t="s">
        <v>1969</v>
      </c>
      <c r="C831" s="52" t="s">
        <v>1970</v>
      </c>
      <c r="D831" s="39" t="s">
        <v>1971</v>
      </c>
      <c r="E831" s="29"/>
      <c r="F831" s="30"/>
      <c r="G831" s="31">
        <f t="shared" si="129"/>
        <v>0</v>
      </c>
      <c r="H831" s="31"/>
      <c r="I831" s="32">
        <f t="shared" si="130"/>
        <v>0</v>
      </c>
      <c r="J831" s="36">
        <f>VLOOKUP(Tabla1[[#This Row],[SKU]],[2]Hoja1!$D$2:$F$23,3,FALSE)</f>
        <v>6300</v>
      </c>
      <c r="K831" s="32">
        <f t="shared" si="131"/>
        <v>-6300</v>
      </c>
      <c r="L831" s="34">
        <f t="shared" si="132"/>
        <v>-1</v>
      </c>
      <c r="M831" s="44" t="e">
        <f t="shared" si="133"/>
        <v>#DIV/0!</v>
      </c>
    </row>
    <row r="832" spans="1:13" ht="45" customHeight="1" x14ac:dyDescent="0.2">
      <c r="A832" s="27" t="s">
        <v>539</v>
      </c>
      <c r="B832" s="47" t="s">
        <v>1972</v>
      </c>
      <c r="C832" s="52" t="s">
        <v>1973</v>
      </c>
      <c r="D832" s="39" t="s">
        <v>1974</v>
      </c>
      <c r="E832" s="29"/>
      <c r="F832" s="30"/>
      <c r="G832" s="31">
        <f t="shared" si="129"/>
        <v>0</v>
      </c>
      <c r="H832" s="31"/>
      <c r="I832" s="32">
        <f t="shared" si="130"/>
        <v>0</v>
      </c>
      <c r="J832" s="36">
        <f>VLOOKUP(Tabla1[[#This Row],[SKU]],[2]Hoja1!$D$2:$F$23,3,FALSE)</f>
        <v>2475</v>
      </c>
      <c r="K832" s="32">
        <f t="shared" si="131"/>
        <v>-2475</v>
      </c>
      <c r="L832" s="34">
        <f t="shared" si="132"/>
        <v>-1</v>
      </c>
      <c r="M832" s="44" t="e">
        <f t="shared" si="133"/>
        <v>#DIV/0!</v>
      </c>
    </row>
    <row r="833" spans="1:13" ht="45" customHeight="1" x14ac:dyDescent="0.2">
      <c r="A833" s="27" t="s">
        <v>539</v>
      </c>
      <c r="B833" s="47" t="s">
        <v>1975</v>
      </c>
      <c r="C833" s="52" t="s">
        <v>1976</v>
      </c>
      <c r="D833" s="39" t="s">
        <v>1977</v>
      </c>
      <c r="E833" s="29"/>
      <c r="F833" s="30"/>
      <c r="G833" s="31">
        <f t="shared" si="129"/>
        <v>0</v>
      </c>
      <c r="H833" s="31"/>
      <c r="I833" s="32">
        <f t="shared" si="130"/>
        <v>0</v>
      </c>
      <c r="J833" s="36">
        <f>VLOOKUP(Tabla1[[#This Row],[SKU]],[2]Hoja1!$D$2:$F$23,3,FALSE)</f>
        <v>5850</v>
      </c>
      <c r="K833" s="32">
        <f t="shared" si="131"/>
        <v>-5850</v>
      </c>
      <c r="L833" s="34">
        <f t="shared" si="132"/>
        <v>-1</v>
      </c>
      <c r="M833" s="44" t="e">
        <f t="shared" si="133"/>
        <v>#DIV/0!</v>
      </c>
    </row>
    <row r="834" spans="1:13" ht="45" customHeight="1" x14ac:dyDescent="0.2">
      <c r="A834" s="27" t="s">
        <v>539</v>
      </c>
      <c r="B834" s="47" t="s">
        <v>1978</v>
      </c>
      <c r="C834" s="52" t="s">
        <v>1979</v>
      </c>
      <c r="D834" s="39" t="s">
        <v>1980</v>
      </c>
      <c r="E834" s="29"/>
      <c r="F834" s="30"/>
      <c r="G834" s="31">
        <f t="shared" si="129"/>
        <v>0</v>
      </c>
      <c r="H834" s="31"/>
      <c r="I834" s="32">
        <f t="shared" si="130"/>
        <v>0</v>
      </c>
      <c r="J834" s="36">
        <f>VLOOKUP(Tabla1[[#This Row],[SKU]],[2]Hoja1!$D$2:$F$23,3,FALSE)</f>
        <v>6300</v>
      </c>
      <c r="K834" s="32">
        <f t="shared" si="131"/>
        <v>-6300</v>
      </c>
      <c r="L834" s="34">
        <f t="shared" si="132"/>
        <v>-1</v>
      </c>
      <c r="M834" s="44" t="e">
        <f t="shared" si="133"/>
        <v>#DIV/0!</v>
      </c>
    </row>
    <row r="835" spans="1:13" ht="45" customHeight="1" x14ac:dyDescent="0.2">
      <c r="A835" s="27" t="s">
        <v>539</v>
      </c>
      <c r="B835" s="47" t="s">
        <v>1981</v>
      </c>
      <c r="C835" s="52" t="s">
        <v>868</v>
      </c>
      <c r="D835" s="39" t="s">
        <v>1982</v>
      </c>
      <c r="E835" s="29"/>
      <c r="F835" s="30"/>
      <c r="G835" s="31">
        <f t="shared" si="129"/>
        <v>0</v>
      </c>
      <c r="H835" s="31"/>
      <c r="I835" s="32">
        <f t="shared" si="130"/>
        <v>0</v>
      </c>
      <c r="J835" s="36">
        <v>6720</v>
      </c>
      <c r="K835" s="32">
        <f t="shared" si="131"/>
        <v>-6720</v>
      </c>
      <c r="L835" s="34">
        <f t="shared" si="132"/>
        <v>-1</v>
      </c>
      <c r="M835" s="44" t="e">
        <f t="shared" si="133"/>
        <v>#DIV/0!</v>
      </c>
    </row>
    <row r="836" spans="1:13" ht="45" customHeight="1" x14ac:dyDescent="0.2">
      <c r="A836" s="27" t="s">
        <v>989</v>
      </c>
      <c r="B836" s="47" t="s">
        <v>1983</v>
      </c>
      <c r="C836" s="52" t="s">
        <v>1984</v>
      </c>
      <c r="D836" s="39" t="s">
        <v>1985</v>
      </c>
      <c r="E836" s="29"/>
      <c r="F836" s="30"/>
      <c r="G836" s="31">
        <f t="shared" si="129"/>
        <v>0</v>
      </c>
      <c r="H836" s="31"/>
      <c r="I836" s="32">
        <f t="shared" si="130"/>
        <v>0</v>
      </c>
      <c r="J836" s="36">
        <v>11892</v>
      </c>
      <c r="K836" s="32">
        <f t="shared" si="131"/>
        <v>-11892</v>
      </c>
      <c r="L836" s="34">
        <f t="shared" si="132"/>
        <v>-1</v>
      </c>
      <c r="M836" s="44" t="e">
        <f t="shared" si="133"/>
        <v>#DIV/0!</v>
      </c>
    </row>
    <row r="837" spans="1:13" ht="45" customHeight="1" x14ac:dyDescent="0.2">
      <c r="A837" s="27" t="s">
        <v>989</v>
      </c>
      <c r="B837" s="47" t="s">
        <v>1986</v>
      </c>
      <c r="C837" s="52" t="s">
        <v>1984</v>
      </c>
      <c r="D837" s="39" t="s">
        <v>1985</v>
      </c>
      <c r="E837" s="29"/>
      <c r="F837" s="30"/>
      <c r="G837" s="31">
        <f t="shared" si="129"/>
        <v>0</v>
      </c>
      <c r="H837" s="31"/>
      <c r="I837" s="32">
        <f t="shared" si="130"/>
        <v>0</v>
      </c>
      <c r="J837" s="36">
        <v>11892</v>
      </c>
      <c r="K837" s="32">
        <f t="shared" si="131"/>
        <v>-11892</v>
      </c>
      <c r="L837" s="34">
        <f t="shared" si="132"/>
        <v>-1</v>
      </c>
      <c r="M837" s="44" t="e">
        <f t="shared" si="133"/>
        <v>#DIV/0!</v>
      </c>
    </row>
    <row r="838" spans="1:13" ht="45" customHeight="1" x14ac:dyDescent="0.2">
      <c r="A838" s="27" t="s">
        <v>539</v>
      </c>
      <c r="B838" s="47" t="s">
        <v>1987</v>
      </c>
      <c r="C838" s="52" t="s">
        <v>1973</v>
      </c>
      <c r="D838" s="39" t="s">
        <v>1988</v>
      </c>
      <c r="E838" s="29"/>
      <c r="F838" s="30"/>
      <c r="G838" s="31">
        <f t="shared" ref="G838:G853" si="134">E838*F838</f>
        <v>0</v>
      </c>
      <c r="H838" s="31"/>
      <c r="I838" s="32">
        <f t="shared" ref="I838:I853" si="135">E838-G838-H838</f>
        <v>0</v>
      </c>
      <c r="J838" s="36">
        <f>VLOOKUP(Tabla1[[#This Row],[SKU]],[2]Hoja1!$D$2:$F$23,3,FALSE)</f>
        <v>2475</v>
      </c>
      <c r="K838" s="32">
        <f t="shared" ref="K838:K853" si="136">I838-J838</f>
        <v>-2475</v>
      </c>
      <c r="L838" s="34">
        <f t="shared" ref="L838:L853" si="137">K838/J838</f>
        <v>-1</v>
      </c>
      <c r="M838" s="44" t="e">
        <f t="shared" ref="M838:M853" si="138">K838/E838</f>
        <v>#DIV/0!</v>
      </c>
    </row>
    <row r="839" spans="1:13" ht="45" customHeight="1" x14ac:dyDescent="0.2">
      <c r="A839" s="27" t="s">
        <v>539</v>
      </c>
      <c r="B839" s="47" t="s">
        <v>1989</v>
      </c>
      <c r="C839" s="52" t="s">
        <v>1949</v>
      </c>
      <c r="D839" s="39" t="s">
        <v>1990</v>
      </c>
      <c r="E839" s="29"/>
      <c r="F839" s="30"/>
      <c r="G839" s="31">
        <f t="shared" si="134"/>
        <v>0</v>
      </c>
      <c r="H839" s="31"/>
      <c r="I839" s="32">
        <f t="shared" si="135"/>
        <v>0</v>
      </c>
      <c r="J839" s="36">
        <f>VLOOKUP(Tabla1[[#This Row],[SKU]],[2]Hoja1!$D$2:$F$23,3,FALSE)</f>
        <v>5400</v>
      </c>
      <c r="K839" s="32">
        <f t="shared" si="136"/>
        <v>-5400</v>
      </c>
      <c r="L839" s="34">
        <f t="shared" si="137"/>
        <v>-1</v>
      </c>
      <c r="M839" s="44" t="e">
        <f t="shared" si="138"/>
        <v>#DIV/0!</v>
      </c>
    </row>
    <row r="840" spans="1:13" ht="45" customHeight="1" x14ac:dyDescent="0.2">
      <c r="A840" s="27" t="s">
        <v>539</v>
      </c>
      <c r="B840" s="47" t="s">
        <v>1991</v>
      </c>
      <c r="C840" s="52" t="s">
        <v>1946</v>
      </c>
      <c r="D840" s="39" t="s">
        <v>1992</v>
      </c>
      <c r="E840" s="29"/>
      <c r="F840" s="30"/>
      <c r="G840" s="31">
        <f t="shared" si="134"/>
        <v>0</v>
      </c>
      <c r="H840" s="31"/>
      <c r="I840" s="32">
        <f t="shared" si="135"/>
        <v>0</v>
      </c>
      <c r="J840" s="36">
        <f>VLOOKUP(Tabla1[[#This Row],[SKU]],[2]Hoja1!$D$2:$F$23,3,FALSE)</f>
        <v>2700</v>
      </c>
      <c r="K840" s="32">
        <f t="shared" si="136"/>
        <v>-2700</v>
      </c>
      <c r="L840" s="34">
        <f t="shared" si="137"/>
        <v>-1</v>
      </c>
      <c r="M840" s="44" t="e">
        <f t="shared" si="138"/>
        <v>#DIV/0!</v>
      </c>
    </row>
    <row r="841" spans="1:13" ht="45" customHeight="1" x14ac:dyDescent="0.2">
      <c r="A841" s="27" t="s">
        <v>539</v>
      </c>
      <c r="B841" s="47" t="s">
        <v>1993</v>
      </c>
      <c r="C841" s="52" t="s">
        <v>1976</v>
      </c>
      <c r="D841" s="39" t="s">
        <v>1997</v>
      </c>
      <c r="E841" s="29"/>
      <c r="F841" s="30"/>
      <c r="G841" s="31">
        <f t="shared" si="134"/>
        <v>0</v>
      </c>
      <c r="H841" s="31"/>
      <c r="I841" s="32">
        <f t="shared" si="135"/>
        <v>0</v>
      </c>
      <c r="J841" s="36">
        <f>VLOOKUP(Tabla1[[#This Row],[SKU]],[2]Hoja1!$D$2:$F$23,3,FALSE)</f>
        <v>5850</v>
      </c>
      <c r="K841" s="32">
        <f t="shared" si="136"/>
        <v>-5850</v>
      </c>
      <c r="L841" s="34">
        <f t="shared" si="137"/>
        <v>-1</v>
      </c>
      <c r="M841" s="44" t="e">
        <f t="shared" si="138"/>
        <v>#DIV/0!</v>
      </c>
    </row>
    <row r="842" spans="1:13" ht="45" customHeight="1" x14ac:dyDescent="0.2">
      <c r="A842" s="27" t="s">
        <v>539</v>
      </c>
      <c r="B842" s="47" t="s">
        <v>1994</v>
      </c>
      <c r="C842" s="52" t="s">
        <v>930</v>
      </c>
      <c r="D842" s="39" t="s">
        <v>1995</v>
      </c>
      <c r="E842" s="29"/>
      <c r="F842" s="30"/>
      <c r="G842" s="31">
        <f t="shared" si="134"/>
        <v>0</v>
      </c>
      <c r="H842" s="31"/>
      <c r="I842" s="32">
        <f t="shared" si="135"/>
        <v>0</v>
      </c>
      <c r="J842" s="36">
        <v>1344</v>
      </c>
      <c r="K842" s="32">
        <f t="shared" si="136"/>
        <v>-1344</v>
      </c>
      <c r="L842" s="34">
        <f t="shared" si="137"/>
        <v>-1</v>
      </c>
      <c r="M842" s="44" t="e">
        <f t="shared" si="138"/>
        <v>#DIV/0!</v>
      </c>
    </row>
    <row r="843" spans="1:13" ht="45" customHeight="1" x14ac:dyDescent="0.2">
      <c r="A843" s="27" t="s">
        <v>539</v>
      </c>
      <c r="B843" s="47" t="s">
        <v>1996</v>
      </c>
      <c r="C843" s="52" t="s">
        <v>1940</v>
      </c>
      <c r="D843" s="39" t="s">
        <v>1998</v>
      </c>
      <c r="E843" s="29"/>
      <c r="F843" s="30"/>
      <c r="G843" s="31">
        <f t="shared" si="134"/>
        <v>0</v>
      </c>
      <c r="H843" s="31"/>
      <c r="I843" s="32">
        <f t="shared" si="135"/>
        <v>0</v>
      </c>
      <c r="J843" s="36">
        <f>VLOOKUP(Tabla1[[#This Row],[SKU]],[2]Hoja1!$D$2:$F$23,3,FALSE)</f>
        <v>2700</v>
      </c>
      <c r="K843" s="32">
        <f t="shared" si="136"/>
        <v>-2700</v>
      </c>
      <c r="L843" s="34">
        <f t="shared" si="137"/>
        <v>-1</v>
      </c>
      <c r="M843" s="44" t="e">
        <f t="shared" si="138"/>
        <v>#DIV/0!</v>
      </c>
    </row>
    <row r="844" spans="1:13" ht="45" customHeight="1" x14ac:dyDescent="0.2">
      <c r="A844" s="27" t="s">
        <v>539</v>
      </c>
      <c r="B844" s="47" t="s">
        <v>1999</v>
      </c>
      <c r="C844" s="52" t="s">
        <v>1931</v>
      </c>
      <c r="D844" s="39" t="s">
        <v>2000</v>
      </c>
      <c r="E844" s="29"/>
      <c r="F844" s="30"/>
      <c r="G844" s="31">
        <f t="shared" si="134"/>
        <v>0</v>
      </c>
      <c r="H844" s="31"/>
      <c r="I844" s="32">
        <f t="shared" si="135"/>
        <v>0</v>
      </c>
      <c r="J844" s="36">
        <f>VLOOKUP(Tabla1[[#This Row],[SKU]],[2]Hoja1!$D$2:$F$23,3,FALSE)</f>
        <v>1620</v>
      </c>
      <c r="K844" s="32">
        <f t="shared" si="136"/>
        <v>-1620</v>
      </c>
      <c r="L844" s="34">
        <f t="shared" si="137"/>
        <v>-1</v>
      </c>
      <c r="M844" s="44" t="e">
        <f t="shared" si="138"/>
        <v>#DIV/0!</v>
      </c>
    </row>
    <row r="845" spans="1:13" ht="45" customHeight="1" x14ac:dyDescent="0.2">
      <c r="A845" s="27" t="s">
        <v>539</v>
      </c>
      <c r="B845" s="47" t="s">
        <v>2001</v>
      </c>
      <c r="C845" s="52" t="s">
        <v>1943</v>
      </c>
      <c r="D845" s="39" t="s">
        <v>2002</v>
      </c>
      <c r="E845" s="29"/>
      <c r="F845" s="30"/>
      <c r="G845" s="31">
        <f t="shared" si="134"/>
        <v>0</v>
      </c>
      <c r="H845" s="31"/>
      <c r="I845" s="32">
        <f t="shared" si="135"/>
        <v>0</v>
      </c>
      <c r="J845" s="36">
        <f>VLOOKUP(Tabla1[[#This Row],[SKU]],[2]Hoja1!$D$2:$F$23,3,FALSE)</f>
        <v>2700</v>
      </c>
      <c r="K845" s="32">
        <f t="shared" si="136"/>
        <v>-2700</v>
      </c>
      <c r="L845" s="34">
        <f t="shared" si="137"/>
        <v>-1</v>
      </c>
      <c r="M845" s="44" t="e">
        <f t="shared" si="138"/>
        <v>#DIV/0!</v>
      </c>
    </row>
    <row r="846" spans="1:13" ht="45" customHeight="1" x14ac:dyDescent="0.2">
      <c r="A846" s="27" t="s">
        <v>539</v>
      </c>
      <c r="B846" s="47" t="s">
        <v>2004</v>
      </c>
      <c r="C846" s="52" t="s">
        <v>1964</v>
      </c>
      <c r="D846" s="39" t="s">
        <v>2003</v>
      </c>
      <c r="E846" s="29"/>
      <c r="F846" s="30"/>
      <c r="G846" s="31">
        <f t="shared" si="134"/>
        <v>0</v>
      </c>
      <c r="H846" s="31"/>
      <c r="I846" s="32">
        <f t="shared" si="135"/>
        <v>0</v>
      </c>
      <c r="J846" s="36">
        <f>VLOOKUP(Tabla1[[#This Row],[SKU]],[2]Hoja1!$D$2:$F$23,3,FALSE)</f>
        <v>1620</v>
      </c>
      <c r="K846" s="32">
        <f t="shared" si="136"/>
        <v>-1620</v>
      </c>
      <c r="L846" s="34">
        <f t="shared" si="137"/>
        <v>-1</v>
      </c>
      <c r="M846" s="44" t="e">
        <f t="shared" si="138"/>
        <v>#DIV/0!</v>
      </c>
    </row>
    <row r="847" spans="1:13" ht="45" customHeight="1" x14ac:dyDescent="0.2">
      <c r="A847" s="27" t="s">
        <v>539</v>
      </c>
      <c r="B847" s="47" t="s">
        <v>2005</v>
      </c>
      <c r="C847" s="52" t="s">
        <v>1955</v>
      </c>
      <c r="D847" s="39" t="s">
        <v>2006</v>
      </c>
      <c r="E847" s="29"/>
      <c r="F847" s="30"/>
      <c r="G847" s="31">
        <f t="shared" si="134"/>
        <v>0</v>
      </c>
      <c r="H847" s="31"/>
      <c r="I847" s="32">
        <f t="shared" si="135"/>
        <v>0</v>
      </c>
      <c r="J847" s="36">
        <f>VLOOKUP(Tabla1[[#This Row],[SKU]],[2]Hoja1!$D$2:$F$23,3,FALSE)</f>
        <v>3150</v>
      </c>
      <c r="K847" s="32">
        <f t="shared" si="136"/>
        <v>-3150</v>
      </c>
      <c r="L847" s="34">
        <f t="shared" si="137"/>
        <v>-1</v>
      </c>
      <c r="M847" s="44" t="e">
        <f t="shared" si="138"/>
        <v>#DIV/0!</v>
      </c>
    </row>
    <row r="848" spans="1:13" ht="45" customHeight="1" x14ac:dyDescent="0.2">
      <c r="A848" s="27" t="s">
        <v>539</v>
      </c>
      <c r="B848" s="47" t="s">
        <v>2007</v>
      </c>
      <c r="C848" s="52" t="s">
        <v>1961</v>
      </c>
      <c r="D848" s="39" t="s">
        <v>2008</v>
      </c>
      <c r="E848" s="29"/>
      <c r="F848" s="30"/>
      <c r="G848" s="31">
        <f t="shared" si="134"/>
        <v>0</v>
      </c>
      <c r="H848" s="31"/>
      <c r="I848" s="32">
        <f t="shared" si="135"/>
        <v>0</v>
      </c>
      <c r="J848" s="36">
        <f>VLOOKUP(Tabla1[[#This Row],[SKU]],[2]Hoja1!$D$2:$F$23,3,FALSE)</f>
        <v>4500</v>
      </c>
      <c r="K848" s="32">
        <f t="shared" si="136"/>
        <v>-4500</v>
      </c>
      <c r="L848" s="34">
        <f t="shared" si="137"/>
        <v>-1</v>
      </c>
      <c r="M848" s="44" t="e">
        <f t="shared" si="138"/>
        <v>#DIV/0!</v>
      </c>
    </row>
    <row r="849" spans="1:13" ht="45" customHeight="1" x14ac:dyDescent="0.2">
      <c r="A849" s="27" t="s">
        <v>539</v>
      </c>
      <c r="B849" s="47" t="s">
        <v>2009</v>
      </c>
      <c r="C849" s="52" t="s">
        <v>1919</v>
      </c>
      <c r="D849" s="39" t="s">
        <v>2010</v>
      </c>
      <c r="E849" s="29"/>
      <c r="F849" s="30"/>
      <c r="G849" s="31">
        <f t="shared" si="134"/>
        <v>0</v>
      </c>
      <c r="H849" s="31"/>
      <c r="I849" s="32">
        <f t="shared" si="135"/>
        <v>0</v>
      </c>
      <c r="J849" s="36">
        <v>1848</v>
      </c>
      <c r="K849" s="32">
        <f t="shared" si="136"/>
        <v>-1848</v>
      </c>
      <c r="L849" s="34">
        <f t="shared" si="137"/>
        <v>-1</v>
      </c>
      <c r="M849" s="44" t="e">
        <f t="shared" si="138"/>
        <v>#DIV/0!</v>
      </c>
    </row>
    <row r="850" spans="1:13" ht="45" customHeight="1" x14ac:dyDescent="0.2">
      <c r="A850" s="27" t="s">
        <v>539</v>
      </c>
      <c r="B850" s="47" t="s">
        <v>2011</v>
      </c>
      <c r="C850" s="52" t="s">
        <v>1934</v>
      </c>
      <c r="D850" s="39" t="s">
        <v>2012</v>
      </c>
      <c r="E850" s="29"/>
      <c r="F850" s="30"/>
      <c r="G850" s="31">
        <f t="shared" si="134"/>
        <v>0</v>
      </c>
      <c r="H850" s="31"/>
      <c r="I850" s="32">
        <f t="shared" si="135"/>
        <v>0</v>
      </c>
      <c r="J850" s="36">
        <f>VLOOKUP(Tabla1[[#This Row],[SKU]],[2]Hoja1!$D$2:$F$23,3,FALSE)</f>
        <v>1350</v>
      </c>
      <c r="K850" s="32">
        <f t="shared" si="136"/>
        <v>-1350</v>
      </c>
      <c r="L850" s="34">
        <f t="shared" si="137"/>
        <v>-1</v>
      </c>
      <c r="M850" s="44" t="e">
        <f t="shared" si="138"/>
        <v>#DIV/0!</v>
      </c>
    </row>
    <row r="851" spans="1:13" ht="45" customHeight="1" x14ac:dyDescent="0.2">
      <c r="A851" s="27" t="s">
        <v>539</v>
      </c>
      <c r="B851" s="47" t="s">
        <v>2013</v>
      </c>
      <c r="C851" s="52" t="s">
        <v>1958</v>
      </c>
      <c r="D851" s="39" t="s">
        <v>2014</v>
      </c>
      <c r="E851" s="29"/>
      <c r="F851" s="30"/>
      <c r="G851" s="31">
        <f t="shared" si="134"/>
        <v>0</v>
      </c>
      <c r="H851" s="31"/>
      <c r="I851" s="32">
        <f t="shared" si="135"/>
        <v>0</v>
      </c>
      <c r="J851" s="36">
        <f>VLOOKUP(Tabla1[[#This Row],[SKU]],[2]Hoja1!$D$2:$F$23,3,FALSE)</f>
        <v>2700</v>
      </c>
      <c r="K851" s="32">
        <f t="shared" si="136"/>
        <v>-2700</v>
      </c>
      <c r="L851" s="34">
        <f t="shared" si="137"/>
        <v>-1</v>
      </c>
      <c r="M851" s="44" t="e">
        <f t="shared" si="138"/>
        <v>#DIV/0!</v>
      </c>
    </row>
    <row r="852" spans="1:13" ht="45" customHeight="1" x14ac:dyDescent="0.2">
      <c r="A852" s="27" t="s">
        <v>539</v>
      </c>
      <c r="B852" s="47" t="s">
        <v>2015</v>
      </c>
      <c r="C852" s="52" t="s">
        <v>1979</v>
      </c>
      <c r="D852" s="39" t="s">
        <v>2016</v>
      </c>
      <c r="E852" s="29"/>
      <c r="F852" s="30"/>
      <c r="G852" s="31">
        <f t="shared" si="134"/>
        <v>0</v>
      </c>
      <c r="H852" s="31"/>
      <c r="I852" s="32">
        <f t="shared" si="135"/>
        <v>0</v>
      </c>
      <c r="J852" s="36">
        <f>VLOOKUP(Tabla1[[#This Row],[SKU]],[2]Hoja1!$D$2:$F$23,3,FALSE)</f>
        <v>6300</v>
      </c>
      <c r="K852" s="32">
        <f t="shared" si="136"/>
        <v>-6300</v>
      </c>
      <c r="L852" s="34">
        <f t="shared" si="137"/>
        <v>-1</v>
      </c>
      <c r="M852" s="44" t="e">
        <f t="shared" si="138"/>
        <v>#DIV/0!</v>
      </c>
    </row>
    <row r="853" spans="1:13" ht="45" customHeight="1" x14ac:dyDescent="0.2">
      <c r="A853" s="27" t="s">
        <v>539</v>
      </c>
      <c r="B853" s="47" t="s">
        <v>2017</v>
      </c>
      <c r="C853" s="52" t="s">
        <v>1970</v>
      </c>
      <c r="D853" s="39" t="s">
        <v>2018</v>
      </c>
      <c r="E853" s="29"/>
      <c r="F853" s="30"/>
      <c r="G853" s="31">
        <f t="shared" si="134"/>
        <v>0</v>
      </c>
      <c r="H853" s="31"/>
      <c r="I853" s="32">
        <f t="shared" si="135"/>
        <v>0</v>
      </c>
      <c r="J853" s="36">
        <f>VLOOKUP(Tabla1[[#This Row],[SKU]],[2]Hoja1!$D$2:$F$23,3,FALSE)</f>
        <v>6300</v>
      </c>
      <c r="K853" s="32">
        <f t="shared" si="136"/>
        <v>-6300</v>
      </c>
      <c r="L853" s="34">
        <f t="shared" si="137"/>
        <v>-1</v>
      </c>
      <c r="M853" s="44" t="e">
        <f t="shared" si="138"/>
        <v>#DIV/0!</v>
      </c>
    </row>
    <row r="854" spans="1:13" ht="45" customHeight="1" x14ac:dyDescent="0.2">
      <c r="A854" s="27" t="s">
        <v>549</v>
      </c>
      <c r="B854" s="47" t="s">
        <v>2019</v>
      </c>
      <c r="C854" s="52" t="s">
        <v>2020</v>
      </c>
      <c r="D854" s="39" t="s">
        <v>2021</v>
      </c>
      <c r="E854" s="29"/>
      <c r="F854" s="30"/>
      <c r="G854" s="31">
        <f t="shared" ref="G854:G860" si="139">E854*F854</f>
        <v>0</v>
      </c>
      <c r="H854" s="31"/>
      <c r="I854" s="32">
        <f t="shared" ref="I854:I860" si="140">E854-G854-H854</f>
        <v>0</v>
      </c>
      <c r="J854" s="33">
        <v>3524</v>
      </c>
      <c r="K854" s="32">
        <f t="shared" ref="K854:K860" si="141">I854-J854</f>
        <v>-3524</v>
      </c>
      <c r="L854" s="34">
        <f t="shared" ref="L854:L860" si="142">K854/J854</f>
        <v>-1</v>
      </c>
      <c r="M854" s="44" t="e">
        <f t="shared" ref="M854:M860" si="143">K854/E854</f>
        <v>#DIV/0!</v>
      </c>
    </row>
    <row r="855" spans="1:13" ht="45" customHeight="1" x14ac:dyDescent="0.2">
      <c r="A855" s="27" t="s">
        <v>549</v>
      </c>
      <c r="B855" s="47" t="s">
        <v>2022</v>
      </c>
      <c r="C855" s="52" t="s">
        <v>2020</v>
      </c>
      <c r="D855" s="39" t="s">
        <v>2021</v>
      </c>
      <c r="E855" s="29"/>
      <c r="F855" s="30"/>
      <c r="G855" s="31">
        <f t="shared" si="139"/>
        <v>0</v>
      </c>
      <c r="H855" s="31"/>
      <c r="I855" s="32">
        <f t="shared" si="140"/>
        <v>0</v>
      </c>
      <c r="J855" s="33">
        <v>3524</v>
      </c>
      <c r="K855" s="32">
        <f t="shared" si="141"/>
        <v>-3524</v>
      </c>
      <c r="L855" s="34">
        <f t="shared" si="142"/>
        <v>-1</v>
      </c>
      <c r="M855" s="44" t="e">
        <f t="shared" si="143"/>
        <v>#DIV/0!</v>
      </c>
    </row>
    <row r="856" spans="1:13" ht="45" customHeight="1" x14ac:dyDescent="0.2">
      <c r="A856" s="27" t="s">
        <v>539</v>
      </c>
      <c r="B856" s="47" t="s">
        <v>2023</v>
      </c>
      <c r="C856" s="52" t="s">
        <v>1967</v>
      </c>
      <c r="D856" s="39" t="s">
        <v>2024</v>
      </c>
      <c r="E856" s="29"/>
      <c r="F856" s="30"/>
      <c r="G856" s="31">
        <f t="shared" si="139"/>
        <v>0</v>
      </c>
      <c r="H856" s="31"/>
      <c r="I856" s="32">
        <f t="shared" si="140"/>
        <v>0</v>
      </c>
      <c r="J856" s="36">
        <v>3150</v>
      </c>
      <c r="K856" s="32">
        <f t="shared" si="141"/>
        <v>-3150</v>
      </c>
      <c r="L856" s="34">
        <f t="shared" si="142"/>
        <v>-1</v>
      </c>
      <c r="M856" s="44" t="e">
        <f t="shared" si="143"/>
        <v>#DIV/0!</v>
      </c>
    </row>
    <row r="857" spans="1:13" ht="45" customHeight="1" x14ac:dyDescent="0.2">
      <c r="A857" s="27" t="s">
        <v>539</v>
      </c>
      <c r="B857" s="47" t="s">
        <v>2025</v>
      </c>
      <c r="C857" s="52" t="s">
        <v>1925</v>
      </c>
      <c r="D857" s="39" t="s">
        <v>2026</v>
      </c>
      <c r="E857" s="29"/>
      <c r="F857" s="30"/>
      <c r="G857" s="31">
        <f t="shared" si="139"/>
        <v>0</v>
      </c>
      <c r="H857" s="31"/>
      <c r="I857" s="32">
        <f t="shared" si="140"/>
        <v>0</v>
      </c>
      <c r="J857" s="36">
        <v>2925</v>
      </c>
      <c r="K857" s="32">
        <f t="shared" si="141"/>
        <v>-2925</v>
      </c>
      <c r="L857" s="34">
        <f t="shared" si="142"/>
        <v>-1</v>
      </c>
      <c r="M857" s="44" t="e">
        <f t="shared" si="143"/>
        <v>#DIV/0!</v>
      </c>
    </row>
    <row r="858" spans="1:13" ht="45" customHeight="1" x14ac:dyDescent="0.2">
      <c r="A858" s="27" t="s">
        <v>539</v>
      </c>
      <c r="B858" s="47" t="s">
        <v>2027</v>
      </c>
      <c r="C858" s="52" t="s">
        <v>1937</v>
      </c>
      <c r="D858" s="39" t="s">
        <v>2028</v>
      </c>
      <c r="E858" s="29"/>
      <c r="F858" s="30"/>
      <c r="G858" s="31">
        <f t="shared" si="139"/>
        <v>0</v>
      </c>
      <c r="H858" s="31"/>
      <c r="I858" s="32">
        <f t="shared" si="140"/>
        <v>0</v>
      </c>
      <c r="J858" s="36">
        <v>1350</v>
      </c>
      <c r="K858" s="32">
        <f t="shared" si="141"/>
        <v>-1350</v>
      </c>
      <c r="L858" s="34">
        <f t="shared" si="142"/>
        <v>-1</v>
      </c>
      <c r="M858" s="44" t="e">
        <f t="shared" si="143"/>
        <v>#DIV/0!</v>
      </c>
    </row>
    <row r="859" spans="1:13" ht="45" customHeight="1" x14ac:dyDescent="0.2">
      <c r="A859" s="27" t="s">
        <v>539</v>
      </c>
      <c r="B859" s="47" t="s">
        <v>2029</v>
      </c>
      <c r="C859" s="52" t="s">
        <v>1928</v>
      </c>
      <c r="D859" s="39" t="s">
        <v>2030</v>
      </c>
      <c r="E859" s="29"/>
      <c r="F859" s="30"/>
      <c r="G859" s="31">
        <f t="shared" si="139"/>
        <v>0</v>
      </c>
      <c r="H859" s="31"/>
      <c r="I859" s="32">
        <f t="shared" si="140"/>
        <v>0</v>
      </c>
      <c r="J859" s="36">
        <v>4050</v>
      </c>
      <c r="K859" s="32">
        <f t="shared" si="141"/>
        <v>-4050</v>
      </c>
      <c r="L859" s="34">
        <f t="shared" si="142"/>
        <v>-1</v>
      </c>
      <c r="M859" s="44" t="e">
        <f t="shared" si="143"/>
        <v>#DIV/0!</v>
      </c>
    </row>
    <row r="860" spans="1:13" ht="45" customHeight="1" x14ac:dyDescent="0.2">
      <c r="A860" s="27" t="s">
        <v>539</v>
      </c>
      <c r="B860" s="47" t="s">
        <v>2031</v>
      </c>
      <c r="C860" s="52" t="s">
        <v>1922</v>
      </c>
      <c r="D860" s="39" t="s">
        <v>2032</v>
      </c>
      <c r="E860" s="29"/>
      <c r="F860" s="30"/>
      <c r="G860" s="31">
        <f t="shared" si="139"/>
        <v>0</v>
      </c>
      <c r="H860" s="31"/>
      <c r="I860" s="32">
        <f t="shared" si="140"/>
        <v>0</v>
      </c>
      <c r="J860" s="36">
        <v>7200</v>
      </c>
      <c r="K860" s="32">
        <f t="shared" si="141"/>
        <v>-7200</v>
      </c>
      <c r="L860" s="34">
        <f t="shared" si="142"/>
        <v>-1</v>
      </c>
      <c r="M860" s="44" t="e">
        <f t="shared" si="143"/>
        <v>#DIV/0!</v>
      </c>
    </row>
  </sheetData>
  <conditionalFormatting sqref="A2">
    <cfRule type="duplicateValues" dxfId="4" priority="4"/>
  </conditionalFormatting>
  <conditionalFormatting sqref="B3:B860">
    <cfRule type="duplicateValues" dxfId="3" priority="92"/>
  </conditionalFormatting>
  <conditionalFormatting sqref="B332">
    <cfRule type="duplicateValues" dxfId="2" priority="2"/>
  </conditionalFormatting>
  <conditionalFormatting sqref="B340 B2:C339 D340:D341">
    <cfRule type="duplicateValues" dxfId="1" priority="83"/>
  </conditionalFormatting>
  <hyperlinks>
    <hyperlink ref="D107" r:id="rId1" display="https://articulo.mercadolibre.cl/MLC-1669011133-hervidor-thomas-th-4340-17-litros-color-blanco-_JM" xr:uid="{4A91A761-141B-41DC-ACBD-3D8866523539}"/>
    <hyperlink ref="D106" r:id="rId2" display="https://articulo.mercadolibre.cl/MLC-1669011133-hervidor-thomas-th-4340-17-litros-color-blanco-_JM" xr:uid="{F84CA326-9998-49E8-B873-077C5144ED87}"/>
    <hyperlink ref="D666" r:id="rId3" display="https://www.mercadolibre.cl/syi/core/modify?itemId=MLC3287021876&amp;callback_url=https%3A%2F%2Fwww.mercadolibre.cl%2Fpublicaciones%2Flistado%3Ffilters%3DOMNI_ACTIVE%257COMNI_INACTIVE%257CCHANNEL_NO_PROXIMITY_AND_NO_MP_MERCHANTS%26page%3D1%26sort%3DCREATE_LAST" xr:uid="{0324D3D1-EA9A-41C7-9535-E2BE783E0B9C}"/>
  </hyperlinks>
  <pageMargins left="0.7" right="0.7" top="0.75" bottom="0.75" header="0.3" footer="0.3"/>
  <pageSetup paperSize="9" orientation="portrait" r:id="rId4"/>
  <ignoredErrors>
    <ignoredError sqref="B861:B9836 E807 F659:F9836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41 E808 E809 E810 E811 E812 E806 E813 E814 E815 E816 E817 E818 E819 E820 E821 E822 E823 E824 E825 E826 E827 E828 E829 E830 E831 E832 E833 E834 E835 E836 E837 E838 E839 E840 D861:E9836 E842 E843 E844 E845 E846 E847 E848 E849 E850 E851 E852 E853 E854 E855 E856 E857 E858 E859 E860" numberStoredAsText="1"/>
  </ignoredErrors>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6F3EE-29F1-45D7-A744-2475E2805ADE}">
  <dimension ref="A1:Q757"/>
  <sheetViews>
    <sheetView topLeftCell="A2" zoomScale="85" zoomScaleNormal="85" workbookViewId="0">
      <pane ySplit="1" topLeftCell="A3" activePane="bottomLeft" state="frozen"/>
      <selection activeCell="A2" sqref="A2"/>
      <selection pane="bottomLeft" activeCell="K2" sqref="K2"/>
    </sheetView>
  </sheetViews>
  <sheetFormatPr baseColWidth="10" defaultColWidth="9.140625" defaultRowHeight="12.75" x14ac:dyDescent="0.2"/>
  <cols>
    <col min="1" max="1" width="17.5703125" customWidth="1"/>
    <col min="2" max="2" width="58.5703125" customWidth="1"/>
    <col min="3" max="3" width="17.5703125" customWidth="1"/>
    <col min="4" max="4" width="15.42578125" customWidth="1"/>
    <col min="5" max="6" width="11" style="2" customWidth="1"/>
    <col min="7" max="7" width="10" style="2" customWidth="1"/>
    <col min="8" max="8" width="9.42578125" style="2" bestFit="1" customWidth="1"/>
    <col min="9" max="9" width="9.28515625" style="2" bestFit="1" customWidth="1"/>
    <col min="10" max="10" width="12.5703125" style="2" bestFit="1" customWidth="1"/>
    <col min="11" max="11" width="10.7109375" style="2" bestFit="1" customWidth="1"/>
    <col min="12" max="12" width="21.7109375" style="2" customWidth="1"/>
    <col min="13" max="16384" width="9.140625" style="2"/>
  </cols>
  <sheetData>
    <row r="1" spans="1:12" customFormat="1" ht="0" hidden="1" customHeight="1" x14ac:dyDescent="0.2">
      <c r="A1" s="1" t="s">
        <v>1</v>
      </c>
      <c r="B1" s="1" t="s">
        <v>3</v>
      </c>
      <c r="C1" s="1" t="s">
        <v>5</v>
      </c>
      <c r="D1" s="1" t="s">
        <v>7</v>
      </c>
    </row>
    <row r="2" spans="1:12" customFormat="1" ht="38.1" customHeight="1" x14ac:dyDescent="0.2">
      <c r="A2" s="9" t="s">
        <v>2</v>
      </c>
      <c r="B2" s="9" t="s">
        <v>4</v>
      </c>
      <c r="C2" s="10" t="s">
        <v>6</v>
      </c>
      <c r="D2" s="14" t="s">
        <v>482</v>
      </c>
      <c r="E2" s="14" t="s">
        <v>481</v>
      </c>
      <c r="F2" s="14" t="s">
        <v>484</v>
      </c>
      <c r="G2" s="11" t="s">
        <v>477</v>
      </c>
      <c r="H2" s="12" t="s">
        <v>478</v>
      </c>
      <c r="I2" s="11" t="s">
        <v>479</v>
      </c>
      <c r="J2" s="11" t="s">
        <v>480</v>
      </c>
      <c r="K2" s="13" t="s">
        <v>483</v>
      </c>
      <c r="L2" s="24" t="s">
        <v>535</v>
      </c>
    </row>
    <row r="3" spans="1:12" ht="50.1" customHeight="1" x14ac:dyDescent="0.2">
      <c r="A3" s="4" t="s">
        <v>8</v>
      </c>
      <c r="B3" s="4" t="s">
        <v>9</v>
      </c>
      <c r="C3" s="5">
        <v>4956.469185112891</v>
      </c>
      <c r="D3" s="3" t="s">
        <v>467</v>
      </c>
      <c r="E3" s="15">
        <f t="shared" ref="E3:E8" si="0">IF(D3&gt;"15%",C3*D3,IF(C3&gt;=19990,D3*C3,IF(C3&gt;=9990,D3*C3+1000,D3*C3+700)))</f>
        <v>892.16445332032038</v>
      </c>
      <c r="F3" s="15">
        <f>IF(C3&gt;=19990,"ACTIVAR",0)</f>
        <v>0</v>
      </c>
      <c r="G3" s="16">
        <f>C3-E3-F3</f>
        <v>4064.3047317925707</v>
      </c>
      <c r="H3" s="17">
        <v>3391.5</v>
      </c>
      <c r="I3" s="16">
        <f>G3-H3</f>
        <v>672.80473179257069</v>
      </c>
      <c r="J3" s="18">
        <f>I3/H3</f>
        <v>0.19837969387957266</v>
      </c>
      <c r="K3" s="18">
        <f>I3/C3</f>
        <v>0.13574274481790136</v>
      </c>
      <c r="L3" s="25">
        <f>E3+F3+H3+H3*0.2</f>
        <v>4961.9644533203209</v>
      </c>
    </row>
    <row r="4" spans="1:12" ht="50.1" customHeight="1" x14ac:dyDescent="0.2">
      <c r="A4" s="4" t="s">
        <v>10</v>
      </c>
      <c r="B4" s="4" t="s">
        <v>11</v>
      </c>
      <c r="C4" s="5">
        <v>4956.469185112891</v>
      </c>
      <c r="D4" s="3" t="s">
        <v>467</v>
      </c>
      <c r="E4" s="15">
        <f t="shared" si="0"/>
        <v>892.16445332032038</v>
      </c>
      <c r="F4" s="15">
        <f t="shared" ref="F4:F66" si="1">IF(C4&gt;=19990,"ACTIVAR",0)</f>
        <v>0</v>
      </c>
      <c r="G4" s="16">
        <f t="shared" ref="G4:G67" si="2">C4-E4-F4</f>
        <v>4064.3047317925707</v>
      </c>
      <c r="H4" s="17">
        <v>3391.5</v>
      </c>
      <c r="I4" s="16">
        <f t="shared" ref="I4:I67" si="3">G4-H4</f>
        <v>672.80473179257069</v>
      </c>
      <c r="J4" s="18">
        <f t="shared" ref="J4:J67" si="4">I4/H4</f>
        <v>0.19837969387957266</v>
      </c>
      <c r="K4" s="18">
        <f t="shared" ref="K4:K67" si="5">I4/C4</f>
        <v>0.13574274481790136</v>
      </c>
      <c r="L4" s="25">
        <f t="shared" ref="L4:L67" si="6">E4+F4+H4+H4*0.2</f>
        <v>4961.9644533203209</v>
      </c>
    </row>
    <row r="5" spans="1:12" ht="50.1" customHeight="1" x14ac:dyDescent="0.2">
      <c r="A5" s="4" t="s">
        <v>12</v>
      </c>
      <c r="B5" s="4" t="s">
        <v>13</v>
      </c>
      <c r="C5" s="5">
        <v>5094.5594295650862</v>
      </c>
      <c r="D5" s="3" t="s">
        <v>468</v>
      </c>
      <c r="E5" s="15">
        <f t="shared" si="0"/>
        <v>815.12950873041382</v>
      </c>
      <c r="F5" s="15">
        <f t="shared" si="1"/>
        <v>0</v>
      </c>
      <c r="G5" s="16">
        <f t="shared" si="2"/>
        <v>4279.4299208346729</v>
      </c>
      <c r="H5" s="17">
        <v>3570</v>
      </c>
      <c r="I5" s="16">
        <f t="shared" si="3"/>
        <v>709.42992083467288</v>
      </c>
      <c r="J5" s="18">
        <f t="shared" si="4"/>
        <v>0.1987198657800204</v>
      </c>
      <c r="K5" s="18">
        <f t="shared" si="5"/>
        <v>0.13925245757614721</v>
      </c>
      <c r="L5" s="25">
        <f t="shared" si="6"/>
        <v>5099.1295087304134</v>
      </c>
    </row>
    <row r="6" spans="1:12" ht="50.1" customHeight="1" x14ac:dyDescent="0.2">
      <c r="A6" s="4" t="s">
        <v>14</v>
      </c>
      <c r="B6" s="4" t="s">
        <v>15</v>
      </c>
      <c r="C6" s="5">
        <v>20590.812958458155</v>
      </c>
      <c r="D6" s="3" t="s">
        <v>472</v>
      </c>
      <c r="E6" s="15">
        <f t="shared" si="0"/>
        <v>2676.8056845995602</v>
      </c>
      <c r="F6" s="15">
        <v>3000</v>
      </c>
      <c r="G6" s="16">
        <f>C6-E6-F6</f>
        <v>14914.007273858595</v>
      </c>
      <c r="H6" s="17">
        <v>12435.5</v>
      </c>
      <c r="I6" s="16">
        <f t="shared" si="3"/>
        <v>2478.507273858595</v>
      </c>
      <c r="J6" s="18">
        <f t="shared" si="4"/>
        <v>0.19930901643348439</v>
      </c>
      <c r="K6" s="18">
        <f t="shared" si="5"/>
        <v>0.12036956864495681</v>
      </c>
      <c r="L6" s="25">
        <f t="shared" si="6"/>
        <v>20599.405684599558</v>
      </c>
    </row>
    <row r="7" spans="1:12" ht="50.1" customHeight="1" x14ac:dyDescent="0.2">
      <c r="A7" s="4" t="s">
        <v>16</v>
      </c>
      <c r="B7" s="4" t="s">
        <v>17</v>
      </c>
      <c r="C7" s="5">
        <v>3390.4521658106846</v>
      </c>
      <c r="D7" s="3" t="s">
        <v>469</v>
      </c>
      <c r="E7" s="15">
        <f t="shared" si="0"/>
        <v>1174.663303213496</v>
      </c>
      <c r="F7" s="15">
        <f t="shared" si="1"/>
        <v>0</v>
      </c>
      <c r="G7" s="16">
        <f t="shared" si="2"/>
        <v>2215.7888625971887</v>
      </c>
      <c r="H7" s="17">
        <v>1848</v>
      </c>
      <c r="I7" s="16">
        <f t="shared" si="3"/>
        <v>367.78886259718865</v>
      </c>
      <c r="J7" s="18">
        <f t="shared" si="4"/>
        <v>0.199019947292851</v>
      </c>
      <c r="K7" s="18">
        <f t="shared" si="5"/>
        <v>0.1084778208363979</v>
      </c>
      <c r="L7" s="25">
        <f t="shared" si="6"/>
        <v>3392.2633032134959</v>
      </c>
    </row>
    <row r="8" spans="1:12" ht="50.1" customHeight="1" x14ac:dyDescent="0.2">
      <c r="A8" s="4" t="s">
        <v>18</v>
      </c>
      <c r="B8" s="4" t="s">
        <v>19</v>
      </c>
      <c r="C8" s="5">
        <v>15428.469598397307</v>
      </c>
      <c r="D8" s="3" t="s">
        <v>470</v>
      </c>
      <c r="E8" s="15">
        <f t="shared" si="0"/>
        <v>2697.131655823704</v>
      </c>
      <c r="F8" s="15">
        <f t="shared" si="1"/>
        <v>0</v>
      </c>
      <c r="G8" s="16">
        <f t="shared" si="2"/>
        <v>12731.337942573602</v>
      </c>
      <c r="H8" s="17">
        <v>10614.8</v>
      </c>
      <c r="I8" s="16">
        <f t="shared" si="3"/>
        <v>2116.5379425736028</v>
      </c>
      <c r="J8" s="18">
        <f t="shared" si="4"/>
        <v>0.19939499025639701</v>
      </c>
      <c r="K8" s="18">
        <f t="shared" si="5"/>
        <v>0.13718392022456113</v>
      </c>
      <c r="L8" s="25">
        <f t="shared" si="6"/>
        <v>15434.891655823703</v>
      </c>
    </row>
    <row r="9" spans="1:12" ht="50.1" customHeight="1" x14ac:dyDescent="0.2">
      <c r="A9" s="4" t="s">
        <v>20</v>
      </c>
      <c r="B9" s="4" t="s">
        <v>21</v>
      </c>
      <c r="C9" s="5">
        <v>13217.251160301043</v>
      </c>
      <c r="D9" s="3" t="s">
        <v>467</v>
      </c>
      <c r="E9" s="15">
        <f t="shared" ref="E9:E72" si="7">IF(D9&gt;"15%",C9*D9,IF(C9&gt;=19990,D9*C9,IF(C9&gt;=9990,D9*C9+1000,D9*C9+700)))</f>
        <v>2379.1052088541874</v>
      </c>
      <c r="F9" s="15">
        <f t="shared" si="1"/>
        <v>0</v>
      </c>
      <c r="G9" s="16">
        <f t="shared" si="2"/>
        <v>10838.145951446855</v>
      </c>
      <c r="H9" s="17">
        <v>9044</v>
      </c>
      <c r="I9" s="16">
        <f t="shared" si="3"/>
        <v>1794.1459514468552</v>
      </c>
      <c r="J9" s="18">
        <f t="shared" si="4"/>
        <v>0.19837969387957266</v>
      </c>
      <c r="K9" s="18">
        <f t="shared" si="5"/>
        <v>0.13574274481790136</v>
      </c>
      <c r="L9" s="25">
        <f t="shared" si="6"/>
        <v>13231.905208854187</v>
      </c>
    </row>
    <row r="10" spans="1:12" ht="50.1" customHeight="1" x14ac:dyDescent="0.2">
      <c r="A10" s="4" t="s">
        <v>22</v>
      </c>
      <c r="B10" s="4" t="s">
        <v>23</v>
      </c>
      <c r="C10" s="5">
        <v>11691.799833732983</v>
      </c>
      <c r="D10" s="3" t="s">
        <v>468</v>
      </c>
      <c r="E10" s="15">
        <f t="shared" si="7"/>
        <v>1870.6879733972773</v>
      </c>
      <c r="F10" s="15">
        <f t="shared" si="1"/>
        <v>0</v>
      </c>
      <c r="G10" s="16">
        <f t="shared" si="2"/>
        <v>9821.1118603357063</v>
      </c>
      <c r="H10" s="17">
        <v>8193</v>
      </c>
      <c r="I10" s="16">
        <f t="shared" si="3"/>
        <v>1628.1118603357063</v>
      </c>
      <c r="J10" s="18">
        <f t="shared" si="4"/>
        <v>0.19871986578002029</v>
      </c>
      <c r="K10" s="18">
        <f t="shared" si="5"/>
        <v>0.13925245757614713</v>
      </c>
      <c r="L10" s="25">
        <f t="shared" si="6"/>
        <v>11702.287973397279</v>
      </c>
    </row>
    <row r="11" spans="1:12" ht="50.1" customHeight="1" x14ac:dyDescent="0.2">
      <c r="A11" s="4" t="s">
        <v>24</v>
      </c>
      <c r="B11" s="4" t="s">
        <v>25</v>
      </c>
      <c r="C11" s="5">
        <v>14869.40755533867</v>
      </c>
      <c r="D11" s="3" t="s">
        <v>467</v>
      </c>
      <c r="E11" s="15">
        <f t="shared" si="7"/>
        <v>2676.4933599609603</v>
      </c>
      <c r="F11" s="15">
        <f t="shared" si="1"/>
        <v>0</v>
      </c>
      <c r="G11" s="16">
        <f t="shared" si="2"/>
        <v>12192.914195377711</v>
      </c>
      <c r="H11" s="17">
        <v>10174.5</v>
      </c>
      <c r="I11" s="16">
        <f t="shared" si="3"/>
        <v>2018.4141953777107</v>
      </c>
      <c r="J11" s="18">
        <f t="shared" si="4"/>
        <v>0.19837969387957252</v>
      </c>
      <c r="K11" s="18">
        <f t="shared" si="5"/>
        <v>0.1357427448179013</v>
      </c>
      <c r="L11" s="25">
        <f t="shared" si="6"/>
        <v>14885.893359960961</v>
      </c>
    </row>
    <row r="12" spans="1:12" ht="50.1" customHeight="1" x14ac:dyDescent="0.2">
      <c r="A12" s="4" t="s">
        <v>26</v>
      </c>
      <c r="B12" s="4" t="s">
        <v>27</v>
      </c>
      <c r="C12" s="5">
        <v>4295.1681955025169</v>
      </c>
      <c r="D12" s="3" t="s">
        <v>467</v>
      </c>
      <c r="E12" s="15">
        <f t="shared" si="7"/>
        <v>773.13027519045306</v>
      </c>
      <c r="F12" s="15">
        <f t="shared" si="1"/>
        <v>0</v>
      </c>
      <c r="G12" s="16">
        <f t="shared" si="2"/>
        <v>3522.0379203120638</v>
      </c>
      <c r="H12" s="17">
        <v>2939</v>
      </c>
      <c r="I12" s="16">
        <f t="shared" si="3"/>
        <v>583.03792031206376</v>
      </c>
      <c r="J12" s="18">
        <f t="shared" si="4"/>
        <v>0.19837969387957255</v>
      </c>
      <c r="K12" s="18">
        <f t="shared" si="5"/>
        <v>0.1357427448179013</v>
      </c>
      <c r="L12" s="25">
        <f t="shared" si="6"/>
        <v>4299.9302751904534</v>
      </c>
    </row>
    <row r="13" spans="1:12" ht="50.1" customHeight="1" x14ac:dyDescent="0.2">
      <c r="A13" s="4" t="s">
        <v>28</v>
      </c>
      <c r="B13" s="4" t="s">
        <v>29</v>
      </c>
      <c r="C13" s="5">
        <v>4497.0786731205717</v>
      </c>
      <c r="D13" s="3" t="s">
        <v>471</v>
      </c>
      <c r="E13" s="15">
        <f t="shared" si="7"/>
        <v>764.50337443049727</v>
      </c>
      <c r="F13" s="15">
        <f t="shared" si="1"/>
        <v>0</v>
      </c>
      <c r="G13" s="16">
        <f t="shared" si="2"/>
        <v>3732.5752986900743</v>
      </c>
      <c r="H13" s="17">
        <v>3114.23</v>
      </c>
      <c r="I13" s="16">
        <f t="shared" si="3"/>
        <v>618.34529869007429</v>
      </c>
      <c r="J13" s="18">
        <f t="shared" si="4"/>
        <v>0.19855479482571109</v>
      </c>
      <c r="K13" s="18">
        <f t="shared" si="5"/>
        <v>0.13749932870553891</v>
      </c>
      <c r="L13" s="25">
        <f t="shared" si="6"/>
        <v>4501.5793744304974</v>
      </c>
    </row>
    <row r="14" spans="1:12" ht="50.1" customHeight="1" x14ac:dyDescent="0.2">
      <c r="A14" s="4" t="s">
        <v>30</v>
      </c>
      <c r="B14" s="6" t="s">
        <v>31</v>
      </c>
      <c r="C14" s="7">
        <v>3895.8395637850658</v>
      </c>
      <c r="D14" s="3" t="s">
        <v>468</v>
      </c>
      <c r="E14" s="15">
        <f t="shared" si="7"/>
        <v>623.33433020561051</v>
      </c>
      <c r="F14" s="15">
        <f t="shared" si="1"/>
        <v>0</v>
      </c>
      <c r="G14" s="16">
        <f t="shared" si="2"/>
        <v>3272.5052335794553</v>
      </c>
      <c r="H14" s="17">
        <v>2730</v>
      </c>
      <c r="I14" s="16">
        <f t="shared" si="3"/>
        <v>542.50523357945531</v>
      </c>
      <c r="J14" s="18">
        <f t="shared" si="4"/>
        <v>0.19871986578002027</v>
      </c>
      <c r="K14" s="18">
        <f t="shared" si="5"/>
        <v>0.1392524575761471</v>
      </c>
      <c r="L14" s="25">
        <f t="shared" si="6"/>
        <v>3899.3343302056105</v>
      </c>
    </row>
    <row r="15" spans="1:12" ht="50.1" customHeight="1" x14ac:dyDescent="0.2">
      <c r="A15" s="4" t="s">
        <v>32</v>
      </c>
      <c r="B15" s="4" t="s">
        <v>33</v>
      </c>
      <c r="C15" s="5">
        <v>11012.739300243195</v>
      </c>
      <c r="D15" s="3" t="s">
        <v>468</v>
      </c>
      <c r="E15" s="15">
        <f t="shared" si="7"/>
        <v>1762.0382880389111</v>
      </c>
      <c r="F15" s="15">
        <f t="shared" si="1"/>
        <v>0</v>
      </c>
      <c r="G15" s="16">
        <f t="shared" si="2"/>
        <v>9250.701012204283</v>
      </c>
      <c r="H15" s="17">
        <v>7717.15</v>
      </c>
      <c r="I15" s="16">
        <f t="shared" si="3"/>
        <v>1533.5510122042833</v>
      </c>
      <c r="J15" s="18">
        <f t="shared" si="4"/>
        <v>0.19871986578002027</v>
      </c>
      <c r="K15" s="18">
        <f t="shared" si="5"/>
        <v>0.1392524575761471</v>
      </c>
      <c r="L15" s="25">
        <f t="shared" si="6"/>
        <v>11022.618288038911</v>
      </c>
    </row>
    <row r="16" spans="1:12" ht="50.1" customHeight="1" x14ac:dyDescent="0.2">
      <c r="A16" s="4" t="s">
        <v>34</v>
      </c>
      <c r="B16" s="4" t="s">
        <v>35</v>
      </c>
      <c r="C16" s="5">
        <v>1819.4928210607181</v>
      </c>
      <c r="D16" s="3" t="s">
        <v>471</v>
      </c>
      <c r="E16" s="15">
        <f t="shared" si="7"/>
        <v>309.31377958032209</v>
      </c>
      <c r="F16" s="15">
        <f t="shared" si="1"/>
        <v>0</v>
      </c>
      <c r="G16" s="16">
        <f t="shared" si="2"/>
        <v>1510.1790414803961</v>
      </c>
      <c r="H16" s="17">
        <v>1260</v>
      </c>
      <c r="I16" s="16">
        <f t="shared" si="3"/>
        <v>250.17904148039611</v>
      </c>
      <c r="J16" s="18">
        <f t="shared" si="4"/>
        <v>0.1985547948257112</v>
      </c>
      <c r="K16" s="18">
        <f t="shared" si="5"/>
        <v>0.13749932870553899</v>
      </c>
      <c r="L16" s="25">
        <f t="shared" si="6"/>
        <v>1821.313779580322</v>
      </c>
    </row>
    <row r="17" spans="1:12" ht="50.1" customHeight="1" x14ac:dyDescent="0.2">
      <c r="A17" s="4" t="s">
        <v>36</v>
      </c>
      <c r="B17" s="4" t="s">
        <v>37</v>
      </c>
      <c r="C17" s="5">
        <v>7391.2259777999243</v>
      </c>
      <c r="D17" s="3" t="s">
        <v>467</v>
      </c>
      <c r="E17" s="15">
        <f t="shared" si="7"/>
        <v>1330.4206760039863</v>
      </c>
      <c r="F17" s="15">
        <f t="shared" si="1"/>
        <v>0</v>
      </c>
      <c r="G17" s="16">
        <f t="shared" si="2"/>
        <v>6060.8053017959382</v>
      </c>
      <c r="H17" s="17">
        <v>5057.5</v>
      </c>
      <c r="I17" s="16">
        <f t="shared" si="3"/>
        <v>1003.3053017959382</v>
      </c>
      <c r="J17" s="18">
        <f t="shared" si="4"/>
        <v>0.19837969387957258</v>
      </c>
      <c r="K17" s="18">
        <f t="shared" si="5"/>
        <v>0.1357427448179013</v>
      </c>
      <c r="L17" s="25">
        <f t="shared" si="6"/>
        <v>7399.420676003986</v>
      </c>
    </row>
    <row r="18" spans="1:12" ht="50.1" customHeight="1" x14ac:dyDescent="0.2">
      <c r="A18" s="4" t="s">
        <v>38</v>
      </c>
      <c r="B18" s="4" t="s">
        <v>39</v>
      </c>
      <c r="C18" s="5">
        <v>8759.907117688992</v>
      </c>
      <c r="D18" s="3" t="s">
        <v>467</v>
      </c>
      <c r="E18" s="15">
        <f t="shared" si="7"/>
        <v>1576.7832811840185</v>
      </c>
      <c r="F18" s="15">
        <f t="shared" si="1"/>
        <v>0</v>
      </c>
      <c r="G18" s="16">
        <f t="shared" si="2"/>
        <v>7183.123836504974</v>
      </c>
      <c r="H18" s="17">
        <v>5994.03</v>
      </c>
      <c r="I18" s="16">
        <f t="shared" si="3"/>
        <v>1189.0938365049742</v>
      </c>
      <c r="J18" s="18">
        <f t="shared" si="4"/>
        <v>0.19837969387957255</v>
      </c>
      <c r="K18" s="18">
        <f t="shared" si="5"/>
        <v>0.1357427448179013</v>
      </c>
      <c r="L18" s="25">
        <f t="shared" si="6"/>
        <v>8769.6192811840192</v>
      </c>
    </row>
    <row r="19" spans="1:12" ht="50.1" customHeight="1" x14ac:dyDescent="0.2">
      <c r="A19" s="4" t="s">
        <v>40</v>
      </c>
      <c r="B19" s="4" t="s">
        <v>41</v>
      </c>
      <c r="C19" s="5">
        <v>9011.9038256767035</v>
      </c>
      <c r="D19" s="3" t="s">
        <v>469</v>
      </c>
      <c r="E19" s="15">
        <f t="shared" si="7"/>
        <v>1961.6665355947387</v>
      </c>
      <c r="F19" s="15">
        <f t="shared" si="1"/>
        <v>0</v>
      </c>
      <c r="G19" s="16">
        <f t="shared" si="2"/>
        <v>7050.2372900819646</v>
      </c>
      <c r="H19" s="17">
        <v>5880</v>
      </c>
      <c r="I19" s="16">
        <f t="shared" si="3"/>
        <v>1170.2372900819646</v>
      </c>
      <c r="J19" s="18">
        <f t="shared" si="4"/>
        <v>0.19901994729285113</v>
      </c>
      <c r="K19" s="18">
        <f t="shared" si="5"/>
        <v>0.12985461371078175</v>
      </c>
      <c r="L19" s="25">
        <f t="shared" si="6"/>
        <v>9017.6665355947389</v>
      </c>
    </row>
    <row r="20" spans="1:12" ht="50.1" customHeight="1" x14ac:dyDescent="0.2">
      <c r="A20" s="4" t="s">
        <v>42</v>
      </c>
      <c r="B20" s="4" t="s">
        <v>43</v>
      </c>
      <c r="C20" s="5">
        <v>9589.7589262401616</v>
      </c>
      <c r="D20" s="3" t="s">
        <v>468</v>
      </c>
      <c r="E20" s="15">
        <f t="shared" si="7"/>
        <v>1534.361428198426</v>
      </c>
      <c r="F20" s="15">
        <f t="shared" si="1"/>
        <v>0</v>
      </c>
      <c r="G20" s="16">
        <f t="shared" si="2"/>
        <v>8055.3974980417352</v>
      </c>
      <c r="H20" s="17">
        <v>6720</v>
      </c>
      <c r="I20" s="16">
        <f t="shared" si="3"/>
        <v>1335.3974980417352</v>
      </c>
      <c r="J20" s="18">
        <f t="shared" si="4"/>
        <v>0.1987198657800201</v>
      </c>
      <c r="K20" s="18">
        <f t="shared" si="5"/>
        <v>0.13925245757614702</v>
      </c>
      <c r="L20" s="25">
        <f t="shared" si="6"/>
        <v>9598.3614281984264</v>
      </c>
    </row>
    <row r="21" spans="1:12" ht="50.1" customHeight="1" x14ac:dyDescent="0.2">
      <c r="A21" s="4" t="s">
        <v>44</v>
      </c>
      <c r="B21" s="4" t="s">
        <v>45</v>
      </c>
      <c r="C21" s="5">
        <v>25047.668465790219</v>
      </c>
      <c r="D21" s="3" t="s">
        <v>468</v>
      </c>
      <c r="E21" s="15">
        <f t="shared" si="7"/>
        <v>4007.6269545264349</v>
      </c>
      <c r="F21" s="15">
        <v>3100</v>
      </c>
      <c r="G21" s="16">
        <f t="shared" si="2"/>
        <v>17940.041511263786</v>
      </c>
      <c r="H21" s="17">
        <v>14966</v>
      </c>
      <c r="I21" s="16">
        <f t="shared" si="3"/>
        <v>2974.0415112637857</v>
      </c>
      <c r="J21" s="18">
        <f t="shared" si="4"/>
        <v>0.19871986578002043</v>
      </c>
      <c r="K21" s="18">
        <f t="shared" si="5"/>
        <v>0.11873526333701251</v>
      </c>
      <c r="L21" s="25">
        <f t="shared" si="6"/>
        <v>25066.826954526437</v>
      </c>
    </row>
    <row r="22" spans="1:12" ht="50.1" customHeight="1" x14ac:dyDescent="0.2">
      <c r="A22" s="4" t="s">
        <v>46</v>
      </c>
      <c r="B22" s="4" t="s">
        <v>47</v>
      </c>
      <c r="C22" s="5">
        <v>8391.0390604601416</v>
      </c>
      <c r="D22" s="3" t="s">
        <v>468</v>
      </c>
      <c r="E22" s="15">
        <f t="shared" si="7"/>
        <v>1342.5662496736227</v>
      </c>
      <c r="F22" s="15">
        <f t="shared" si="1"/>
        <v>0</v>
      </c>
      <c r="G22" s="16">
        <f t="shared" si="2"/>
        <v>7048.4728107865194</v>
      </c>
      <c r="H22" s="17">
        <v>5880</v>
      </c>
      <c r="I22" s="16">
        <f t="shared" si="3"/>
        <v>1168.4728107865194</v>
      </c>
      <c r="J22" s="18">
        <f t="shared" si="4"/>
        <v>0.19871986578002029</v>
      </c>
      <c r="K22" s="18">
        <f t="shared" si="5"/>
        <v>0.13925245757614713</v>
      </c>
      <c r="L22" s="25">
        <f t="shared" si="6"/>
        <v>8398.5662496736222</v>
      </c>
    </row>
    <row r="23" spans="1:12" ht="50.1" customHeight="1" x14ac:dyDescent="0.2">
      <c r="A23" s="4" t="s">
        <v>48</v>
      </c>
      <c r="B23" s="4" t="s">
        <v>49</v>
      </c>
      <c r="C23" s="5">
        <v>6652.4687396826994</v>
      </c>
      <c r="D23" s="3" t="s">
        <v>467</v>
      </c>
      <c r="E23" s="15">
        <f t="shared" si="7"/>
        <v>1197.4443731428858</v>
      </c>
      <c r="F23" s="15">
        <f t="shared" si="1"/>
        <v>0</v>
      </c>
      <c r="G23" s="16">
        <f t="shared" si="2"/>
        <v>5455.0243665398139</v>
      </c>
      <c r="H23" s="17">
        <v>4552</v>
      </c>
      <c r="I23" s="16">
        <f t="shared" si="3"/>
        <v>903.02436653981385</v>
      </c>
      <c r="J23" s="18">
        <f t="shared" si="4"/>
        <v>0.19837969387957247</v>
      </c>
      <c r="K23" s="18">
        <f t="shared" si="5"/>
        <v>0.13574274481790125</v>
      </c>
      <c r="L23" s="25">
        <f t="shared" si="6"/>
        <v>6659.8443731428852</v>
      </c>
    </row>
    <row r="24" spans="1:12" ht="50.1" customHeight="1" x14ac:dyDescent="0.2">
      <c r="A24" s="4" t="s">
        <v>50</v>
      </c>
      <c r="B24" s="4" t="s">
        <v>51</v>
      </c>
      <c r="C24" s="5">
        <v>14045.284084867377</v>
      </c>
      <c r="D24" s="3" t="s">
        <v>469</v>
      </c>
      <c r="E24" s="15">
        <f t="shared" si="7"/>
        <v>2966.3397718814331</v>
      </c>
      <c r="F24" s="15">
        <f t="shared" si="1"/>
        <v>0</v>
      </c>
      <c r="G24" s="16">
        <f t="shared" si="2"/>
        <v>11078.944312985943</v>
      </c>
      <c r="H24" s="17">
        <v>9240</v>
      </c>
      <c r="I24" s="16">
        <f t="shared" si="3"/>
        <v>1838.9443129859428</v>
      </c>
      <c r="J24" s="18">
        <f t="shared" si="4"/>
        <v>0.19901994729285094</v>
      </c>
      <c r="K24" s="18">
        <f t="shared" si="5"/>
        <v>0.13092966307226581</v>
      </c>
      <c r="L24" s="25">
        <f t="shared" si="6"/>
        <v>14054.339771881434</v>
      </c>
    </row>
    <row r="25" spans="1:12" ht="50.1" customHeight="1" x14ac:dyDescent="0.2">
      <c r="A25" s="4" t="s">
        <v>52</v>
      </c>
      <c r="B25" s="4" t="s">
        <v>53</v>
      </c>
      <c r="C25" s="5">
        <v>9286.8580521062577</v>
      </c>
      <c r="D25" s="3" t="s">
        <v>467</v>
      </c>
      <c r="E25" s="15">
        <f t="shared" si="7"/>
        <v>1671.6344493791264</v>
      </c>
      <c r="F25" s="15">
        <f t="shared" si="1"/>
        <v>0</v>
      </c>
      <c r="G25" s="16">
        <f t="shared" si="2"/>
        <v>7615.223602727131</v>
      </c>
      <c r="H25" s="17">
        <v>6354.5999999999995</v>
      </c>
      <c r="I25" s="16">
        <f t="shared" si="3"/>
        <v>1260.6236027271316</v>
      </c>
      <c r="J25" s="18">
        <f t="shared" si="4"/>
        <v>0.19837969387957255</v>
      </c>
      <c r="K25" s="18">
        <f t="shared" si="5"/>
        <v>0.1357427448179013</v>
      </c>
      <c r="L25" s="25">
        <f t="shared" si="6"/>
        <v>9297.1544493791262</v>
      </c>
    </row>
    <row r="26" spans="1:12" ht="50.1" customHeight="1" x14ac:dyDescent="0.2">
      <c r="A26" s="4" t="s">
        <v>54</v>
      </c>
      <c r="B26" s="4" t="s">
        <v>55</v>
      </c>
      <c r="C26" s="5">
        <v>8391.0390604601416</v>
      </c>
      <c r="D26" s="3" t="s">
        <v>468</v>
      </c>
      <c r="E26" s="15">
        <f t="shared" si="7"/>
        <v>1342.5662496736227</v>
      </c>
      <c r="F26" s="15">
        <f t="shared" si="1"/>
        <v>0</v>
      </c>
      <c r="G26" s="16">
        <f t="shared" si="2"/>
        <v>7048.4728107865194</v>
      </c>
      <c r="H26" s="17">
        <v>5880</v>
      </c>
      <c r="I26" s="16">
        <f t="shared" si="3"/>
        <v>1168.4728107865194</v>
      </c>
      <c r="J26" s="18">
        <f t="shared" si="4"/>
        <v>0.19871986578002029</v>
      </c>
      <c r="K26" s="18">
        <f t="shared" si="5"/>
        <v>0.13925245757614713</v>
      </c>
      <c r="L26" s="25">
        <f t="shared" si="6"/>
        <v>8398.5662496736222</v>
      </c>
    </row>
    <row r="27" spans="1:12" ht="50.1" customHeight="1" x14ac:dyDescent="0.2">
      <c r="A27" s="4" t="s">
        <v>56</v>
      </c>
      <c r="B27" s="4" t="s">
        <v>17</v>
      </c>
      <c r="C27" s="5">
        <v>1867.9756745969714</v>
      </c>
      <c r="D27" s="3" t="s">
        <v>469</v>
      </c>
      <c r="E27" s="15">
        <f t="shared" si="7"/>
        <v>961.51659444357597</v>
      </c>
      <c r="F27" s="15">
        <f t="shared" si="1"/>
        <v>0</v>
      </c>
      <c r="G27" s="16">
        <f t="shared" si="2"/>
        <v>906.45908015339546</v>
      </c>
      <c r="H27" s="17">
        <v>756</v>
      </c>
      <c r="I27" s="16">
        <f t="shared" si="3"/>
        <v>150.45908015339546</v>
      </c>
      <c r="J27" s="18">
        <f t="shared" si="4"/>
        <v>0.19901994729285113</v>
      </c>
      <c r="K27" s="18">
        <f t="shared" si="5"/>
        <v>8.0546595011660435E-2</v>
      </c>
      <c r="L27" s="25">
        <f t="shared" si="6"/>
        <v>1868.716594443576</v>
      </c>
    </row>
    <row r="28" spans="1:12" ht="50.1" customHeight="1" x14ac:dyDescent="0.2">
      <c r="A28" s="4" t="s">
        <v>57</v>
      </c>
      <c r="B28" s="4" t="s">
        <v>58</v>
      </c>
      <c r="C28" s="5">
        <v>36408.61884329372</v>
      </c>
      <c r="D28" s="3" t="s">
        <v>472</v>
      </c>
      <c r="E28" s="15">
        <f t="shared" si="7"/>
        <v>4733.1204496281835</v>
      </c>
      <c r="F28" s="15">
        <v>3150</v>
      </c>
      <c r="G28" s="16">
        <f t="shared" si="2"/>
        <v>28525.498393665537</v>
      </c>
      <c r="H28" s="17">
        <v>23788</v>
      </c>
      <c r="I28" s="16">
        <f t="shared" si="3"/>
        <v>4737.4983936655372</v>
      </c>
      <c r="J28" s="18">
        <f t="shared" si="4"/>
        <v>0.1991549686255901</v>
      </c>
      <c r="K28" s="18">
        <f t="shared" si="5"/>
        <v>0.13012024471612604</v>
      </c>
      <c r="L28" s="25">
        <f t="shared" si="6"/>
        <v>36428.720449628185</v>
      </c>
    </row>
    <row r="29" spans="1:12" ht="50.1" customHeight="1" x14ac:dyDescent="0.2">
      <c r="A29" s="4" t="s">
        <v>59</v>
      </c>
      <c r="B29" s="4" t="s">
        <v>60</v>
      </c>
      <c r="C29" s="5">
        <v>28911.236116960885</v>
      </c>
      <c r="D29" s="3" t="s">
        <v>472</v>
      </c>
      <c r="E29" s="15">
        <f t="shared" si="7"/>
        <v>3758.4606952049153</v>
      </c>
      <c r="F29" s="15">
        <v>3000</v>
      </c>
      <c r="G29" s="16">
        <f t="shared" si="2"/>
        <v>22152.77542175597</v>
      </c>
      <c r="H29" s="17">
        <f>17641*1.19*0.88</f>
        <v>18473.655200000001</v>
      </c>
      <c r="I29" s="16">
        <f t="shared" si="3"/>
        <v>3679.1202217559694</v>
      </c>
      <c r="J29" s="18">
        <f t="shared" si="4"/>
        <v>0.1991549686255901</v>
      </c>
      <c r="K29" s="18">
        <f t="shared" si="5"/>
        <v>0.1272557218540234</v>
      </c>
      <c r="L29" s="25">
        <f t="shared" si="6"/>
        <v>28926.846935204914</v>
      </c>
    </row>
    <row r="30" spans="1:12" ht="50.1" customHeight="1" x14ac:dyDescent="0.2">
      <c r="A30" s="4" t="s">
        <v>61</v>
      </c>
      <c r="B30" s="4" t="s">
        <v>62</v>
      </c>
      <c r="C30" s="5">
        <v>9842.622847778639</v>
      </c>
      <c r="D30" s="3" t="s">
        <v>470</v>
      </c>
      <c r="E30" s="15">
        <f t="shared" si="7"/>
        <v>1782.6885132556504</v>
      </c>
      <c r="F30" s="15">
        <f t="shared" si="1"/>
        <v>0</v>
      </c>
      <c r="G30" s="16">
        <f t="shared" si="2"/>
        <v>8059.9343345229881</v>
      </c>
      <c r="H30" s="17">
        <v>6720</v>
      </c>
      <c r="I30" s="16">
        <f t="shared" si="3"/>
        <v>1339.9343345229881</v>
      </c>
      <c r="J30" s="18">
        <f t="shared" si="4"/>
        <v>0.19939499025639704</v>
      </c>
      <c r="K30" s="18">
        <f t="shared" si="5"/>
        <v>0.1361359015016404</v>
      </c>
      <c r="L30" s="25">
        <f t="shared" si="6"/>
        <v>9846.6885132556508</v>
      </c>
    </row>
    <row r="31" spans="1:12" ht="50.1" customHeight="1" x14ac:dyDescent="0.2">
      <c r="A31" s="4" t="s">
        <v>63</v>
      </c>
      <c r="B31" s="4" t="s">
        <v>64</v>
      </c>
      <c r="C31" s="5">
        <v>9842.622847778639</v>
      </c>
      <c r="D31" s="3" t="s">
        <v>470</v>
      </c>
      <c r="E31" s="15">
        <f t="shared" si="7"/>
        <v>1782.6885132556504</v>
      </c>
      <c r="F31" s="15">
        <f t="shared" si="1"/>
        <v>0</v>
      </c>
      <c r="G31" s="16">
        <f t="shared" si="2"/>
        <v>8059.9343345229881</v>
      </c>
      <c r="H31" s="17">
        <v>6720</v>
      </c>
      <c r="I31" s="16">
        <f t="shared" si="3"/>
        <v>1339.9343345229881</v>
      </c>
      <c r="J31" s="18">
        <f t="shared" si="4"/>
        <v>0.19939499025639704</v>
      </c>
      <c r="K31" s="18">
        <f t="shared" si="5"/>
        <v>0.1361359015016404</v>
      </c>
      <c r="L31" s="25">
        <f t="shared" si="6"/>
        <v>9846.6885132556508</v>
      </c>
    </row>
    <row r="32" spans="1:12" ht="50.1" customHeight="1" x14ac:dyDescent="0.2">
      <c r="A32" s="4" t="s">
        <v>65</v>
      </c>
      <c r="B32" s="4" t="s">
        <v>66</v>
      </c>
      <c r="C32" s="5">
        <v>8391.0390604601416</v>
      </c>
      <c r="D32" s="3" t="s">
        <v>468</v>
      </c>
      <c r="E32" s="15">
        <f t="shared" si="7"/>
        <v>1342.5662496736227</v>
      </c>
      <c r="F32" s="15">
        <f t="shared" si="1"/>
        <v>0</v>
      </c>
      <c r="G32" s="16">
        <f t="shared" si="2"/>
        <v>7048.4728107865194</v>
      </c>
      <c r="H32" s="17">
        <v>5880</v>
      </c>
      <c r="I32" s="16">
        <f t="shared" si="3"/>
        <v>1168.4728107865194</v>
      </c>
      <c r="J32" s="18">
        <f t="shared" si="4"/>
        <v>0.19871986578002029</v>
      </c>
      <c r="K32" s="18">
        <f t="shared" si="5"/>
        <v>0.13925245757614713</v>
      </c>
      <c r="L32" s="25">
        <f t="shared" si="6"/>
        <v>8398.5662496736222</v>
      </c>
    </row>
    <row r="33" spans="1:12" ht="50.1" customHeight="1" x14ac:dyDescent="0.2">
      <c r="A33" s="4" t="s">
        <v>67</v>
      </c>
      <c r="B33" s="4" t="s">
        <v>68</v>
      </c>
      <c r="C33" s="5">
        <v>17996.191792987152</v>
      </c>
      <c r="D33" s="3" t="s">
        <v>467</v>
      </c>
      <c r="E33" s="15">
        <f t="shared" si="7"/>
        <v>3239.3145227376872</v>
      </c>
      <c r="F33" s="15">
        <f t="shared" si="1"/>
        <v>0</v>
      </c>
      <c r="G33" s="16">
        <f t="shared" si="2"/>
        <v>14756.877270249464</v>
      </c>
      <c r="H33" s="17">
        <f>11759*1.19*0.88</f>
        <v>12314.024799999999</v>
      </c>
      <c r="I33" s="16">
        <f t="shared" si="3"/>
        <v>2442.8524702494651</v>
      </c>
      <c r="J33" s="18">
        <f t="shared" si="4"/>
        <v>0.19837969387957261</v>
      </c>
      <c r="K33" s="18">
        <f t="shared" si="5"/>
        <v>0.13574274481790133</v>
      </c>
      <c r="L33" s="25">
        <f t="shared" si="6"/>
        <v>18016.144282737689</v>
      </c>
    </row>
    <row r="34" spans="1:12" ht="50.1" customHeight="1" x14ac:dyDescent="0.2">
      <c r="A34" s="4" t="s">
        <v>69</v>
      </c>
      <c r="B34" s="4" t="s">
        <v>70</v>
      </c>
      <c r="C34" s="5">
        <v>14320.563580058855</v>
      </c>
      <c r="D34" s="3" t="s">
        <v>469</v>
      </c>
      <c r="E34" s="15">
        <f t="shared" si="7"/>
        <v>3004.8789012082398</v>
      </c>
      <c r="F34" s="15">
        <v>3100</v>
      </c>
      <c r="G34" s="16">
        <f t="shared" si="2"/>
        <v>8215.6846788506155</v>
      </c>
      <c r="H34" s="17">
        <v>6852</v>
      </c>
      <c r="I34" s="16">
        <f t="shared" si="3"/>
        <v>1363.6846788506155</v>
      </c>
      <c r="J34" s="18">
        <f t="shared" si="4"/>
        <v>0.19901994729285105</v>
      </c>
      <c r="K34" s="18">
        <f t="shared" si="5"/>
        <v>9.5225629300617995E-2</v>
      </c>
      <c r="L34" s="25">
        <f t="shared" si="6"/>
        <v>14327.278901208239</v>
      </c>
    </row>
    <row r="35" spans="1:12" ht="50.1" customHeight="1" x14ac:dyDescent="0.2">
      <c r="A35" s="4" t="s">
        <v>71</v>
      </c>
      <c r="B35" s="4" t="s">
        <v>29</v>
      </c>
      <c r="C35" s="5">
        <v>4497.0786731205717</v>
      </c>
      <c r="D35" s="3" t="s">
        <v>471</v>
      </c>
      <c r="E35" s="15">
        <f t="shared" si="7"/>
        <v>764.50337443049727</v>
      </c>
      <c r="F35" s="15">
        <f t="shared" si="1"/>
        <v>0</v>
      </c>
      <c r="G35" s="16">
        <f t="shared" si="2"/>
        <v>3732.5752986900743</v>
      </c>
      <c r="H35" s="17">
        <v>3114.23</v>
      </c>
      <c r="I35" s="16">
        <f t="shared" si="3"/>
        <v>618.34529869007429</v>
      </c>
      <c r="J35" s="18">
        <f t="shared" si="4"/>
        <v>0.19855479482571109</v>
      </c>
      <c r="K35" s="18">
        <f t="shared" si="5"/>
        <v>0.13749932870553891</v>
      </c>
      <c r="L35" s="25">
        <f t="shared" si="6"/>
        <v>4501.5793744304974</v>
      </c>
    </row>
    <row r="36" spans="1:12" ht="50.1" customHeight="1" x14ac:dyDescent="0.2">
      <c r="A36" s="4" t="s">
        <v>72</v>
      </c>
      <c r="B36" s="4" t="s">
        <v>73</v>
      </c>
      <c r="C36" s="5">
        <v>13078.122200718924</v>
      </c>
      <c r="D36" s="3" t="s">
        <v>467</v>
      </c>
      <c r="E36" s="15">
        <f t="shared" si="7"/>
        <v>2354.0619961294065</v>
      </c>
      <c r="F36" s="15">
        <f t="shared" si="1"/>
        <v>0</v>
      </c>
      <c r="G36" s="16">
        <f t="shared" si="2"/>
        <v>10724.060204589518</v>
      </c>
      <c r="H36" s="17">
        <v>8948.7999999999993</v>
      </c>
      <c r="I36" s="16">
        <f t="shared" si="3"/>
        <v>1775.2602045895183</v>
      </c>
      <c r="J36" s="18">
        <f t="shared" si="4"/>
        <v>0.19837969387957249</v>
      </c>
      <c r="K36" s="18">
        <f t="shared" si="5"/>
        <v>0.13574274481790127</v>
      </c>
      <c r="L36" s="25">
        <f t="shared" si="6"/>
        <v>13092.621996129406</v>
      </c>
    </row>
    <row r="37" spans="1:12" ht="50.1" customHeight="1" x14ac:dyDescent="0.2">
      <c r="A37" s="4" t="s">
        <v>74</v>
      </c>
      <c r="B37" s="4" t="s">
        <v>75</v>
      </c>
      <c r="C37" s="5">
        <v>9589.7589262401616</v>
      </c>
      <c r="D37" s="3" t="s">
        <v>468</v>
      </c>
      <c r="E37" s="15">
        <f t="shared" si="7"/>
        <v>1534.361428198426</v>
      </c>
      <c r="F37" s="15">
        <f t="shared" si="1"/>
        <v>0</v>
      </c>
      <c r="G37" s="16">
        <f t="shared" si="2"/>
        <v>8055.3974980417352</v>
      </c>
      <c r="H37" s="17">
        <v>6720</v>
      </c>
      <c r="I37" s="16">
        <f t="shared" si="3"/>
        <v>1335.3974980417352</v>
      </c>
      <c r="J37" s="18">
        <f t="shared" si="4"/>
        <v>0.1987198657800201</v>
      </c>
      <c r="K37" s="18">
        <f t="shared" si="5"/>
        <v>0.13925245757614702</v>
      </c>
      <c r="L37" s="25">
        <f t="shared" si="6"/>
        <v>9598.3614281984264</v>
      </c>
    </row>
    <row r="38" spans="1:12" ht="50.1" customHeight="1" x14ac:dyDescent="0.2">
      <c r="A38" s="4" t="s">
        <v>76</v>
      </c>
      <c r="B38" s="4" t="s">
        <v>77</v>
      </c>
      <c r="C38" s="5">
        <v>11912.143946078933</v>
      </c>
      <c r="D38" s="3" t="s">
        <v>469</v>
      </c>
      <c r="E38" s="15">
        <f t="shared" si="7"/>
        <v>2667.7001524510506</v>
      </c>
      <c r="F38" s="15">
        <f t="shared" si="1"/>
        <v>0</v>
      </c>
      <c r="G38" s="16">
        <f t="shared" si="2"/>
        <v>9244.4437936278828</v>
      </c>
      <c r="H38" s="17">
        <v>7710</v>
      </c>
      <c r="I38" s="16">
        <f t="shared" si="3"/>
        <v>1534.4437936278828</v>
      </c>
      <c r="J38" s="18">
        <f t="shared" si="4"/>
        <v>0.19901994729285119</v>
      </c>
      <c r="K38" s="18">
        <f t="shared" si="5"/>
        <v>0.12881340257250407</v>
      </c>
      <c r="L38" s="25">
        <f t="shared" si="6"/>
        <v>11919.700152451051</v>
      </c>
    </row>
    <row r="39" spans="1:12" ht="50.1" customHeight="1" x14ac:dyDescent="0.2">
      <c r="A39" s="4" t="s">
        <v>78</v>
      </c>
      <c r="B39" s="4" t="s">
        <v>79</v>
      </c>
      <c r="C39" s="5">
        <v>23742.397954743166</v>
      </c>
      <c r="D39" s="3" t="s">
        <v>468</v>
      </c>
      <c r="E39" s="15">
        <f t="shared" si="7"/>
        <v>3798.7836727589065</v>
      </c>
      <c r="F39" s="15">
        <v>4600</v>
      </c>
      <c r="G39" s="16">
        <f t="shared" si="2"/>
        <v>15343.614281984261</v>
      </c>
      <c r="H39" s="17">
        <v>12800</v>
      </c>
      <c r="I39" s="16">
        <f t="shared" si="3"/>
        <v>2543.6142819842607</v>
      </c>
      <c r="J39" s="18">
        <f t="shared" si="4"/>
        <v>0.19871986578002038</v>
      </c>
      <c r="K39" s="18">
        <f t="shared" si="5"/>
        <v>0.10713384077011931</v>
      </c>
      <c r="L39" s="25">
        <f t="shared" si="6"/>
        <v>23758.783672758906</v>
      </c>
    </row>
    <row r="40" spans="1:12" ht="50.1" customHeight="1" x14ac:dyDescent="0.2">
      <c r="A40" s="4" t="s">
        <v>80</v>
      </c>
      <c r="B40" s="4" t="s">
        <v>81</v>
      </c>
      <c r="C40" s="5">
        <v>23456.988462890778</v>
      </c>
      <c r="D40" s="3" t="s">
        <v>468</v>
      </c>
      <c r="E40" s="15">
        <f t="shared" si="7"/>
        <v>3753.1181540625248</v>
      </c>
      <c r="F40" s="15">
        <v>4600</v>
      </c>
      <c r="G40" s="16">
        <f t="shared" si="2"/>
        <v>15103.870308828253</v>
      </c>
      <c r="H40" s="17">
        <v>12600</v>
      </c>
      <c r="I40" s="16">
        <f t="shared" si="3"/>
        <v>2503.8703088282527</v>
      </c>
      <c r="J40" s="18">
        <f t="shared" si="4"/>
        <v>0.19871986578002007</v>
      </c>
      <c r="K40" s="18">
        <f t="shared" si="5"/>
        <v>0.10674304217650973</v>
      </c>
      <c r="L40" s="25">
        <f t="shared" si="6"/>
        <v>23473.118154062526</v>
      </c>
    </row>
    <row r="41" spans="1:12" ht="50.1" customHeight="1" x14ac:dyDescent="0.2">
      <c r="A41" s="4" t="s">
        <v>82</v>
      </c>
      <c r="B41" s="4" t="s">
        <v>53</v>
      </c>
      <c r="C41" s="5">
        <v>9286.8580521062577</v>
      </c>
      <c r="D41" s="3" t="s">
        <v>467</v>
      </c>
      <c r="E41" s="15">
        <f t="shared" si="7"/>
        <v>1671.6344493791264</v>
      </c>
      <c r="F41" s="15">
        <f t="shared" si="1"/>
        <v>0</v>
      </c>
      <c r="G41" s="16">
        <f t="shared" si="2"/>
        <v>7615.223602727131</v>
      </c>
      <c r="H41" s="17">
        <v>6354.5999999999995</v>
      </c>
      <c r="I41" s="16">
        <f t="shared" si="3"/>
        <v>1260.6236027271316</v>
      </c>
      <c r="J41" s="18">
        <f t="shared" si="4"/>
        <v>0.19837969387957255</v>
      </c>
      <c r="K41" s="18">
        <f t="shared" si="5"/>
        <v>0.1357427448179013</v>
      </c>
      <c r="L41" s="25">
        <f t="shared" si="6"/>
        <v>9297.1544493791262</v>
      </c>
    </row>
    <row r="42" spans="1:12" ht="50.1" customHeight="1" x14ac:dyDescent="0.2">
      <c r="A42" s="4" t="s">
        <v>83</v>
      </c>
      <c r="B42" s="4" t="s">
        <v>84</v>
      </c>
      <c r="C42" s="5">
        <v>13078.122200718924</v>
      </c>
      <c r="D42" s="3" t="s">
        <v>467</v>
      </c>
      <c r="E42" s="15">
        <f t="shared" si="7"/>
        <v>2354.0619961294065</v>
      </c>
      <c r="F42" s="15">
        <f t="shared" si="1"/>
        <v>0</v>
      </c>
      <c r="G42" s="16">
        <f t="shared" si="2"/>
        <v>10724.060204589518</v>
      </c>
      <c r="H42" s="17">
        <v>8948.7999999999993</v>
      </c>
      <c r="I42" s="16">
        <f t="shared" si="3"/>
        <v>1775.2602045895183</v>
      </c>
      <c r="J42" s="18">
        <f t="shared" si="4"/>
        <v>0.19837969387957249</v>
      </c>
      <c r="K42" s="18">
        <f t="shared" si="5"/>
        <v>0.13574274481790127</v>
      </c>
      <c r="L42" s="25">
        <f t="shared" si="6"/>
        <v>13092.621996129406</v>
      </c>
    </row>
    <row r="43" spans="1:12" ht="50.1" customHeight="1" x14ac:dyDescent="0.2">
      <c r="A43" s="4" t="s">
        <v>85</v>
      </c>
      <c r="B43" s="4" t="s">
        <v>86</v>
      </c>
      <c r="C43" s="5">
        <v>20590.812958458155</v>
      </c>
      <c r="D43" s="3" t="s">
        <v>472</v>
      </c>
      <c r="E43" s="15">
        <f t="shared" si="7"/>
        <v>2676.8056845995602</v>
      </c>
      <c r="F43" s="15">
        <v>3000</v>
      </c>
      <c r="G43" s="16">
        <f t="shared" si="2"/>
        <v>14914.007273858595</v>
      </c>
      <c r="H43" s="17">
        <v>12435.5</v>
      </c>
      <c r="I43" s="16">
        <f t="shared" si="3"/>
        <v>2478.507273858595</v>
      </c>
      <c r="J43" s="18">
        <f t="shared" si="4"/>
        <v>0.19930901643348439</v>
      </c>
      <c r="K43" s="18">
        <f t="shared" si="5"/>
        <v>0.12036956864495681</v>
      </c>
      <c r="L43" s="25">
        <f t="shared" si="6"/>
        <v>20599.405684599558</v>
      </c>
    </row>
    <row r="44" spans="1:12" ht="50.1" customHeight="1" x14ac:dyDescent="0.2">
      <c r="A44" s="4" t="s">
        <v>87</v>
      </c>
      <c r="B44" s="4" t="s">
        <v>88</v>
      </c>
      <c r="C44" s="5">
        <v>29313.348418233647</v>
      </c>
      <c r="D44" s="3" t="s">
        <v>472</v>
      </c>
      <c r="E44" s="15">
        <f t="shared" si="7"/>
        <v>3810.735294370374</v>
      </c>
      <c r="F44" s="15">
        <v>3100</v>
      </c>
      <c r="G44" s="16">
        <f t="shared" si="2"/>
        <v>22402.613123863273</v>
      </c>
      <c r="H44" s="17">
        <v>18682</v>
      </c>
      <c r="I44" s="16">
        <f t="shared" si="3"/>
        <v>3720.6131238632734</v>
      </c>
      <c r="J44" s="18">
        <f t="shared" si="4"/>
        <v>0.19915496862559004</v>
      </c>
      <c r="K44" s="18">
        <f t="shared" si="5"/>
        <v>0.12692555864921107</v>
      </c>
      <c r="L44" s="25">
        <f t="shared" si="6"/>
        <v>29329.135294370375</v>
      </c>
    </row>
    <row r="45" spans="1:12" ht="50.1" customHeight="1" x14ac:dyDescent="0.2">
      <c r="A45" s="4" t="s">
        <v>89</v>
      </c>
      <c r="B45" s="4" t="s">
        <v>90</v>
      </c>
      <c r="C45" s="5">
        <v>13130.369943184673</v>
      </c>
      <c r="D45" s="3" t="s">
        <v>471</v>
      </c>
      <c r="E45" s="15">
        <f t="shared" si="7"/>
        <v>2232.1628903413944</v>
      </c>
      <c r="F45" s="15">
        <f t="shared" si="1"/>
        <v>0</v>
      </c>
      <c r="G45" s="16">
        <f t="shared" si="2"/>
        <v>10898.207052843278</v>
      </c>
      <c r="H45" s="17">
        <v>9092.7899999999991</v>
      </c>
      <c r="I45" s="16">
        <f t="shared" si="3"/>
        <v>1805.4170528432787</v>
      </c>
      <c r="J45" s="18">
        <f t="shared" si="4"/>
        <v>0.19855479482571123</v>
      </c>
      <c r="K45" s="18">
        <f t="shared" si="5"/>
        <v>0.13749932870553899</v>
      </c>
      <c r="L45" s="25">
        <f t="shared" si="6"/>
        <v>13143.510890341393</v>
      </c>
    </row>
    <row r="46" spans="1:12" ht="50.1" customHeight="1" x14ac:dyDescent="0.2">
      <c r="A46" s="4" t="s">
        <v>91</v>
      </c>
      <c r="B46" s="4" t="s">
        <v>92</v>
      </c>
      <c r="C46" s="5">
        <v>3895.8395637850658</v>
      </c>
      <c r="D46" s="3" t="s">
        <v>468</v>
      </c>
      <c r="E46" s="15">
        <f t="shared" si="7"/>
        <v>623.33433020561051</v>
      </c>
      <c r="F46" s="15">
        <f t="shared" si="1"/>
        <v>0</v>
      </c>
      <c r="G46" s="16">
        <f t="shared" si="2"/>
        <v>3272.5052335794553</v>
      </c>
      <c r="H46" s="17">
        <v>2730</v>
      </c>
      <c r="I46" s="16">
        <f t="shared" si="3"/>
        <v>542.50523357945531</v>
      </c>
      <c r="J46" s="18">
        <f t="shared" si="4"/>
        <v>0.19871986578002027</v>
      </c>
      <c r="K46" s="18">
        <f t="shared" si="5"/>
        <v>0.1392524575761471</v>
      </c>
      <c r="L46" s="25">
        <f t="shared" si="6"/>
        <v>3899.3343302056105</v>
      </c>
    </row>
    <row r="47" spans="1:12" ht="50.1" customHeight="1" x14ac:dyDescent="0.2">
      <c r="A47" s="4" t="s">
        <v>93</v>
      </c>
      <c r="B47" s="4" t="s">
        <v>94</v>
      </c>
      <c r="C47" s="5">
        <v>2687.7707083274327</v>
      </c>
      <c r="D47" s="3" t="s">
        <v>469</v>
      </c>
      <c r="E47" s="15">
        <f t="shared" si="7"/>
        <v>1076.2878991658406</v>
      </c>
      <c r="F47" s="15">
        <f t="shared" si="1"/>
        <v>0</v>
      </c>
      <c r="G47" s="16">
        <f t="shared" si="2"/>
        <v>1611.4828091615921</v>
      </c>
      <c r="H47" s="17">
        <v>1344</v>
      </c>
      <c r="I47" s="16">
        <f t="shared" si="3"/>
        <v>267.48280916159206</v>
      </c>
      <c r="J47" s="18">
        <f t="shared" si="4"/>
        <v>0.19901994729285125</v>
      </c>
      <c r="K47" s="18">
        <f t="shared" si="5"/>
        <v>9.951846276650711E-2</v>
      </c>
      <c r="L47" s="25">
        <f t="shared" si="6"/>
        <v>2689.087899165841</v>
      </c>
    </row>
    <row r="48" spans="1:12" ht="50.1" customHeight="1" x14ac:dyDescent="0.2">
      <c r="A48" s="4" t="s">
        <v>95</v>
      </c>
      <c r="B48" s="4" t="s">
        <v>96</v>
      </c>
      <c r="C48" s="5">
        <v>17996.191792987152</v>
      </c>
      <c r="D48" s="3" t="s">
        <v>467</v>
      </c>
      <c r="E48" s="15">
        <f t="shared" si="7"/>
        <v>3239.3145227376872</v>
      </c>
      <c r="F48" s="15">
        <f t="shared" si="1"/>
        <v>0</v>
      </c>
      <c r="G48" s="16">
        <f t="shared" si="2"/>
        <v>14756.877270249464</v>
      </c>
      <c r="H48" s="17">
        <f>11759*1.19*0.88</f>
        <v>12314.024799999999</v>
      </c>
      <c r="I48" s="16">
        <f t="shared" si="3"/>
        <v>2442.8524702494651</v>
      </c>
      <c r="J48" s="18">
        <f t="shared" si="4"/>
        <v>0.19837969387957261</v>
      </c>
      <c r="K48" s="18">
        <f t="shared" si="5"/>
        <v>0.13574274481790133</v>
      </c>
      <c r="L48" s="25">
        <f t="shared" si="6"/>
        <v>18016.144282737689</v>
      </c>
    </row>
    <row r="49" spans="1:12" ht="50.1" customHeight="1" x14ac:dyDescent="0.2">
      <c r="A49" s="4" t="s">
        <v>97</v>
      </c>
      <c r="B49" s="4" t="s">
        <v>98</v>
      </c>
      <c r="C49" s="5">
        <v>9011.9038256767035</v>
      </c>
      <c r="D49" s="3" t="s">
        <v>469</v>
      </c>
      <c r="E49" s="15">
        <f t="shared" si="7"/>
        <v>1961.6665355947387</v>
      </c>
      <c r="F49" s="15">
        <f t="shared" si="1"/>
        <v>0</v>
      </c>
      <c r="G49" s="16">
        <f t="shared" si="2"/>
        <v>7050.2372900819646</v>
      </c>
      <c r="H49" s="17">
        <v>5880</v>
      </c>
      <c r="I49" s="16">
        <f t="shared" si="3"/>
        <v>1170.2372900819646</v>
      </c>
      <c r="J49" s="18">
        <f t="shared" si="4"/>
        <v>0.19901994729285113</v>
      </c>
      <c r="K49" s="18">
        <f t="shared" si="5"/>
        <v>0.12985461371078175</v>
      </c>
      <c r="L49" s="25">
        <f t="shared" si="6"/>
        <v>9017.6665355947389</v>
      </c>
    </row>
    <row r="50" spans="1:12" ht="50.1" customHeight="1" x14ac:dyDescent="0.2">
      <c r="A50" s="4" t="s">
        <v>99</v>
      </c>
      <c r="B50" s="4" t="s">
        <v>100</v>
      </c>
      <c r="C50" s="5">
        <v>8990.3989933501507</v>
      </c>
      <c r="D50" s="3" t="s">
        <v>468</v>
      </c>
      <c r="E50" s="15">
        <f t="shared" si="7"/>
        <v>1438.4638389360241</v>
      </c>
      <c r="F50" s="15">
        <f t="shared" si="1"/>
        <v>0</v>
      </c>
      <c r="G50" s="16">
        <f t="shared" si="2"/>
        <v>7551.9351544141264</v>
      </c>
      <c r="H50" s="17">
        <v>6300</v>
      </c>
      <c r="I50" s="16">
        <f t="shared" si="3"/>
        <v>1251.9351544141264</v>
      </c>
      <c r="J50" s="18">
        <f t="shared" si="4"/>
        <v>0.19871986578002007</v>
      </c>
      <c r="K50" s="18">
        <f t="shared" si="5"/>
        <v>0.13925245757614699</v>
      </c>
      <c r="L50" s="25">
        <f t="shared" si="6"/>
        <v>8998.4638389360243</v>
      </c>
    </row>
    <row r="51" spans="1:12" ht="50.1" customHeight="1" x14ac:dyDescent="0.2">
      <c r="A51" s="4" t="s">
        <v>101</v>
      </c>
      <c r="B51" s="4" t="s">
        <v>102</v>
      </c>
      <c r="C51" s="5">
        <v>28369.997603214644</v>
      </c>
      <c r="D51" s="3" t="s">
        <v>468</v>
      </c>
      <c r="E51" s="15">
        <f t="shared" si="7"/>
        <v>4539.1996165143428</v>
      </c>
      <c r="F51" s="15">
        <v>5850</v>
      </c>
      <c r="G51" s="16">
        <f t="shared" si="2"/>
        <v>17980.797986700301</v>
      </c>
      <c r="H51" s="17">
        <v>15000</v>
      </c>
      <c r="I51" s="16">
        <f t="shared" si="3"/>
        <v>2980.7979867003014</v>
      </c>
      <c r="J51" s="18">
        <f t="shared" si="4"/>
        <v>0.1987198657800201</v>
      </c>
      <c r="K51" s="18">
        <f t="shared" si="5"/>
        <v>0.10506867248950853</v>
      </c>
      <c r="L51" s="25">
        <f t="shared" si="6"/>
        <v>28389.199616514343</v>
      </c>
    </row>
    <row r="52" spans="1:12" ht="50.1" customHeight="1" x14ac:dyDescent="0.2">
      <c r="A52" s="4" t="s">
        <v>103</v>
      </c>
      <c r="B52" s="4" t="s">
        <v>104</v>
      </c>
      <c r="C52" s="5">
        <v>6657.1763974568985</v>
      </c>
      <c r="D52" s="3" t="s">
        <v>468</v>
      </c>
      <c r="E52" s="15">
        <f t="shared" si="7"/>
        <v>1065.1482235931037</v>
      </c>
      <c r="F52" s="15">
        <f t="shared" si="1"/>
        <v>0</v>
      </c>
      <c r="G52" s="16">
        <f t="shared" si="2"/>
        <v>5592.028173863795</v>
      </c>
      <c r="H52" s="17">
        <v>4665</v>
      </c>
      <c r="I52" s="16">
        <f t="shared" si="3"/>
        <v>927.02817386379502</v>
      </c>
      <c r="J52" s="18">
        <f t="shared" si="4"/>
        <v>0.19871986578002038</v>
      </c>
      <c r="K52" s="18">
        <f t="shared" si="5"/>
        <v>0.13925245757614718</v>
      </c>
      <c r="L52" s="25">
        <f t="shared" si="6"/>
        <v>6663.1482235931035</v>
      </c>
    </row>
    <row r="53" spans="1:12" ht="50.1" customHeight="1" x14ac:dyDescent="0.2">
      <c r="A53" s="4" t="s">
        <v>105</v>
      </c>
      <c r="B53" s="4" t="s">
        <v>106</v>
      </c>
      <c r="C53" s="5">
        <v>6435.405148238111</v>
      </c>
      <c r="D53" s="3" t="s">
        <v>469</v>
      </c>
      <c r="E53" s="15">
        <f t="shared" si="7"/>
        <v>1600.9567207533355</v>
      </c>
      <c r="F53" s="15">
        <f t="shared" si="1"/>
        <v>0</v>
      </c>
      <c r="G53" s="16">
        <f t="shared" si="2"/>
        <v>4834.4484274847755</v>
      </c>
      <c r="H53" s="17">
        <v>4032</v>
      </c>
      <c r="I53" s="16">
        <f t="shared" si="3"/>
        <v>802.44842748477549</v>
      </c>
      <c r="J53" s="18">
        <f t="shared" si="4"/>
        <v>0.19901994729285105</v>
      </c>
      <c r="K53" s="18">
        <f t="shared" si="5"/>
        <v>0.12469275966323119</v>
      </c>
      <c r="L53" s="25">
        <f t="shared" si="6"/>
        <v>6439.356720753336</v>
      </c>
    </row>
    <row r="54" spans="1:12" ht="50.1" customHeight="1" x14ac:dyDescent="0.2">
      <c r="A54" s="4" t="s">
        <v>107</v>
      </c>
      <c r="B54" s="4" t="s">
        <v>108</v>
      </c>
      <c r="C54" s="5">
        <v>6435.405148238111</v>
      </c>
      <c r="D54" s="3" t="s">
        <v>469</v>
      </c>
      <c r="E54" s="15">
        <f t="shared" si="7"/>
        <v>1600.9567207533355</v>
      </c>
      <c r="F54" s="15">
        <f t="shared" si="1"/>
        <v>0</v>
      </c>
      <c r="G54" s="16">
        <f t="shared" si="2"/>
        <v>4834.4484274847755</v>
      </c>
      <c r="H54" s="17">
        <v>4032</v>
      </c>
      <c r="I54" s="16">
        <f t="shared" si="3"/>
        <v>802.44842748477549</v>
      </c>
      <c r="J54" s="18">
        <f t="shared" si="4"/>
        <v>0.19901994729285105</v>
      </c>
      <c r="K54" s="18">
        <f t="shared" si="5"/>
        <v>0.12469275966323119</v>
      </c>
      <c r="L54" s="25">
        <f t="shared" si="6"/>
        <v>6439.356720753336</v>
      </c>
    </row>
    <row r="55" spans="1:12" ht="50.1" customHeight="1" x14ac:dyDescent="0.2">
      <c r="A55" s="4" t="s">
        <v>109</v>
      </c>
      <c r="B55" s="4" t="s">
        <v>110</v>
      </c>
      <c r="C55" s="5">
        <v>1819.4928210607181</v>
      </c>
      <c r="D55" s="3" t="s">
        <v>471</v>
      </c>
      <c r="E55" s="15">
        <f t="shared" si="7"/>
        <v>309.31377958032209</v>
      </c>
      <c r="F55" s="15">
        <f t="shared" si="1"/>
        <v>0</v>
      </c>
      <c r="G55" s="16">
        <f t="shared" si="2"/>
        <v>1510.1790414803961</v>
      </c>
      <c r="H55" s="17">
        <v>1260</v>
      </c>
      <c r="I55" s="16">
        <f t="shared" si="3"/>
        <v>250.17904148039611</v>
      </c>
      <c r="J55" s="18">
        <f t="shared" si="4"/>
        <v>0.1985547948257112</v>
      </c>
      <c r="K55" s="18">
        <f t="shared" si="5"/>
        <v>0.13749932870553899</v>
      </c>
      <c r="L55" s="25">
        <f t="shared" si="6"/>
        <v>1821.313779580322</v>
      </c>
    </row>
    <row r="56" spans="1:12" ht="50.1" customHeight="1" x14ac:dyDescent="0.2">
      <c r="A56" s="4" t="s">
        <v>111</v>
      </c>
      <c r="B56" s="4" t="s">
        <v>112</v>
      </c>
      <c r="C56" s="5">
        <v>3390.4521658106846</v>
      </c>
      <c r="D56" s="3" t="s">
        <v>469</v>
      </c>
      <c r="E56" s="15">
        <f t="shared" si="7"/>
        <v>1174.663303213496</v>
      </c>
      <c r="F56" s="15">
        <f t="shared" si="1"/>
        <v>0</v>
      </c>
      <c r="G56" s="16">
        <f t="shared" si="2"/>
        <v>2215.7888625971887</v>
      </c>
      <c r="H56" s="17">
        <v>1848</v>
      </c>
      <c r="I56" s="16">
        <f t="shared" si="3"/>
        <v>367.78886259718865</v>
      </c>
      <c r="J56" s="18">
        <f t="shared" si="4"/>
        <v>0.199019947292851</v>
      </c>
      <c r="K56" s="18">
        <f t="shared" si="5"/>
        <v>0.1084778208363979</v>
      </c>
      <c r="L56" s="25">
        <f t="shared" si="6"/>
        <v>3392.2633032134959</v>
      </c>
    </row>
    <row r="57" spans="1:12" ht="50.1" customHeight="1" x14ac:dyDescent="0.2">
      <c r="A57" s="4" t="s">
        <v>113</v>
      </c>
      <c r="B57" s="4" t="s">
        <v>114</v>
      </c>
      <c r="C57" s="5">
        <v>3390.4521658106846</v>
      </c>
      <c r="D57" s="3" t="s">
        <v>469</v>
      </c>
      <c r="E57" s="15">
        <f t="shared" si="7"/>
        <v>1174.663303213496</v>
      </c>
      <c r="F57" s="15">
        <f t="shared" si="1"/>
        <v>0</v>
      </c>
      <c r="G57" s="16">
        <f t="shared" si="2"/>
        <v>2215.7888625971887</v>
      </c>
      <c r="H57" s="17">
        <v>1848</v>
      </c>
      <c r="I57" s="16">
        <f t="shared" si="3"/>
        <v>367.78886259718865</v>
      </c>
      <c r="J57" s="18">
        <f t="shared" si="4"/>
        <v>0.199019947292851</v>
      </c>
      <c r="K57" s="18">
        <f t="shared" si="5"/>
        <v>0.1084778208363979</v>
      </c>
      <c r="L57" s="25">
        <f t="shared" si="6"/>
        <v>3392.2633032134959</v>
      </c>
    </row>
    <row r="58" spans="1:12" ht="50.1" customHeight="1" x14ac:dyDescent="0.2">
      <c r="A58" s="4" t="s">
        <v>115</v>
      </c>
      <c r="B58" s="4" t="s">
        <v>116</v>
      </c>
      <c r="C58" s="5">
        <v>2453.543555833015</v>
      </c>
      <c r="D58" s="3" t="s">
        <v>469</v>
      </c>
      <c r="E58" s="15">
        <f t="shared" si="7"/>
        <v>1043.4960978166221</v>
      </c>
      <c r="F58" s="15">
        <f t="shared" si="1"/>
        <v>0</v>
      </c>
      <c r="G58" s="16">
        <f t="shared" si="2"/>
        <v>1410.047458016393</v>
      </c>
      <c r="H58" s="17">
        <v>1176</v>
      </c>
      <c r="I58" s="16">
        <f t="shared" si="3"/>
        <v>234.04745801639297</v>
      </c>
      <c r="J58" s="18">
        <f t="shared" si="4"/>
        <v>0.19901994729285116</v>
      </c>
      <c r="K58" s="18">
        <f t="shared" si="5"/>
        <v>9.5391605117411626E-2</v>
      </c>
      <c r="L58" s="25">
        <f t="shared" si="6"/>
        <v>2454.6960978166217</v>
      </c>
    </row>
    <row r="59" spans="1:12" ht="50.1" customHeight="1" x14ac:dyDescent="0.2">
      <c r="A59" s="4" t="s">
        <v>117</v>
      </c>
      <c r="B59" s="4" t="s">
        <v>118</v>
      </c>
      <c r="C59" s="5">
        <v>3156.2250133162675</v>
      </c>
      <c r="D59" s="3" t="s">
        <v>469</v>
      </c>
      <c r="E59" s="15">
        <f t="shared" si="7"/>
        <v>1141.8715018642774</v>
      </c>
      <c r="F59" s="15">
        <f t="shared" si="1"/>
        <v>0</v>
      </c>
      <c r="G59" s="16">
        <f t="shared" si="2"/>
        <v>2014.35351145199</v>
      </c>
      <c r="H59" s="17">
        <v>1680</v>
      </c>
      <c r="I59" s="16">
        <f t="shared" si="3"/>
        <v>334.35351145199002</v>
      </c>
      <c r="J59" s="18">
        <f t="shared" si="4"/>
        <v>0.19901994729285119</v>
      </c>
      <c r="K59" s="18">
        <f t="shared" si="5"/>
        <v>0.1059346244457655</v>
      </c>
      <c r="L59" s="25">
        <f t="shared" si="6"/>
        <v>3157.8715018642774</v>
      </c>
    </row>
    <row r="60" spans="1:12" ht="50.1" customHeight="1" x14ac:dyDescent="0.2">
      <c r="A60" s="4" t="s">
        <v>119</v>
      </c>
      <c r="B60" s="4" t="s">
        <v>120</v>
      </c>
      <c r="C60" s="5">
        <v>12443.727997925547</v>
      </c>
      <c r="D60" s="3" t="s">
        <v>470</v>
      </c>
      <c r="E60" s="15">
        <f t="shared" si="7"/>
        <v>2368.8100797718103</v>
      </c>
      <c r="F60" s="15">
        <f t="shared" si="1"/>
        <v>0</v>
      </c>
      <c r="G60" s="16">
        <f t="shared" si="2"/>
        <v>10074.917918153737</v>
      </c>
      <c r="H60" s="17">
        <v>8400</v>
      </c>
      <c r="I60" s="16">
        <f t="shared" si="3"/>
        <v>1674.9179181537365</v>
      </c>
      <c r="J60" s="18">
        <f t="shared" si="4"/>
        <v>0.1993949902563972</v>
      </c>
      <c r="K60" s="18">
        <f t="shared" si="5"/>
        <v>0.13459936752337856</v>
      </c>
      <c r="L60" s="25">
        <f t="shared" si="6"/>
        <v>12448.810079771811</v>
      </c>
    </row>
    <row r="61" spans="1:12" ht="50.1" customHeight="1" x14ac:dyDescent="0.2">
      <c r="A61" s="4" t="s">
        <v>121</v>
      </c>
      <c r="B61" s="4" t="s">
        <v>122</v>
      </c>
      <c r="C61" s="5">
        <v>13985.065100766902</v>
      </c>
      <c r="D61" s="3" t="s">
        <v>468</v>
      </c>
      <c r="E61" s="15">
        <f t="shared" si="7"/>
        <v>2237.6104161227045</v>
      </c>
      <c r="F61" s="15">
        <f t="shared" si="1"/>
        <v>0</v>
      </c>
      <c r="G61" s="16">
        <f t="shared" si="2"/>
        <v>11747.454684644197</v>
      </c>
      <c r="H61" s="17">
        <v>9800</v>
      </c>
      <c r="I61" s="16">
        <f t="shared" si="3"/>
        <v>1947.4546846441972</v>
      </c>
      <c r="J61" s="18">
        <f t="shared" si="4"/>
        <v>0.19871986578002013</v>
      </c>
      <c r="K61" s="18">
        <f t="shared" si="5"/>
        <v>0.13925245757614702</v>
      </c>
      <c r="L61" s="25">
        <f t="shared" si="6"/>
        <v>13997.610416122705</v>
      </c>
    </row>
    <row r="62" spans="1:12" ht="50.1" customHeight="1" x14ac:dyDescent="0.2">
      <c r="A62" s="4" t="s">
        <v>123</v>
      </c>
      <c r="B62" s="4" t="s">
        <v>124</v>
      </c>
      <c r="C62" s="5">
        <v>29313.348418233647</v>
      </c>
      <c r="D62" s="3" t="s">
        <v>472</v>
      </c>
      <c r="E62" s="15">
        <f t="shared" si="7"/>
        <v>3810.735294370374</v>
      </c>
      <c r="F62" s="15">
        <v>3100</v>
      </c>
      <c r="G62" s="16">
        <f t="shared" si="2"/>
        <v>22402.613123863273</v>
      </c>
      <c r="H62" s="17">
        <v>18682</v>
      </c>
      <c r="I62" s="16">
        <f t="shared" si="3"/>
        <v>3720.6131238632734</v>
      </c>
      <c r="J62" s="18">
        <f t="shared" si="4"/>
        <v>0.19915496862559004</v>
      </c>
      <c r="K62" s="18">
        <f t="shared" si="5"/>
        <v>0.12692555864921107</v>
      </c>
      <c r="L62" s="25">
        <f t="shared" si="6"/>
        <v>29329.135294370375</v>
      </c>
    </row>
    <row r="63" spans="1:12" ht="50.1" customHeight="1" x14ac:dyDescent="0.2">
      <c r="A63" s="4" t="s">
        <v>125</v>
      </c>
      <c r="B63" s="8" t="s">
        <v>126</v>
      </c>
      <c r="C63" s="5">
        <v>11703.012559923203</v>
      </c>
      <c r="D63" s="3" t="s">
        <v>469</v>
      </c>
      <c r="E63" s="15">
        <f t="shared" si="7"/>
        <v>2638.4217583892487</v>
      </c>
      <c r="F63" s="15">
        <f t="shared" si="1"/>
        <v>0</v>
      </c>
      <c r="G63" s="16">
        <f t="shared" si="2"/>
        <v>9064.5908015339555</v>
      </c>
      <c r="H63" s="17">
        <v>7560</v>
      </c>
      <c r="I63" s="16">
        <f t="shared" si="3"/>
        <v>1504.5908015339555</v>
      </c>
      <c r="J63" s="18">
        <f t="shared" si="4"/>
        <v>0.19901994729285127</v>
      </c>
      <c r="K63" s="18">
        <f t="shared" si="5"/>
        <v>0.12856440115995474</v>
      </c>
      <c r="L63" s="25">
        <f t="shared" si="6"/>
        <v>11710.42175838925</v>
      </c>
    </row>
    <row r="64" spans="1:12" ht="50.1" customHeight="1" x14ac:dyDescent="0.2">
      <c r="A64" s="4" t="s">
        <v>127</v>
      </c>
      <c r="B64" s="8" t="s">
        <v>128</v>
      </c>
      <c r="C64" s="5">
        <v>2896.9063423017155</v>
      </c>
      <c r="D64" s="3" t="s">
        <v>468</v>
      </c>
      <c r="E64" s="15">
        <f t="shared" si="7"/>
        <v>463.50501476827452</v>
      </c>
      <c r="F64" s="15">
        <f t="shared" si="1"/>
        <v>0</v>
      </c>
      <c r="G64" s="16">
        <f t="shared" si="2"/>
        <v>2433.401327533441</v>
      </c>
      <c r="H64" s="17">
        <v>2030</v>
      </c>
      <c r="I64" s="16">
        <f t="shared" si="3"/>
        <v>403.40132753344096</v>
      </c>
      <c r="J64" s="18">
        <f t="shared" si="4"/>
        <v>0.19871986578002018</v>
      </c>
      <c r="K64" s="18">
        <f t="shared" si="5"/>
        <v>0.13925245757614704</v>
      </c>
      <c r="L64" s="25">
        <f t="shared" si="6"/>
        <v>2899.5050147682746</v>
      </c>
    </row>
    <row r="65" spans="1:12" ht="50.1" customHeight="1" x14ac:dyDescent="0.2">
      <c r="A65" s="4" t="s">
        <v>129</v>
      </c>
      <c r="B65" s="8" t="s">
        <v>130</v>
      </c>
      <c r="C65" s="5">
        <v>8544.8794631200799</v>
      </c>
      <c r="D65" s="3" t="s">
        <v>468</v>
      </c>
      <c r="E65" s="15">
        <f t="shared" si="7"/>
        <v>1367.1807140992128</v>
      </c>
      <c r="F65" s="15">
        <v>3150</v>
      </c>
      <c r="G65" s="16">
        <f t="shared" si="2"/>
        <v>4027.6987490208667</v>
      </c>
      <c r="H65" s="17">
        <v>3360</v>
      </c>
      <c r="I65" s="16">
        <f t="shared" si="3"/>
        <v>667.69874902086667</v>
      </c>
      <c r="J65" s="18">
        <f t="shared" si="4"/>
        <v>0.19871986578001985</v>
      </c>
      <c r="K65" s="18">
        <f t="shared" si="5"/>
        <v>7.8140218583851492E-2</v>
      </c>
      <c r="L65" s="25">
        <f t="shared" si="6"/>
        <v>8549.1807140992132</v>
      </c>
    </row>
    <row r="66" spans="1:12" ht="50.1" customHeight="1" x14ac:dyDescent="0.2">
      <c r="A66" s="4" t="s">
        <v>131</v>
      </c>
      <c r="B66" s="8" t="s">
        <v>132</v>
      </c>
      <c r="C66" s="5">
        <v>8990.3989933501507</v>
      </c>
      <c r="D66" s="3" t="s">
        <v>468</v>
      </c>
      <c r="E66" s="15">
        <f t="shared" si="7"/>
        <v>1438.4638389360241</v>
      </c>
      <c r="F66" s="15">
        <f t="shared" si="1"/>
        <v>0</v>
      </c>
      <c r="G66" s="16">
        <f t="shared" si="2"/>
        <v>7551.9351544141264</v>
      </c>
      <c r="H66" s="17">
        <v>6300</v>
      </c>
      <c r="I66" s="16">
        <f t="shared" si="3"/>
        <v>1251.9351544141264</v>
      </c>
      <c r="J66" s="18">
        <f t="shared" si="4"/>
        <v>0.19871986578002007</v>
      </c>
      <c r="K66" s="18">
        <f t="shared" si="5"/>
        <v>0.13925245757614699</v>
      </c>
      <c r="L66" s="25">
        <f t="shared" si="6"/>
        <v>8998.4638389360243</v>
      </c>
    </row>
    <row r="67" spans="1:12" ht="50.1" customHeight="1" x14ac:dyDescent="0.2">
      <c r="A67" s="4" t="s">
        <v>133</v>
      </c>
      <c r="B67" s="8" t="s">
        <v>134</v>
      </c>
      <c r="C67" s="5">
        <v>29212.492553695643</v>
      </c>
      <c r="D67" s="3" t="s">
        <v>468</v>
      </c>
      <c r="E67" s="15">
        <f t="shared" si="7"/>
        <v>4673.9988085913028</v>
      </c>
      <c r="F67" s="15">
        <v>4400</v>
      </c>
      <c r="G67" s="16">
        <f t="shared" si="2"/>
        <v>20138.493745104341</v>
      </c>
      <c r="H67" s="17">
        <v>16800</v>
      </c>
      <c r="I67" s="16">
        <f t="shared" si="3"/>
        <v>3338.4937451043406</v>
      </c>
      <c r="J67" s="18">
        <f t="shared" si="4"/>
        <v>0.19871986578002027</v>
      </c>
      <c r="K67" s="18">
        <f t="shared" si="5"/>
        <v>0.11428308416229245</v>
      </c>
      <c r="L67" s="25">
        <f t="shared" si="6"/>
        <v>29233.998808591303</v>
      </c>
    </row>
    <row r="68" spans="1:12" ht="50.1" customHeight="1" x14ac:dyDescent="0.2">
      <c r="A68" s="4" t="s">
        <v>135</v>
      </c>
      <c r="B68" s="8" t="s">
        <v>136</v>
      </c>
      <c r="C68" s="5">
        <v>11839.405122522596</v>
      </c>
      <c r="D68" s="3" t="s">
        <v>473</v>
      </c>
      <c r="E68" s="15">
        <f t="shared" si="7"/>
        <v>2775.9107683783895</v>
      </c>
      <c r="F68" s="15">
        <f t="shared" ref="F68:F102" si="8">IF(C68&gt;=19990,"ACTIVAR",0)</f>
        <v>0</v>
      </c>
      <c r="G68" s="16">
        <f t="shared" ref="G68:G131" si="9">C68-E68-F68</f>
        <v>9063.4943541442062</v>
      </c>
      <c r="H68" s="17">
        <v>7560</v>
      </c>
      <c r="I68" s="16">
        <f t="shared" ref="I68:I131" si="10">G68-H68</f>
        <v>1503.4943541442062</v>
      </c>
      <c r="J68" s="18">
        <f t="shared" ref="J68:J131" si="11">I68/H68</f>
        <v>0.19887491456933945</v>
      </c>
      <c r="K68" s="18">
        <f t="shared" ref="K68:K131" si="12">I68/C68</f>
        <v>0.12699070084898489</v>
      </c>
      <c r="L68" s="25">
        <f t="shared" ref="L68:L131" si="13">E68+F68+H68+H68*0.2</f>
        <v>11847.91076837839</v>
      </c>
    </row>
    <row r="69" spans="1:12" ht="50.1" customHeight="1" x14ac:dyDescent="0.2">
      <c r="A69" s="4" t="s">
        <v>137</v>
      </c>
      <c r="B69" s="8" t="s">
        <v>138</v>
      </c>
      <c r="C69" s="5">
        <v>70459.253192055956</v>
      </c>
      <c r="D69" s="3" t="s">
        <v>471</v>
      </c>
      <c r="E69" s="15">
        <f t="shared" si="7"/>
        <v>11978.073042649514</v>
      </c>
      <c r="F69" s="15">
        <v>9700</v>
      </c>
      <c r="G69" s="16">
        <f t="shared" si="9"/>
        <v>48781.180149406442</v>
      </c>
      <c r="H69" s="17">
        <v>40700</v>
      </c>
      <c r="I69" s="16">
        <f t="shared" si="10"/>
        <v>8081.1801494064421</v>
      </c>
      <c r="J69" s="18">
        <f t="shared" si="11"/>
        <v>0.19855479482571112</v>
      </c>
      <c r="K69" s="18">
        <f t="shared" si="12"/>
        <v>0.11469295774933885</v>
      </c>
      <c r="L69" s="25">
        <f t="shared" si="13"/>
        <v>70518.073042649514</v>
      </c>
    </row>
    <row r="70" spans="1:12" ht="50.1" customHeight="1" x14ac:dyDescent="0.2">
      <c r="A70" s="4" t="s">
        <v>139</v>
      </c>
      <c r="B70" s="8" t="s">
        <v>140</v>
      </c>
      <c r="C70" s="5">
        <v>13217.251160301043</v>
      </c>
      <c r="D70" s="3" t="s">
        <v>467</v>
      </c>
      <c r="E70" s="15">
        <f t="shared" si="7"/>
        <v>2379.1052088541874</v>
      </c>
      <c r="F70" s="15">
        <f t="shared" si="8"/>
        <v>0</v>
      </c>
      <c r="G70" s="16">
        <f t="shared" si="9"/>
        <v>10838.145951446855</v>
      </c>
      <c r="H70" s="17">
        <v>9044</v>
      </c>
      <c r="I70" s="16">
        <f t="shared" si="10"/>
        <v>1794.1459514468552</v>
      </c>
      <c r="J70" s="18">
        <f t="shared" si="11"/>
        <v>0.19837969387957266</v>
      </c>
      <c r="K70" s="18">
        <f t="shared" si="12"/>
        <v>0.13574274481790136</v>
      </c>
      <c r="L70" s="25">
        <f t="shared" si="13"/>
        <v>13231.905208854187</v>
      </c>
    </row>
    <row r="71" spans="1:12" ht="50.1" customHeight="1" x14ac:dyDescent="0.2">
      <c r="A71" s="4" t="s">
        <v>141</v>
      </c>
      <c r="B71" s="8" t="s">
        <v>142</v>
      </c>
      <c r="C71" s="5">
        <v>3390.4521658106846</v>
      </c>
      <c r="D71" s="3" t="s">
        <v>469</v>
      </c>
      <c r="E71" s="15">
        <f t="shared" si="7"/>
        <v>1174.663303213496</v>
      </c>
      <c r="F71" s="15">
        <f t="shared" si="8"/>
        <v>0</v>
      </c>
      <c r="G71" s="16">
        <f t="shared" si="9"/>
        <v>2215.7888625971887</v>
      </c>
      <c r="H71" s="17">
        <v>1848</v>
      </c>
      <c r="I71" s="16">
        <f t="shared" si="10"/>
        <v>367.78886259718865</v>
      </c>
      <c r="J71" s="18">
        <f t="shared" si="11"/>
        <v>0.199019947292851</v>
      </c>
      <c r="K71" s="18">
        <f t="shared" si="12"/>
        <v>0.1084778208363979</v>
      </c>
      <c r="L71" s="25">
        <f t="shared" si="13"/>
        <v>3392.2633032134959</v>
      </c>
    </row>
    <row r="72" spans="1:12" ht="50.1" customHeight="1" x14ac:dyDescent="0.2">
      <c r="A72" s="4" t="s">
        <v>143</v>
      </c>
      <c r="B72" s="8" t="s">
        <v>144</v>
      </c>
      <c r="C72" s="5">
        <v>4327.3607757883547</v>
      </c>
      <c r="D72" s="3" t="s">
        <v>469</v>
      </c>
      <c r="E72" s="15">
        <f t="shared" si="7"/>
        <v>1305.8305086103696</v>
      </c>
      <c r="F72" s="15">
        <f t="shared" si="8"/>
        <v>0</v>
      </c>
      <c r="G72" s="16">
        <f t="shared" si="9"/>
        <v>3021.530267177985</v>
      </c>
      <c r="H72" s="17">
        <v>2520</v>
      </c>
      <c r="I72" s="16">
        <f t="shared" si="10"/>
        <v>501.53026717798502</v>
      </c>
      <c r="J72" s="18">
        <f t="shared" si="11"/>
        <v>0.19901994729285119</v>
      </c>
      <c r="K72" s="18">
        <f t="shared" si="12"/>
        <v>0.11589749345237264</v>
      </c>
      <c r="L72" s="25">
        <f t="shared" si="13"/>
        <v>4329.8305086103701</v>
      </c>
    </row>
    <row r="73" spans="1:12" ht="50.1" customHeight="1" x14ac:dyDescent="0.2">
      <c r="A73" s="4" t="s">
        <v>145</v>
      </c>
      <c r="B73" s="8" t="s">
        <v>146</v>
      </c>
      <c r="C73" s="5">
        <v>6084.0644194964852</v>
      </c>
      <c r="D73" s="3" t="s">
        <v>469</v>
      </c>
      <c r="E73" s="15">
        <f t="shared" ref="E73:E136" si="14">IF(D73&gt;"15%",C73*D73,IF(C73&gt;=19990,D73*C73,IF(C73&gt;=9990,D73*C73+1000,D73*C73+700)))</f>
        <v>1551.7690187295079</v>
      </c>
      <c r="F73" s="15">
        <f t="shared" si="8"/>
        <v>0</v>
      </c>
      <c r="G73" s="16">
        <f t="shared" si="9"/>
        <v>4532.2954007669778</v>
      </c>
      <c r="H73" s="17">
        <v>3780</v>
      </c>
      <c r="I73" s="16">
        <f t="shared" si="10"/>
        <v>752.29540076697776</v>
      </c>
      <c r="J73" s="18">
        <f t="shared" si="11"/>
        <v>0.19901994729285127</v>
      </c>
      <c r="K73" s="18">
        <f t="shared" si="12"/>
        <v>0.12365013729247092</v>
      </c>
      <c r="L73" s="25">
        <f t="shared" si="13"/>
        <v>6087.7690187295084</v>
      </c>
    </row>
    <row r="74" spans="1:12" ht="50.1" customHeight="1" x14ac:dyDescent="0.2">
      <c r="A74" s="4" t="s">
        <v>147</v>
      </c>
      <c r="B74" s="8" t="s">
        <v>148</v>
      </c>
      <c r="C74" s="5">
        <v>4620.1447164063766</v>
      </c>
      <c r="D74" s="3" t="s">
        <v>469</v>
      </c>
      <c r="E74" s="15">
        <f t="shared" si="14"/>
        <v>1346.8202602968927</v>
      </c>
      <c r="F74" s="15">
        <f t="shared" si="8"/>
        <v>0</v>
      </c>
      <c r="G74" s="16">
        <f t="shared" si="9"/>
        <v>3273.3244561094839</v>
      </c>
      <c r="H74" s="17">
        <v>2730</v>
      </c>
      <c r="I74" s="16">
        <f t="shared" si="10"/>
        <v>543.32445610948389</v>
      </c>
      <c r="J74" s="18">
        <f t="shared" si="11"/>
        <v>0.19901994729285125</v>
      </c>
      <c r="K74" s="18">
        <f t="shared" si="12"/>
        <v>0.11759901246818313</v>
      </c>
      <c r="L74" s="25">
        <f t="shared" si="13"/>
        <v>4622.8202602968922</v>
      </c>
    </row>
    <row r="75" spans="1:12" ht="50.1" customHeight="1" x14ac:dyDescent="0.2">
      <c r="A75" s="4" t="s">
        <v>149</v>
      </c>
      <c r="B75" s="8" t="s">
        <v>33</v>
      </c>
      <c r="C75" s="5">
        <v>11012.739300243195</v>
      </c>
      <c r="D75" s="3" t="s">
        <v>468</v>
      </c>
      <c r="E75" s="15">
        <f t="shared" si="14"/>
        <v>1762.0382880389111</v>
      </c>
      <c r="F75" s="15">
        <f t="shared" si="8"/>
        <v>0</v>
      </c>
      <c r="G75" s="16">
        <f t="shared" si="9"/>
        <v>9250.701012204283</v>
      </c>
      <c r="H75" s="17">
        <v>7717.15</v>
      </c>
      <c r="I75" s="16">
        <f t="shared" si="10"/>
        <v>1533.5510122042833</v>
      </c>
      <c r="J75" s="18">
        <f t="shared" si="11"/>
        <v>0.19871986578002027</v>
      </c>
      <c r="K75" s="18">
        <f t="shared" si="12"/>
        <v>0.1392524575761471</v>
      </c>
      <c r="L75" s="25">
        <f t="shared" si="13"/>
        <v>11022.618288038911</v>
      </c>
    </row>
    <row r="76" spans="1:12" ht="50.1" customHeight="1" x14ac:dyDescent="0.2">
      <c r="A76" s="4" t="s">
        <v>150</v>
      </c>
      <c r="B76" s="8" t="s">
        <v>39</v>
      </c>
      <c r="C76" s="5">
        <v>8759.907117688992</v>
      </c>
      <c r="D76" s="3" t="s">
        <v>467</v>
      </c>
      <c r="E76" s="15">
        <f t="shared" si="14"/>
        <v>1576.7832811840185</v>
      </c>
      <c r="F76" s="15">
        <f t="shared" si="8"/>
        <v>0</v>
      </c>
      <c r="G76" s="16">
        <f t="shared" si="9"/>
        <v>7183.123836504974</v>
      </c>
      <c r="H76" s="17">
        <v>5994.03</v>
      </c>
      <c r="I76" s="16">
        <f t="shared" si="10"/>
        <v>1189.0938365049742</v>
      </c>
      <c r="J76" s="18">
        <f t="shared" si="11"/>
        <v>0.19837969387957255</v>
      </c>
      <c r="K76" s="18">
        <f t="shared" si="12"/>
        <v>0.1357427448179013</v>
      </c>
      <c r="L76" s="25">
        <f t="shared" si="13"/>
        <v>8769.6192811840192</v>
      </c>
    </row>
    <row r="77" spans="1:12" ht="50.1" customHeight="1" x14ac:dyDescent="0.2">
      <c r="A77" s="4" t="s">
        <v>151</v>
      </c>
      <c r="B77" s="8" t="s">
        <v>152</v>
      </c>
      <c r="C77" s="5">
        <v>20932.257436979289</v>
      </c>
      <c r="D77" s="3" t="s">
        <v>468</v>
      </c>
      <c r="E77" s="15">
        <f t="shared" si="14"/>
        <v>3349.1611899166865</v>
      </c>
      <c r="F77" s="15">
        <v>5500</v>
      </c>
      <c r="G77" s="16">
        <f t="shared" si="9"/>
        <v>12083.096247062604</v>
      </c>
      <c r="H77" s="17">
        <v>10080</v>
      </c>
      <c r="I77" s="16">
        <f t="shared" si="10"/>
        <v>2003.0962470626037</v>
      </c>
      <c r="J77" s="18">
        <f t="shared" si="11"/>
        <v>0.19871986578002021</v>
      </c>
      <c r="K77" s="18">
        <f t="shared" si="12"/>
        <v>9.5694229496905536E-2</v>
      </c>
      <c r="L77" s="25">
        <f t="shared" si="13"/>
        <v>20945.161189916686</v>
      </c>
    </row>
    <row r="78" spans="1:12" ht="50.1" customHeight="1" x14ac:dyDescent="0.2">
      <c r="A78" s="4" t="s">
        <v>153</v>
      </c>
      <c r="B78" s="8" t="s">
        <v>154</v>
      </c>
      <c r="C78" s="5">
        <v>15428.469598397307</v>
      </c>
      <c r="D78" s="3" t="s">
        <v>470</v>
      </c>
      <c r="E78" s="15">
        <f t="shared" si="14"/>
        <v>2697.131655823704</v>
      </c>
      <c r="F78" s="15">
        <f t="shared" si="8"/>
        <v>0</v>
      </c>
      <c r="G78" s="16">
        <f t="shared" si="9"/>
        <v>12731.337942573602</v>
      </c>
      <c r="H78" s="17">
        <v>10614.8</v>
      </c>
      <c r="I78" s="16">
        <f t="shared" si="10"/>
        <v>2116.5379425736028</v>
      </c>
      <c r="J78" s="18">
        <f t="shared" si="11"/>
        <v>0.19939499025639701</v>
      </c>
      <c r="K78" s="18">
        <f t="shared" si="12"/>
        <v>0.13718392022456113</v>
      </c>
      <c r="L78" s="25">
        <f t="shared" si="13"/>
        <v>15434.891655823703</v>
      </c>
    </row>
    <row r="79" spans="1:12" ht="50.1" customHeight="1" x14ac:dyDescent="0.2">
      <c r="A79" s="4" t="s">
        <v>155</v>
      </c>
      <c r="B79" s="8" t="s">
        <v>156</v>
      </c>
      <c r="C79" s="5">
        <v>13078.122200718924</v>
      </c>
      <c r="D79" s="3" t="s">
        <v>467</v>
      </c>
      <c r="E79" s="15">
        <f t="shared" si="14"/>
        <v>2354.0619961294065</v>
      </c>
      <c r="F79" s="15">
        <f t="shared" si="8"/>
        <v>0</v>
      </c>
      <c r="G79" s="16">
        <f t="shared" si="9"/>
        <v>10724.060204589518</v>
      </c>
      <c r="H79" s="17">
        <v>8948.7999999999993</v>
      </c>
      <c r="I79" s="16">
        <f t="shared" si="10"/>
        <v>1775.2602045895183</v>
      </c>
      <c r="J79" s="18">
        <f t="shared" si="11"/>
        <v>0.19837969387957249</v>
      </c>
      <c r="K79" s="18">
        <f t="shared" si="12"/>
        <v>0.13574274481790127</v>
      </c>
      <c r="L79" s="25">
        <f t="shared" si="13"/>
        <v>13092.621996129406</v>
      </c>
    </row>
    <row r="80" spans="1:12" ht="50.1" customHeight="1" x14ac:dyDescent="0.2">
      <c r="A80" s="4" t="s">
        <v>157</v>
      </c>
      <c r="B80" s="8" t="s">
        <v>158</v>
      </c>
      <c r="C80" s="5">
        <v>13078.122200718924</v>
      </c>
      <c r="D80" s="3" t="s">
        <v>467</v>
      </c>
      <c r="E80" s="15">
        <f t="shared" si="14"/>
        <v>2354.0619961294065</v>
      </c>
      <c r="F80" s="15">
        <f t="shared" si="8"/>
        <v>0</v>
      </c>
      <c r="G80" s="16">
        <f t="shared" si="9"/>
        <v>10724.060204589518</v>
      </c>
      <c r="H80" s="17">
        <v>8948.7999999999993</v>
      </c>
      <c r="I80" s="16">
        <f t="shared" si="10"/>
        <v>1775.2602045895183</v>
      </c>
      <c r="J80" s="18">
        <f t="shared" si="11"/>
        <v>0.19837969387957249</v>
      </c>
      <c r="K80" s="18">
        <f t="shared" si="12"/>
        <v>0.13574274481790127</v>
      </c>
      <c r="L80" s="25">
        <f t="shared" si="13"/>
        <v>13092.621996129406</v>
      </c>
    </row>
    <row r="81" spans="1:12" ht="50.1" customHeight="1" x14ac:dyDescent="0.2">
      <c r="A81" s="4" t="s">
        <v>159</v>
      </c>
      <c r="B81" s="8" t="s">
        <v>160</v>
      </c>
      <c r="C81" s="5">
        <v>18426.036793990024</v>
      </c>
      <c r="D81" s="3" t="s">
        <v>468</v>
      </c>
      <c r="E81" s="15">
        <f t="shared" si="14"/>
        <v>2948.165887038404</v>
      </c>
      <c r="F81" s="15">
        <f t="shared" si="8"/>
        <v>0</v>
      </c>
      <c r="G81" s="16">
        <f t="shared" si="9"/>
        <v>15477.870906951621</v>
      </c>
      <c r="H81" s="17">
        <v>12912</v>
      </c>
      <c r="I81" s="16">
        <f t="shared" si="10"/>
        <v>2565.8709069516208</v>
      </c>
      <c r="J81" s="18">
        <f t="shared" si="11"/>
        <v>0.19871986578002021</v>
      </c>
      <c r="K81" s="18">
        <f t="shared" si="12"/>
        <v>0.13925245757614707</v>
      </c>
      <c r="L81" s="25">
        <f t="shared" si="13"/>
        <v>18442.565887038403</v>
      </c>
    </row>
    <row r="82" spans="1:12" ht="50.1" customHeight="1" x14ac:dyDescent="0.2">
      <c r="A82" s="4" t="s">
        <v>161</v>
      </c>
      <c r="B82" s="8" t="s">
        <v>162</v>
      </c>
      <c r="C82" s="5">
        <v>4912.9286570243985</v>
      </c>
      <c r="D82" s="3" t="s">
        <v>469</v>
      </c>
      <c r="E82" s="15">
        <f t="shared" si="14"/>
        <v>1387.8100119834157</v>
      </c>
      <c r="F82" s="15">
        <f t="shared" si="8"/>
        <v>0</v>
      </c>
      <c r="G82" s="16">
        <f t="shared" si="9"/>
        <v>3525.1186450409828</v>
      </c>
      <c r="H82" s="17">
        <v>2940</v>
      </c>
      <c r="I82" s="16">
        <f t="shared" si="10"/>
        <v>585.11864504098276</v>
      </c>
      <c r="J82" s="18">
        <f t="shared" si="11"/>
        <v>0.19901994729285127</v>
      </c>
      <c r="K82" s="18">
        <f t="shared" si="12"/>
        <v>0.11909772884741424</v>
      </c>
      <c r="L82" s="25">
        <f t="shared" si="13"/>
        <v>4915.8100119834162</v>
      </c>
    </row>
    <row r="83" spans="1:12" ht="50.1" customHeight="1" x14ac:dyDescent="0.2">
      <c r="A83" s="4" t="s">
        <v>163</v>
      </c>
      <c r="B83" s="8" t="s">
        <v>164</v>
      </c>
      <c r="C83" s="5">
        <v>5094.5594295650862</v>
      </c>
      <c r="D83" s="3" t="s">
        <v>468</v>
      </c>
      <c r="E83" s="15">
        <f t="shared" si="14"/>
        <v>815.12950873041382</v>
      </c>
      <c r="F83" s="15">
        <f t="shared" si="8"/>
        <v>0</v>
      </c>
      <c r="G83" s="16">
        <f t="shared" si="9"/>
        <v>4279.4299208346729</v>
      </c>
      <c r="H83" s="17">
        <v>3570</v>
      </c>
      <c r="I83" s="16">
        <f t="shared" si="10"/>
        <v>709.42992083467288</v>
      </c>
      <c r="J83" s="18">
        <f t="shared" si="11"/>
        <v>0.1987198657800204</v>
      </c>
      <c r="K83" s="18">
        <f t="shared" si="12"/>
        <v>0.13925245757614721</v>
      </c>
      <c r="L83" s="25">
        <f t="shared" si="13"/>
        <v>5099.1295087304134</v>
      </c>
    </row>
    <row r="84" spans="1:12" ht="50.1" customHeight="1" x14ac:dyDescent="0.2">
      <c r="A84" s="4" t="s">
        <v>165</v>
      </c>
      <c r="B84" s="8" t="s">
        <v>166</v>
      </c>
      <c r="C84" s="5">
        <v>6493.0659396417759</v>
      </c>
      <c r="D84" s="3" t="s">
        <v>468</v>
      </c>
      <c r="E84" s="15">
        <f t="shared" si="14"/>
        <v>1038.8905503426843</v>
      </c>
      <c r="F84" s="15">
        <f t="shared" si="8"/>
        <v>0</v>
      </c>
      <c r="G84" s="16">
        <f t="shared" si="9"/>
        <v>5454.1753892990919</v>
      </c>
      <c r="H84" s="17">
        <v>4550</v>
      </c>
      <c r="I84" s="16">
        <f t="shared" si="10"/>
        <v>904.17538929909188</v>
      </c>
      <c r="J84" s="18">
        <f t="shared" si="11"/>
        <v>0.19871986578002018</v>
      </c>
      <c r="K84" s="18">
        <f t="shared" si="12"/>
        <v>0.13925245757614707</v>
      </c>
      <c r="L84" s="25">
        <f t="shared" si="13"/>
        <v>6498.890550342684</v>
      </c>
    </row>
    <row r="85" spans="1:12" ht="50.1" customHeight="1" x14ac:dyDescent="0.2">
      <c r="A85" s="4" t="s">
        <v>167</v>
      </c>
      <c r="B85" s="8" t="s">
        <v>168</v>
      </c>
      <c r="C85" s="5">
        <v>8391.0390604601416</v>
      </c>
      <c r="D85" s="3" t="s">
        <v>468</v>
      </c>
      <c r="E85" s="15">
        <f t="shared" si="14"/>
        <v>1342.5662496736227</v>
      </c>
      <c r="F85" s="15">
        <f t="shared" si="8"/>
        <v>0</v>
      </c>
      <c r="G85" s="16">
        <f t="shared" si="9"/>
        <v>7048.4728107865194</v>
      </c>
      <c r="H85" s="17">
        <v>5880</v>
      </c>
      <c r="I85" s="16">
        <f t="shared" si="10"/>
        <v>1168.4728107865194</v>
      </c>
      <c r="J85" s="18">
        <f t="shared" si="11"/>
        <v>0.19871986578002029</v>
      </c>
      <c r="K85" s="18">
        <f t="shared" si="12"/>
        <v>0.13925245757614713</v>
      </c>
      <c r="L85" s="25">
        <f t="shared" si="13"/>
        <v>8398.5662496736222</v>
      </c>
    </row>
    <row r="86" spans="1:12" ht="50.1" customHeight="1" x14ac:dyDescent="0.2">
      <c r="A86" s="4" t="s">
        <v>169</v>
      </c>
      <c r="B86" s="8" t="s">
        <v>170</v>
      </c>
      <c r="C86" s="5">
        <v>8990.3989933501507</v>
      </c>
      <c r="D86" s="3" t="s">
        <v>468</v>
      </c>
      <c r="E86" s="15">
        <f t="shared" si="14"/>
        <v>1438.4638389360241</v>
      </c>
      <c r="F86" s="15">
        <f t="shared" si="8"/>
        <v>0</v>
      </c>
      <c r="G86" s="16">
        <f t="shared" si="9"/>
        <v>7551.9351544141264</v>
      </c>
      <c r="H86" s="17">
        <v>6300</v>
      </c>
      <c r="I86" s="16">
        <f t="shared" si="10"/>
        <v>1251.9351544141264</v>
      </c>
      <c r="J86" s="18">
        <f t="shared" si="11"/>
        <v>0.19871986578002007</v>
      </c>
      <c r="K86" s="18">
        <f t="shared" si="12"/>
        <v>0.13925245757614699</v>
      </c>
      <c r="L86" s="25">
        <f t="shared" si="13"/>
        <v>8998.4638389360243</v>
      </c>
    </row>
    <row r="87" spans="1:12" ht="50.1" customHeight="1" x14ac:dyDescent="0.2">
      <c r="A87" s="4" t="s">
        <v>171</v>
      </c>
      <c r="B87" s="8" t="s">
        <v>172</v>
      </c>
      <c r="C87" s="5">
        <v>4956.469185112891</v>
      </c>
      <c r="D87" s="3" t="s">
        <v>467</v>
      </c>
      <c r="E87" s="15">
        <f t="shared" si="14"/>
        <v>892.16445332032038</v>
      </c>
      <c r="F87" s="15">
        <f t="shared" si="8"/>
        <v>0</v>
      </c>
      <c r="G87" s="16">
        <f t="shared" si="9"/>
        <v>4064.3047317925707</v>
      </c>
      <c r="H87" s="17">
        <v>3391.5</v>
      </c>
      <c r="I87" s="16">
        <f t="shared" si="10"/>
        <v>672.80473179257069</v>
      </c>
      <c r="J87" s="18">
        <f t="shared" si="11"/>
        <v>0.19837969387957266</v>
      </c>
      <c r="K87" s="18">
        <f t="shared" si="12"/>
        <v>0.13574274481790136</v>
      </c>
      <c r="L87" s="25">
        <f t="shared" si="13"/>
        <v>4961.9644533203209</v>
      </c>
    </row>
    <row r="88" spans="1:12" ht="50.1" customHeight="1" x14ac:dyDescent="0.2">
      <c r="A88" s="4" t="s">
        <v>173</v>
      </c>
      <c r="B88" s="8" t="s">
        <v>174</v>
      </c>
      <c r="C88" s="5">
        <v>4956.469185112891</v>
      </c>
      <c r="D88" s="3" t="s">
        <v>467</v>
      </c>
      <c r="E88" s="15">
        <f t="shared" si="14"/>
        <v>892.16445332032038</v>
      </c>
      <c r="F88" s="15">
        <f t="shared" si="8"/>
        <v>0</v>
      </c>
      <c r="G88" s="16">
        <f t="shared" si="9"/>
        <v>4064.3047317925707</v>
      </c>
      <c r="H88" s="17">
        <v>3391.5</v>
      </c>
      <c r="I88" s="16">
        <f t="shared" si="10"/>
        <v>672.80473179257069</v>
      </c>
      <c r="J88" s="18">
        <f t="shared" si="11"/>
        <v>0.19837969387957266</v>
      </c>
      <c r="K88" s="18">
        <f t="shared" si="12"/>
        <v>0.13574274481790136</v>
      </c>
      <c r="L88" s="25">
        <f t="shared" si="13"/>
        <v>4961.9644533203209</v>
      </c>
    </row>
    <row r="89" spans="1:12" ht="50.1" customHeight="1" x14ac:dyDescent="0.2">
      <c r="A89" s="4" t="s">
        <v>175</v>
      </c>
      <c r="B89" s="8" t="s">
        <v>176</v>
      </c>
      <c r="C89" s="5">
        <v>4327.3607757883547</v>
      </c>
      <c r="D89" s="3" t="s">
        <v>469</v>
      </c>
      <c r="E89" s="15">
        <f t="shared" si="14"/>
        <v>1305.8305086103696</v>
      </c>
      <c r="F89" s="15">
        <f t="shared" si="8"/>
        <v>0</v>
      </c>
      <c r="G89" s="16">
        <f t="shared" si="9"/>
        <v>3021.530267177985</v>
      </c>
      <c r="H89" s="17">
        <v>2520</v>
      </c>
      <c r="I89" s="16">
        <f t="shared" si="10"/>
        <v>501.53026717798502</v>
      </c>
      <c r="J89" s="18">
        <f t="shared" si="11"/>
        <v>0.19901994729285119</v>
      </c>
      <c r="K89" s="18">
        <f t="shared" si="12"/>
        <v>0.11589749345237264</v>
      </c>
      <c r="L89" s="25">
        <f t="shared" si="13"/>
        <v>4329.8305086103701</v>
      </c>
    </row>
    <row r="90" spans="1:12" ht="50.1" customHeight="1" x14ac:dyDescent="0.2">
      <c r="A90" s="4" t="s">
        <v>177</v>
      </c>
      <c r="B90" s="8" t="s">
        <v>178</v>
      </c>
      <c r="C90" s="5">
        <v>2921.9978608218503</v>
      </c>
      <c r="D90" s="3" t="s">
        <v>469</v>
      </c>
      <c r="E90" s="15">
        <f t="shared" si="14"/>
        <v>1109.0797005150591</v>
      </c>
      <c r="F90" s="15">
        <f t="shared" si="8"/>
        <v>0</v>
      </c>
      <c r="G90" s="16">
        <f t="shared" si="9"/>
        <v>1812.9181603067912</v>
      </c>
      <c r="H90" s="17">
        <v>1512</v>
      </c>
      <c r="I90" s="16">
        <f t="shared" si="10"/>
        <v>300.91816030679115</v>
      </c>
      <c r="J90" s="18">
        <f t="shared" si="11"/>
        <v>0.1990199472928513</v>
      </c>
      <c r="K90" s="18">
        <f t="shared" si="12"/>
        <v>0.1029837031510194</v>
      </c>
      <c r="L90" s="25">
        <f t="shared" si="13"/>
        <v>2923.479700515059</v>
      </c>
    </row>
    <row r="91" spans="1:12" ht="50.1" customHeight="1" x14ac:dyDescent="0.2">
      <c r="A91" s="4" t="s">
        <v>179</v>
      </c>
      <c r="B91" s="8" t="s">
        <v>180</v>
      </c>
      <c r="C91" s="5">
        <v>2921.9978608218503</v>
      </c>
      <c r="D91" s="3" t="s">
        <v>469</v>
      </c>
      <c r="E91" s="15">
        <f t="shared" si="14"/>
        <v>1109.0797005150591</v>
      </c>
      <c r="F91" s="15">
        <f t="shared" si="8"/>
        <v>0</v>
      </c>
      <c r="G91" s="16">
        <f t="shared" si="9"/>
        <v>1812.9181603067912</v>
      </c>
      <c r="H91" s="17">
        <v>1512</v>
      </c>
      <c r="I91" s="16">
        <f t="shared" si="10"/>
        <v>300.91816030679115</v>
      </c>
      <c r="J91" s="18">
        <f t="shared" si="11"/>
        <v>0.1990199472928513</v>
      </c>
      <c r="K91" s="18">
        <f t="shared" si="12"/>
        <v>0.1029837031510194</v>
      </c>
      <c r="L91" s="25">
        <f t="shared" si="13"/>
        <v>2923.479700515059</v>
      </c>
    </row>
    <row r="92" spans="1:12" ht="50.1" customHeight="1" x14ac:dyDescent="0.2">
      <c r="A92" s="4" t="s">
        <v>181</v>
      </c>
      <c r="B92" s="8" t="s">
        <v>182</v>
      </c>
      <c r="C92" s="5">
        <v>2921.9978608218503</v>
      </c>
      <c r="D92" s="3" t="s">
        <v>469</v>
      </c>
      <c r="E92" s="15">
        <f t="shared" si="14"/>
        <v>1109.0797005150591</v>
      </c>
      <c r="F92" s="15">
        <f t="shared" si="8"/>
        <v>0</v>
      </c>
      <c r="G92" s="16">
        <f t="shared" si="9"/>
        <v>1812.9181603067912</v>
      </c>
      <c r="H92" s="17">
        <v>1512</v>
      </c>
      <c r="I92" s="16">
        <f t="shared" si="10"/>
        <v>300.91816030679115</v>
      </c>
      <c r="J92" s="18">
        <f t="shared" si="11"/>
        <v>0.1990199472928513</v>
      </c>
      <c r="K92" s="18">
        <f t="shared" si="12"/>
        <v>0.1029837031510194</v>
      </c>
      <c r="L92" s="25">
        <f t="shared" si="13"/>
        <v>2923.479700515059</v>
      </c>
    </row>
    <row r="93" spans="1:12" ht="50.1" customHeight="1" x14ac:dyDescent="0.2">
      <c r="A93" s="4" t="s">
        <v>183</v>
      </c>
      <c r="B93" s="8" t="s">
        <v>184</v>
      </c>
      <c r="C93" s="5">
        <v>5498.4965382604423</v>
      </c>
      <c r="D93" s="3" t="s">
        <v>469</v>
      </c>
      <c r="E93" s="15">
        <f t="shared" si="14"/>
        <v>1469.7895153564618</v>
      </c>
      <c r="F93" s="15">
        <f t="shared" si="8"/>
        <v>0</v>
      </c>
      <c r="G93" s="16">
        <f t="shared" si="9"/>
        <v>4028.7070229039805</v>
      </c>
      <c r="H93" s="17">
        <v>3360</v>
      </c>
      <c r="I93" s="16">
        <f t="shared" si="10"/>
        <v>668.70702290398049</v>
      </c>
      <c r="J93" s="18">
        <f t="shared" si="11"/>
        <v>0.19901994729285133</v>
      </c>
      <c r="K93" s="18">
        <f t="shared" si="12"/>
        <v>0.12161633971229872</v>
      </c>
      <c r="L93" s="25">
        <f t="shared" si="13"/>
        <v>5501.7895153564623</v>
      </c>
    </row>
    <row r="94" spans="1:12" ht="50.1" customHeight="1" x14ac:dyDescent="0.2">
      <c r="A94" s="4" t="s">
        <v>185</v>
      </c>
      <c r="B94" s="8" t="s">
        <v>186</v>
      </c>
      <c r="C94" s="5">
        <v>4327.3607757883547</v>
      </c>
      <c r="D94" s="3" t="s">
        <v>469</v>
      </c>
      <c r="E94" s="15">
        <f t="shared" si="14"/>
        <v>1305.8305086103696</v>
      </c>
      <c r="F94" s="15">
        <f t="shared" si="8"/>
        <v>0</v>
      </c>
      <c r="G94" s="16">
        <f t="shared" si="9"/>
        <v>3021.530267177985</v>
      </c>
      <c r="H94" s="17">
        <v>2520</v>
      </c>
      <c r="I94" s="16">
        <f t="shared" si="10"/>
        <v>501.53026717798502</v>
      </c>
      <c r="J94" s="18">
        <f t="shared" si="11"/>
        <v>0.19901994729285119</v>
      </c>
      <c r="K94" s="18">
        <f t="shared" si="12"/>
        <v>0.11589749345237264</v>
      </c>
      <c r="L94" s="25">
        <f t="shared" si="13"/>
        <v>4329.8305086103701</v>
      </c>
    </row>
    <row r="95" spans="1:12" ht="50.1" customHeight="1" x14ac:dyDescent="0.2">
      <c r="A95" s="4" t="s">
        <v>187</v>
      </c>
      <c r="B95" s="8" t="s">
        <v>188</v>
      </c>
      <c r="C95" s="5">
        <v>27638.160274048649</v>
      </c>
      <c r="D95" s="3" t="s">
        <v>472</v>
      </c>
      <c r="E95" s="15">
        <f t="shared" si="14"/>
        <v>3592.9608356263243</v>
      </c>
      <c r="F95" s="15">
        <v>3000</v>
      </c>
      <c r="G95" s="16">
        <f t="shared" si="9"/>
        <v>21045.199438422325</v>
      </c>
      <c r="H95" s="17">
        <f>16759*1.19*0.88</f>
        <v>17550.024799999999</v>
      </c>
      <c r="I95" s="16">
        <f t="shared" si="10"/>
        <v>3495.1746384223261</v>
      </c>
      <c r="J95" s="18">
        <f t="shared" si="11"/>
        <v>0.19915496862558998</v>
      </c>
      <c r="K95" s="18">
        <f t="shared" si="12"/>
        <v>0.12646191366449899</v>
      </c>
      <c r="L95" s="25">
        <f t="shared" si="13"/>
        <v>27652.990595626325</v>
      </c>
    </row>
    <row r="96" spans="1:12" ht="50.1" customHeight="1" x14ac:dyDescent="0.2">
      <c r="A96" s="4" t="s">
        <v>189</v>
      </c>
      <c r="B96" s="8" t="s">
        <v>190</v>
      </c>
      <c r="C96" s="5">
        <v>19795.964014141406</v>
      </c>
      <c r="D96" s="3" t="s">
        <v>467</v>
      </c>
      <c r="E96" s="15">
        <f t="shared" si="14"/>
        <v>3563.273522545453</v>
      </c>
      <c r="F96" s="15">
        <f t="shared" si="8"/>
        <v>0</v>
      </c>
      <c r="G96" s="16">
        <f t="shared" si="9"/>
        <v>16232.690491595953</v>
      </c>
      <c r="H96" s="17">
        <f>12935*1.19*0.88</f>
        <v>13545.531999999999</v>
      </c>
      <c r="I96" s="16">
        <f t="shared" si="10"/>
        <v>2687.1584915959538</v>
      </c>
      <c r="J96" s="18">
        <f t="shared" si="11"/>
        <v>0.19837969387957255</v>
      </c>
      <c r="K96" s="18">
        <f t="shared" si="12"/>
        <v>0.1357427448179013</v>
      </c>
      <c r="L96" s="25">
        <f t="shared" si="13"/>
        <v>19817.911922545452</v>
      </c>
    </row>
    <row r="97" spans="1:12" ht="50.1" customHeight="1" x14ac:dyDescent="0.2">
      <c r="A97" s="4" t="s">
        <v>191</v>
      </c>
      <c r="B97" s="8" t="s">
        <v>192</v>
      </c>
      <c r="C97" s="5" t="e">
        <v>#VALUE!</v>
      </c>
      <c r="D97" s="3" t="s">
        <v>467</v>
      </c>
      <c r="E97" s="15" t="e">
        <f t="shared" si="14"/>
        <v>#VALUE!</v>
      </c>
      <c r="F97" s="15" t="e">
        <f t="shared" si="8"/>
        <v>#VALUE!</v>
      </c>
      <c r="G97" s="16" t="e">
        <f t="shared" si="9"/>
        <v>#VALUE!</v>
      </c>
      <c r="H97" s="17">
        <f>13524*1.19*0.88</f>
        <v>14162.3328</v>
      </c>
      <c r="I97" s="16" t="e">
        <f t="shared" si="10"/>
        <v>#VALUE!</v>
      </c>
      <c r="J97" s="18" t="e">
        <f t="shared" si="11"/>
        <v>#VALUE!</v>
      </c>
      <c r="K97" s="18" t="e">
        <f t="shared" si="12"/>
        <v>#VALUE!</v>
      </c>
      <c r="L97" s="25" t="e">
        <f t="shared" si="13"/>
        <v>#VALUE!</v>
      </c>
    </row>
    <row r="98" spans="1:12" ht="50.1" customHeight="1" x14ac:dyDescent="0.2">
      <c r="A98" s="4" t="s">
        <v>193</v>
      </c>
      <c r="B98" s="8" t="s">
        <v>194</v>
      </c>
      <c r="C98" s="5">
        <v>17996.191792987152</v>
      </c>
      <c r="D98" s="3" t="s">
        <v>467</v>
      </c>
      <c r="E98" s="15">
        <f t="shared" si="14"/>
        <v>3239.3145227376872</v>
      </c>
      <c r="F98" s="15">
        <f t="shared" si="8"/>
        <v>0</v>
      </c>
      <c r="G98" s="16">
        <f t="shared" si="9"/>
        <v>14756.877270249464</v>
      </c>
      <c r="H98" s="17">
        <f>11759*1.19*0.88</f>
        <v>12314.024799999999</v>
      </c>
      <c r="I98" s="16">
        <f t="shared" si="10"/>
        <v>2442.8524702494651</v>
      </c>
      <c r="J98" s="18">
        <f t="shared" si="11"/>
        <v>0.19837969387957261</v>
      </c>
      <c r="K98" s="18">
        <f t="shared" si="12"/>
        <v>0.13574274481790133</v>
      </c>
      <c r="L98" s="25">
        <f t="shared" si="13"/>
        <v>18016.144282737689</v>
      </c>
    </row>
    <row r="99" spans="1:12" ht="50.1" customHeight="1" x14ac:dyDescent="0.2">
      <c r="A99" s="4" t="s">
        <v>195</v>
      </c>
      <c r="B99" s="8" t="s">
        <v>196</v>
      </c>
      <c r="C99" s="5">
        <v>9892.6255421267924</v>
      </c>
      <c r="D99" s="3" t="s">
        <v>467</v>
      </c>
      <c r="E99" s="15">
        <f t="shared" si="14"/>
        <v>1780.6725975828226</v>
      </c>
      <c r="F99" s="15">
        <f t="shared" si="8"/>
        <v>0</v>
      </c>
      <c r="G99" s="16">
        <f t="shared" si="9"/>
        <v>8111.9529445439694</v>
      </c>
      <c r="H99" s="17">
        <f>6464*1.19*0.88</f>
        <v>6769.1008000000002</v>
      </c>
      <c r="I99" s="16">
        <f t="shared" si="10"/>
        <v>1342.8521445439692</v>
      </c>
      <c r="J99" s="18">
        <f t="shared" si="11"/>
        <v>0.19837969387957247</v>
      </c>
      <c r="K99" s="18">
        <f t="shared" si="12"/>
        <v>0.13574274481790125</v>
      </c>
      <c r="L99" s="25">
        <f t="shared" si="13"/>
        <v>9903.5935575828225</v>
      </c>
    </row>
    <row r="100" spans="1:12" ht="50.1" customHeight="1" x14ac:dyDescent="0.2">
      <c r="A100" s="4" t="s">
        <v>197</v>
      </c>
      <c r="B100" s="8" t="s">
        <v>198</v>
      </c>
      <c r="C100" s="5">
        <v>17996.191792987152</v>
      </c>
      <c r="D100" s="3" t="s">
        <v>467</v>
      </c>
      <c r="E100" s="15">
        <f t="shared" si="14"/>
        <v>3239.3145227376872</v>
      </c>
      <c r="F100" s="15">
        <f t="shared" si="8"/>
        <v>0</v>
      </c>
      <c r="G100" s="16">
        <f t="shared" si="9"/>
        <v>14756.877270249464</v>
      </c>
      <c r="H100" s="17">
        <f>11759*1.19*0.88</f>
        <v>12314.024799999999</v>
      </c>
      <c r="I100" s="16">
        <f t="shared" si="10"/>
        <v>2442.8524702494651</v>
      </c>
      <c r="J100" s="18">
        <f t="shared" si="11"/>
        <v>0.19837969387957261</v>
      </c>
      <c r="K100" s="18">
        <f t="shared" si="12"/>
        <v>0.13574274481790133</v>
      </c>
      <c r="L100" s="25">
        <f t="shared" si="13"/>
        <v>18016.144282737689</v>
      </c>
    </row>
    <row r="101" spans="1:12" ht="50.1" customHeight="1" x14ac:dyDescent="0.2">
      <c r="A101" s="4" t="s">
        <v>199</v>
      </c>
      <c r="B101" s="8" t="s">
        <v>200</v>
      </c>
      <c r="C101" s="5">
        <v>17996.191792987152</v>
      </c>
      <c r="D101" s="3" t="s">
        <v>467</v>
      </c>
      <c r="E101" s="15">
        <f t="shared" si="14"/>
        <v>3239.3145227376872</v>
      </c>
      <c r="F101" s="15">
        <f t="shared" si="8"/>
        <v>0</v>
      </c>
      <c r="G101" s="16">
        <f t="shared" si="9"/>
        <v>14756.877270249464</v>
      </c>
      <c r="H101" s="17">
        <f>11759*1.19*0.88</f>
        <v>12314.024799999999</v>
      </c>
      <c r="I101" s="16">
        <f t="shared" si="10"/>
        <v>2442.8524702494651</v>
      </c>
      <c r="J101" s="18">
        <f t="shared" si="11"/>
        <v>0.19837969387957261</v>
      </c>
      <c r="K101" s="18">
        <f t="shared" si="12"/>
        <v>0.13574274481790133</v>
      </c>
      <c r="L101" s="25">
        <f t="shared" si="13"/>
        <v>18016.144282737689</v>
      </c>
    </row>
    <row r="102" spans="1:12" ht="50.1" customHeight="1" x14ac:dyDescent="0.2">
      <c r="A102" s="4" t="s">
        <v>201</v>
      </c>
      <c r="B102" s="8" t="s">
        <v>202</v>
      </c>
      <c r="C102" s="5">
        <v>9892.6255421267924</v>
      </c>
      <c r="D102" s="3" t="s">
        <v>467</v>
      </c>
      <c r="E102" s="15">
        <f t="shared" si="14"/>
        <v>1780.6725975828226</v>
      </c>
      <c r="F102" s="15">
        <f t="shared" si="8"/>
        <v>0</v>
      </c>
      <c r="G102" s="16">
        <f t="shared" si="9"/>
        <v>8111.9529445439694</v>
      </c>
      <c r="H102" s="17">
        <f>6464*1.19*0.88</f>
        <v>6769.1008000000002</v>
      </c>
      <c r="I102" s="16">
        <f t="shared" si="10"/>
        <v>1342.8521445439692</v>
      </c>
      <c r="J102" s="18">
        <f t="shared" si="11"/>
        <v>0.19837969387957247</v>
      </c>
      <c r="K102" s="18">
        <f t="shared" si="12"/>
        <v>0.13574274481790125</v>
      </c>
      <c r="L102" s="25">
        <f t="shared" si="13"/>
        <v>9903.5935575828225</v>
      </c>
    </row>
    <row r="103" spans="1:12" ht="50.1" customHeight="1" x14ac:dyDescent="0.2">
      <c r="A103" s="4" t="s">
        <v>203</v>
      </c>
      <c r="B103" s="8" t="s">
        <v>204</v>
      </c>
      <c r="C103" s="5">
        <v>19795.964014141406</v>
      </c>
      <c r="D103" s="3" t="s">
        <v>467</v>
      </c>
      <c r="E103" s="15">
        <f t="shared" si="14"/>
        <v>3563.273522545453</v>
      </c>
      <c r="F103" s="15">
        <v>0</v>
      </c>
      <c r="G103" s="16">
        <f t="shared" si="9"/>
        <v>16232.690491595953</v>
      </c>
      <c r="H103" s="17">
        <f>12935*1.19*0.88</f>
        <v>13545.531999999999</v>
      </c>
      <c r="I103" s="16">
        <f t="shared" si="10"/>
        <v>2687.1584915959538</v>
      </c>
      <c r="J103" s="18">
        <f t="shared" si="11"/>
        <v>0.19837969387957255</v>
      </c>
      <c r="K103" s="18">
        <f t="shared" si="12"/>
        <v>0.1357427448179013</v>
      </c>
      <c r="L103" s="25">
        <f t="shared" si="13"/>
        <v>19817.911922545452</v>
      </c>
    </row>
    <row r="104" spans="1:12" ht="50.1" customHeight="1" x14ac:dyDescent="0.2">
      <c r="A104" s="4" t="s">
        <v>205</v>
      </c>
      <c r="B104" s="8" t="s">
        <v>206</v>
      </c>
      <c r="C104" s="5">
        <v>20697.380543273939</v>
      </c>
      <c r="D104" s="3" t="s">
        <v>467</v>
      </c>
      <c r="E104" s="15">
        <f t="shared" si="14"/>
        <v>3725.5284977893089</v>
      </c>
      <c r="F104" s="15">
        <v>0</v>
      </c>
      <c r="G104" s="16">
        <f t="shared" si="9"/>
        <v>16971.852045484629</v>
      </c>
      <c r="H104" s="17">
        <f>13524*1.19*0.88</f>
        <v>14162.3328</v>
      </c>
      <c r="I104" s="16">
        <f t="shared" si="10"/>
        <v>2809.5192454846292</v>
      </c>
      <c r="J104" s="18">
        <f t="shared" si="11"/>
        <v>0.19837969387957252</v>
      </c>
      <c r="K104" s="18">
        <f t="shared" si="12"/>
        <v>0.13574274481790127</v>
      </c>
      <c r="L104" s="25">
        <f t="shared" si="13"/>
        <v>20720.327857789311</v>
      </c>
    </row>
    <row r="105" spans="1:12" ht="50.1" customHeight="1" x14ac:dyDescent="0.2">
      <c r="A105" s="4" t="s">
        <v>207</v>
      </c>
      <c r="B105" s="8" t="s">
        <v>208</v>
      </c>
      <c r="C105" s="5">
        <v>17996.191792987152</v>
      </c>
      <c r="D105" s="3" t="s">
        <v>467</v>
      </c>
      <c r="E105" s="15">
        <f t="shared" si="14"/>
        <v>3239.3145227376872</v>
      </c>
      <c r="F105" s="15">
        <f t="shared" ref="F105:F164" si="15">IF(C105&gt;=19990,"ACTIVAR",0)</f>
        <v>0</v>
      </c>
      <c r="G105" s="16">
        <f t="shared" si="9"/>
        <v>14756.877270249464</v>
      </c>
      <c r="H105" s="17">
        <f>11759*1.19*0.88</f>
        <v>12314.024799999999</v>
      </c>
      <c r="I105" s="16">
        <f t="shared" si="10"/>
        <v>2442.8524702494651</v>
      </c>
      <c r="J105" s="18">
        <f t="shared" si="11"/>
        <v>0.19837969387957261</v>
      </c>
      <c r="K105" s="18">
        <f t="shared" si="12"/>
        <v>0.13574274481790133</v>
      </c>
      <c r="L105" s="25">
        <f t="shared" si="13"/>
        <v>18016.144282737689</v>
      </c>
    </row>
    <row r="106" spans="1:12" ht="50.1" customHeight="1" x14ac:dyDescent="0.2">
      <c r="A106" s="4" t="s">
        <v>209</v>
      </c>
      <c r="B106" s="4" t="s">
        <v>210</v>
      </c>
      <c r="C106" s="5">
        <v>6278.3404450081016</v>
      </c>
      <c r="D106" s="3" t="s">
        <v>467</v>
      </c>
      <c r="E106" s="15">
        <f t="shared" si="14"/>
        <v>1130.1012801014583</v>
      </c>
      <c r="F106" s="15">
        <f t="shared" si="15"/>
        <v>0</v>
      </c>
      <c r="G106" s="16">
        <f t="shared" si="9"/>
        <v>5148.2391649066431</v>
      </c>
      <c r="H106" s="17">
        <v>4296</v>
      </c>
      <c r="I106" s="16">
        <f t="shared" si="10"/>
        <v>852.23916490664305</v>
      </c>
      <c r="J106" s="18">
        <f t="shared" si="11"/>
        <v>0.19837969387957241</v>
      </c>
      <c r="K106" s="18">
        <f t="shared" si="12"/>
        <v>0.13574274481790122</v>
      </c>
      <c r="L106" s="25">
        <f t="shared" si="13"/>
        <v>6285.3012801014584</v>
      </c>
    </row>
    <row r="107" spans="1:12" ht="50.1" customHeight="1" x14ac:dyDescent="0.2">
      <c r="A107" s="4" t="s">
        <v>211</v>
      </c>
      <c r="B107" s="4" t="s">
        <v>212</v>
      </c>
      <c r="C107" s="5">
        <v>9086.8601727069654</v>
      </c>
      <c r="D107" s="3" t="s">
        <v>467</v>
      </c>
      <c r="E107" s="15">
        <f t="shared" si="14"/>
        <v>1635.6348310872538</v>
      </c>
      <c r="F107" s="15">
        <f t="shared" si="15"/>
        <v>0</v>
      </c>
      <c r="G107" s="16">
        <f t="shared" si="9"/>
        <v>7451.2253416197118</v>
      </c>
      <c r="H107" s="17">
        <v>6217.75</v>
      </c>
      <c r="I107" s="16">
        <f t="shared" si="10"/>
        <v>1233.4753416197118</v>
      </c>
      <c r="J107" s="18">
        <f t="shared" si="11"/>
        <v>0.19837969387957249</v>
      </c>
      <c r="K107" s="18">
        <f t="shared" si="12"/>
        <v>0.13574274481790127</v>
      </c>
      <c r="L107" s="25">
        <f t="shared" si="13"/>
        <v>9096.9348310872538</v>
      </c>
    </row>
    <row r="108" spans="1:12" ht="50.1" customHeight="1" x14ac:dyDescent="0.2">
      <c r="A108" s="4" t="s">
        <v>213</v>
      </c>
      <c r="B108" s="4" t="s">
        <v>214</v>
      </c>
      <c r="C108" s="5">
        <v>8466.915441705014</v>
      </c>
      <c r="D108" s="3" t="s">
        <v>467</v>
      </c>
      <c r="E108" s="15">
        <f t="shared" si="14"/>
        <v>1524.0447795069024</v>
      </c>
      <c r="F108" s="15">
        <f t="shared" si="15"/>
        <v>0</v>
      </c>
      <c r="G108" s="16">
        <f t="shared" si="9"/>
        <v>6942.8706621981119</v>
      </c>
      <c r="H108" s="17">
        <v>5793.5483199999999</v>
      </c>
      <c r="I108" s="16">
        <f t="shared" si="10"/>
        <v>1149.322342198112</v>
      </c>
      <c r="J108" s="18">
        <f t="shared" si="11"/>
        <v>0.19837969387957258</v>
      </c>
      <c r="K108" s="18">
        <f t="shared" si="12"/>
        <v>0.13574274481790133</v>
      </c>
      <c r="L108" s="25">
        <f t="shared" si="13"/>
        <v>8476.3027635069011</v>
      </c>
    </row>
    <row r="109" spans="1:12" ht="50.1" customHeight="1" x14ac:dyDescent="0.2">
      <c r="A109" s="4" t="s">
        <v>215</v>
      </c>
      <c r="B109" s="4" t="s">
        <v>216</v>
      </c>
      <c r="C109" s="5">
        <v>3895.8395637850658</v>
      </c>
      <c r="D109" s="3" t="s">
        <v>468</v>
      </c>
      <c r="E109" s="15">
        <f t="shared" si="14"/>
        <v>623.33433020561051</v>
      </c>
      <c r="F109" s="15">
        <f t="shared" si="15"/>
        <v>0</v>
      </c>
      <c r="G109" s="16">
        <f t="shared" si="9"/>
        <v>3272.5052335794553</v>
      </c>
      <c r="H109" s="17">
        <v>2730</v>
      </c>
      <c r="I109" s="16">
        <f t="shared" si="10"/>
        <v>542.50523357945531</v>
      </c>
      <c r="J109" s="18">
        <f t="shared" si="11"/>
        <v>0.19871986578002027</v>
      </c>
      <c r="K109" s="18">
        <f t="shared" si="12"/>
        <v>0.1392524575761471</v>
      </c>
      <c r="L109" s="25">
        <f t="shared" si="13"/>
        <v>3899.3343302056105</v>
      </c>
    </row>
    <row r="110" spans="1:12" ht="50.1" customHeight="1" x14ac:dyDescent="0.2">
      <c r="A110" s="4" t="s">
        <v>217</v>
      </c>
      <c r="B110" s="4" t="s">
        <v>218</v>
      </c>
      <c r="C110" s="5">
        <v>8994.9879378745172</v>
      </c>
      <c r="D110" s="3" t="s">
        <v>473</v>
      </c>
      <c r="E110" s="15">
        <f t="shared" si="14"/>
        <v>2049.2481906811772</v>
      </c>
      <c r="F110" s="15">
        <f t="shared" si="15"/>
        <v>0</v>
      </c>
      <c r="G110" s="16">
        <f t="shared" si="9"/>
        <v>6945.73974719334</v>
      </c>
      <c r="H110" s="17">
        <v>5793.5483199999999</v>
      </c>
      <c r="I110" s="16">
        <f t="shared" si="10"/>
        <v>1152.1914271933401</v>
      </c>
      <c r="J110" s="18">
        <f t="shared" si="11"/>
        <v>0.19887491456933945</v>
      </c>
      <c r="K110" s="18">
        <f t="shared" si="12"/>
        <v>0.12809260392022256</v>
      </c>
      <c r="L110" s="25">
        <f t="shared" si="13"/>
        <v>9001.5061746811771</v>
      </c>
    </row>
    <row r="111" spans="1:12" ht="50.1" customHeight="1" x14ac:dyDescent="0.2">
      <c r="A111" s="4" t="s">
        <v>219</v>
      </c>
      <c r="B111" s="4" t="s">
        <v>220</v>
      </c>
      <c r="C111" s="5">
        <v>11087.935045688191</v>
      </c>
      <c r="D111" s="3" t="s">
        <v>467</v>
      </c>
      <c r="E111" s="15">
        <f t="shared" si="14"/>
        <v>1995.8283082238743</v>
      </c>
      <c r="F111" s="15">
        <f t="shared" si="15"/>
        <v>0</v>
      </c>
      <c r="G111" s="16">
        <f t="shared" si="9"/>
        <v>9092.1067374643171</v>
      </c>
      <c r="H111" s="17">
        <v>7587</v>
      </c>
      <c r="I111" s="16">
        <f t="shared" si="10"/>
        <v>1505.1067374643171</v>
      </c>
      <c r="J111" s="18">
        <f t="shared" si="11"/>
        <v>0.19837969387957258</v>
      </c>
      <c r="K111" s="18">
        <f t="shared" si="12"/>
        <v>0.13574274481790133</v>
      </c>
      <c r="L111" s="25">
        <f t="shared" si="13"/>
        <v>11100.228308223874</v>
      </c>
    </row>
    <row r="112" spans="1:12" ht="50.1" customHeight="1" x14ac:dyDescent="0.2">
      <c r="A112" s="4" t="s">
        <v>221</v>
      </c>
      <c r="B112" s="4" t="s">
        <v>222</v>
      </c>
      <c r="C112" s="5">
        <v>9942.4</v>
      </c>
      <c r="D112" s="3" t="s">
        <v>468</v>
      </c>
      <c r="E112" s="15">
        <v>2758</v>
      </c>
      <c r="F112" s="15">
        <f t="shared" si="15"/>
        <v>0</v>
      </c>
      <c r="G112" s="16">
        <f t="shared" si="9"/>
        <v>7184.4</v>
      </c>
      <c r="H112" s="17">
        <v>5987</v>
      </c>
      <c r="I112" s="16">
        <f t="shared" si="10"/>
        <v>1197.3999999999996</v>
      </c>
      <c r="J112" s="18">
        <f t="shared" si="11"/>
        <v>0.19999999999999993</v>
      </c>
      <c r="K112" s="18">
        <f t="shared" si="12"/>
        <v>0.12043369810106208</v>
      </c>
      <c r="L112" s="25">
        <f t="shared" si="13"/>
        <v>9942.4</v>
      </c>
    </row>
    <row r="113" spans="1:17" ht="50.1" customHeight="1" x14ac:dyDescent="0.2">
      <c r="A113" s="4" t="s">
        <v>223</v>
      </c>
      <c r="B113" s="4" t="s">
        <v>43</v>
      </c>
      <c r="C113" s="5">
        <v>8391.0390604601416</v>
      </c>
      <c r="D113" s="3" t="s">
        <v>468</v>
      </c>
      <c r="E113" s="15">
        <f t="shared" si="14"/>
        <v>1342.5662496736227</v>
      </c>
      <c r="F113" s="15">
        <f t="shared" si="15"/>
        <v>0</v>
      </c>
      <c r="G113" s="16">
        <f t="shared" si="9"/>
        <v>7048.4728107865194</v>
      </c>
      <c r="H113" s="17">
        <v>5880</v>
      </c>
      <c r="I113" s="16">
        <f t="shared" si="10"/>
        <v>1168.4728107865194</v>
      </c>
      <c r="J113" s="18">
        <f t="shared" si="11"/>
        <v>0.19871986578002029</v>
      </c>
      <c r="K113" s="18">
        <f t="shared" si="12"/>
        <v>0.13925245757614713</v>
      </c>
      <c r="L113" s="25">
        <f t="shared" si="13"/>
        <v>8398.5662496736222</v>
      </c>
    </row>
    <row r="114" spans="1:17" ht="50.1" customHeight="1" x14ac:dyDescent="0.2">
      <c r="A114" s="4" t="s">
        <v>224</v>
      </c>
      <c r="B114" s="4" t="s">
        <v>225</v>
      </c>
      <c r="C114" s="5">
        <v>16971.780994848574</v>
      </c>
      <c r="D114" s="3" t="s">
        <v>470</v>
      </c>
      <c r="E114" s="15">
        <f t="shared" si="14"/>
        <v>2866.8959094333431</v>
      </c>
      <c r="F114" s="15">
        <f t="shared" si="15"/>
        <v>0</v>
      </c>
      <c r="G114" s="16">
        <f t="shared" si="9"/>
        <v>14104.88508541523</v>
      </c>
      <c r="H114" s="17">
        <v>11760</v>
      </c>
      <c r="I114" s="16">
        <f t="shared" si="10"/>
        <v>2344.8850854152297</v>
      </c>
      <c r="J114" s="18">
        <f t="shared" si="11"/>
        <v>0.19939499025639709</v>
      </c>
      <c r="K114" s="18">
        <f t="shared" si="12"/>
        <v>0.13816376054622495</v>
      </c>
      <c r="L114" s="25">
        <f t="shared" si="13"/>
        <v>16978.895909433344</v>
      </c>
    </row>
    <row r="115" spans="1:17" ht="50.1" customHeight="1" x14ac:dyDescent="0.2">
      <c r="A115" s="4" t="s">
        <v>226</v>
      </c>
      <c r="B115" s="4" t="s">
        <v>227</v>
      </c>
      <c r="C115" s="5">
        <v>9989.3322148335028</v>
      </c>
      <c r="D115" s="3" t="s">
        <v>468</v>
      </c>
      <c r="E115" s="15">
        <f t="shared" si="14"/>
        <v>1598.2931543733605</v>
      </c>
      <c r="F115" s="15">
        <f t="shared" si="15"/>
        <v>0</v>
      </c>
      <c r="G115" s="16">
        <f t="shared" si="9"/>
        <v>8391.0390604601416</v>
      </c>
      <c r="H115" s="17">
        <v>7000</v>
      </c>
      <c r="I115" s="16">
        <f t="shared" si="10"/>
        <v>1391.0390604601416</v>
      </c>
      <c r="J115" s="18">
        <f t="shared" si="11"/>
        <v>0.19871986578002024</v>
      </c>
      <c r="K115" s="18">
        <f t="shared" si="12"/>
        <v>0.13925245757614707</v>
      </c>
      <c r="L115" s="25">
        <f t="shared" si="13"/>
        <v>9998.2931543733612</v>
      </c>
    </row>
    <row r="116" spans="1:17" ht="50.1" customHeight="1" x14ac:dyDescent="0.2">
      <c r="A116" s="4" t="s">
        <v>228</v>
      </c>
      <c r="B116" s="4" t="s">
        <v>229</v>
      </c>
      <c r="C116" s="5">
        <v>5880.5764754709908</v>
      </c>
      <c r="D116" s="3" t="s">
        <v>470</v>
      </c>
      <c r="E116" s="15">
        <f t="shared" si="14"/>
        <v>1346.8634123018091</v>
      </c>
      <c r="F116" s="15">
        <f t="shared" si="15"/>
        <v>0</v>
      </c>
      <c r="G116" s="16">
        <f t="shared" si="9"/>
        <v>4533.7130631691816</v>
      </c>
      <c r="H116" s="17">
        <v>3780</v>
      </c>
      <c r="I116" s="16">
        <f t="shared" si="10"/>
        <v>753.71306316918162</v>
      </c>
      <c r="J116" s="18">
        <f t="shared" si="11"/>
        <v>0.19939499025639726</v>
      </c>
      <c r="K116" s="18">
        <f t="shared" si="12"/>
        <v>0.12816992795061216</v>
      </c>
      <c r="L116" s="25">
        <f t="shared" si="13"/>
        <v>5882.8634123018091</v>
      </c>
    </row>
    <row r="117" spans="1:17" ht="50.1" customHeight="1" x14ac:dyDescent="0.2">
      <c r="A117" s="4" t="s">
        <v>230</v>
      </c>
      <c r="B117" s="4" t="s">
        <v>231</v>
      </c>
      <c r="C117" s="5">
        <v>3895.8395637850658</v>
      </c>
      <c r="D117" s="3" t="s">
        <v>468</v>
      </c>
      <c r="E117" s="15">
        <f t="shared" si="14"/>
        <v>623.33433020561051</v>
      </c>
      <c r="F117" s="15">
        <f t="shared" si="15"/>
        <v>0</v>
      </c>
      <c r="G117" s="16">
        <f t="shared" si="9"/>
        <v>3272.5052335794553</v>
      </c>
      <c r="H117" s="17">
        <v>2730</v>
      </c>
      <c r="I117" s="16">
        <f t="shared" si="10"/>
        <v>542.50523357945531</v>
      </c>
      <c r="J117" s="18">
        <f t="shared" si="11"/>
        <v>0.19871986578002027</v>
      </c>
      <c r="K117" s="18">
        <f t="shared" si="12"/>
        <v>0.1392524575761471</v>
      </c>
      <c r="L117" s="25">
        <f t="shared" si="13"/>
        <v>3899.3343302056105</v>
      </c>
    </row>
    <row r="118" spans="1:17" ht="50.1" customHeight="1" x14ac:dyDescent="0.2">
      <c r="A118" s="4" t="s">
        <v>232</v>
      </c>
      <c r="B118" s="4" t="s">
        <v>233</v>
      </c>
      <c r="C118" s="5">
        <v>3895.8395637850658</v>
      </c>
      <c r="D118" s="3" t="s">
        <v>468</v>
      </c>
      <c r="E118" s="15">
        <f t="shared" si="14"/>
        <v>623.33433020561051</v>
      </c>
      <c r="F118" s="15">
        <f t="shared" si="15"/>
        <v>0</v>
      </c>
      <c r="G118" s="16">
        <f t="shared" si="9"/>
        <v>3272.5052335794553</v>
      </c>
      <c r="H118" s="17">
        <v>2730</v>
      </c>
      <c r="I118" s="16">
        <f t="shared" si="10"/>
        <v>542.50523357945531</v>
      </c>
      <c r="J118" s="18">
        <f t="shared" si="11"/>
        <v>0.19871986578002027</v>
      </c>
      <c r="K118" s="18">
        <f t="shared" si="12"/>
        <v>0.1392524575761471</v>
      </c>
      <c r="L118" s="25">
        <f t="shared" si="13"/>
        <v>3899.3343302056105</v>
      </c>
    </row>
    <row r="119" spans="1:17" ht="50.1" customHeight="1" x14ac:dyDescent="0.2">
      <c r="A119" s="4" t="s">
        <v>234</v>
      </c>
      <c r="B119" s="4" t="s">
        <v>235</v>
      </c>
      <c r="C119" s="5">
        <v>3895.8395637850658</v>
      </c>
      <c r="D119" s="3" t="s">
        <v>468</v>
      </c>
      <c r="E119" s="15">
        <f t="shared" si="14"/>
        <v>623.33433020561051</v>
      </c>
      <c r="F119" s="15">
        <f t="shared" si="15"/>
        <v>0</v>
      </c>
      <c r="G119" s="16">
        <f t="shared" si="9"/>
        <v>3272.5052335794553</v>
      </c>
      <c r="H119" s="17">
        <v>2730</v>
      </c>
      <c r="I119" s="16">
        <f t="shared" si="10"/>
        <v>542.50523357945531</v>
      </c>
      <c r="J119" s="18">
        <f t="shared" si="11"/>
        <v>0.19871986578002027</v>
      </c>
      <c r="K119" s="18">
        <f t="shared" si="12"/>
        <v>0.1392524575761471</v>
      </c>
      <c r="L119" s="25">
        <f t="shared" si="13"/>
        <v>3899.3343302056105</v>
      </c>
    </row>
    <row r="120" spans="1:17" ht="50.1" customHeight="1" x14ac:dyDescent="0.2">
      <c r="A120" s="4" t="s">
        <v>236</v>
      </c>
      <c r="B120" s="4" t="s">
        <v>237</v>
      </c>
      <c r="C120" s="5">
        <v>25486.822082115868</v>
      </c>
      <c r="D120" s="3" t="s">
        <v>473</v>
      </c>
      <c r="E120" s="15">
        <f t="shared" si="14"/>
        <v>3823.0233123173803</v>
      </c>
      <c r="F120" s="15">
        <v>4400</v>
      </c>
      <c r="G120" s="16">
        <f t="shared" si="9"/>
        <v>17263.798769798486</v>
      </c>
      <c r="H120" s="17">
        <v>14400</v>
      </c>
      <c r="I120" s="16">
        <f t="shared" si="10"/>
        <v>2863.7987697984863</v>
      </c>
      <c r="J120" s="18">
        <f t="shared" si="11"/>
        <v>0.19887491456933934</v>
      </c>
      <c r="K120" s="18">
        <f t="shared" si="12"/>
        <v>0.1123639016497085</v>
      </c>
      <c r="L120" s="25">
        <f t="shared" si="13"/>
        <v>25503.023312317382</v>
      </c>
      <c r="N120" s="20"/>
      <c r="O120" s="21"/>
      <c r="P120" s="22"/>
      <c r="Q120" s="21"/>
    </row>
    <row r="121" spans="1:17" ht="50.1" customHeight="1" x14ac:dyDescent="0.2">
      <c r="A121" s="4" t="s">
        <v>238</v>
      </c>
      <c r="B121" s="4" t="s">
        <v>239</v>
      </c>
      <c r="C121" s="5">
        <v>13459.716203631335</v>
      </c>
      <c r="D121" s="3" t="s">
        <v>469</v>
      </c>
      <c r="E121" s="15">
        <f t="shared" si="14"/>
        <v>2884.360268508387</v>
      </c>
      <c r="F121" s="15">
        <f t="shared" si="15"/>
        <v>0</v>
      </c>
      <c r="G121" s="16">
        <f t="shared" si="9"/>
        <v>10575.355935122949</v>
      </c>
      <c r="H121" s="17">
        <v>8820</v>
      </c>
      <c r="I121" s="16">
        <f t="shared" si="10"/>
        <v>1755.3559351229487</v>
      </c>
      <c r="J121" s="18">
        <f t="shared" si="11"/>
        <v>0.19901994729285133</v>
      </c>
      <c r="K121" s="18">
        <f t="shared" si="12"/>
        <v>0.13041552351968361</v>
      </c>
      <c r="L121" s="25">
        <f t="shared" si="13"/>
        <v>13468.360268508386</v>
      </c>
      <c r="N121" s="23"/>
    </row>
    <row r="122" spans="1:17" ht="50.1" customHeight="1" x14ac:dyDescent="0.2">
      <c r="A122" s="4" t="s">
        <v>240</v>
      </c>
      <c r="B122" s="4" t="s">
        <v>241</v>
      </c>
      <c r="C122" s="5">
        <v>12443.727997925547</v>
      </c>
      <c r="D122" s="3" t="s">
        <v>470</v>
      </c>
      <c r="E122" s="15">
        <f t="shared" si="14"/>
        <v>2368.8100797718103</v>
      </c>
      <c r="F122" s="15">
        <f t="shared" si="15"/>
        <v>0</v>
      </c>
      <c r="G122" s="16">
        <f t="shared" si="9"/>
        <v>10074.917918153737</v>
      </c>
      <c r="H122" s="17">
        <v>8400</v>
      </c>
      <c r="I122" s="16">
        <f t="shared" si="10"/>
        <v>1674.9179181537365</v>
      </c>
      <c r="J122" s="18">
        <f t="shared" si="11"/>
        <v>0.1993949902563972</v>
      </c>
      <c r="K122" s="18">
        <f t="shared" si="12"/>
        <v>0.13459936752337856</v>
      </c>
      <c r="L122" s="25">
        <f t="shared" si="13"/>
        <v>12448.810079771811</v>
      </c>
    </row>
    <row r="123" spans="1:17" ht="50.1" customHeight="1" x14ac:dyDescent="0.2">
      <c r="A123" s="4" t="s">
        <v>242</v>
      </c>
      <c r="B123" s="4" t="s">
        <v>243</v>
      </c>
      <c r="C123" s="5">
        <v>7962.9248226815625</v>
      </c>
      <c r="D123" s="3" t="s">
        <v>468</v>
      </c>
      <c r="E123" s="15">
        <f t="shared" si="14"/>
        <v>1274.0679716290501</v>
      </c>
      <c r="F123" s="15">
        <f t="shared" si="15"/>
        <v>0</v>
      </c>
      <c r="G123" s="16">
        <f t="shared" si="9"/>
        <v>6688.8568510525129</v>
      </c>
      <c r="H123" s="17">
        <v>5580</v>
      </c>
      <c r="I123" s="16">
        <f t="shared" si="10"/>
        <v>1108.8568510525129</v>
      </c>
      <c r="J123" s="18">
        <f t="shared" si="11"/>
        <v>0.19871986578002024</v>
      </c>
      <c r="K123" s="18">
        <f t="shared" si="12"/>
        <v>0.1392524575761471</v>
      </c>
      <c r="L123" s="25">
        <f t="shared" si="13"/>
        <v>7970.0679716290506</v>
      </c>
    </row>
    <row r="124" spans="1:17" ht="50.1" customHeight="1" x14ac:dyDescent="0.2">
      <c r="A124" s="4" t="s">
        <v>244</v>
      </c>
      <c r="B124" s="4" t="s">
        <v>9</v>
      </c>
      <c r="C124" s="5">
        <v>5479.9237397448287</v>
      </c>
      <c r="D124" s="3" t="s">
        <v>472</v>
      </c>
      <c r="E124" s="15">
        <f t="shared" si="14"/>
        <v>1412.3900861668276</v>
      </c>
      <c r="F124" s="15">
        <f t="shared" si="15"/>
        <v>0</v>
      </c>
      <c r="G124" s="16">
        <f t="shared" si="9"/>
        <v>4067.5336535780011</v>
      </c>
      <c r="H124" s="17">
        <v>3392</v>
      </c>
      <c r="I124" s="16">
        <f t="shared" si="10"/>
        <v>675.53365357800112</v>
      </c>
      <c r="J124" s="18">
        <f t="shared" si="11"/>
        <v>0.19915496862558996</v>
      </c>
      <c r="K124" s="18">
        <f t="shared" si="12"/>
        <v>0.12327428001935245</v>
      </c>
      <c r="L124" s="25">
        <f t="shared" si="13"/>
        <v>5482.7900861668277</v>
      </c>
    </row>
    <row r="125" spans="1:17" ht="50.1" customHeight="1" x14ac:dyDescent="0.2">
      <c r="A125" s="4" t="s">
        <v>245</v>
      </c>
      <c r="B125" s="4" t="s">
        <v>246</v>
      </c>
      <c r="C125" s="5">
        <v>5916.3198391577189</v>
      </c>
      <c r="D125" s="3" t="s">
        <v>474</v>
      </c>
      <c r="E125" s="15">
        <f t="shared" si="14"/>
        <v>1183.2639678315438</v>
      </c>
      <c r="F125" s="15">
        <f t="shared" si="15"/>
        <v>0</v>
      </c>
      <c r="G125" s="16">
        <f t="shared" si="9"/>
        <v>4733.0558713261753</v>
      </c>
      <c r="H125" s="17">
        <v>3950.7999999999997</v>
      </c>
      <c r="I125" s="16">
        <f t="shared" si="10"/>
        <v>782.25587132617557</v>
      </c>
      <c r="J125" s="18">
        <f t="shared" si="11"/>
        <v>0.19799935995904011</v>
      </c>
      <c r="K125" s="18">
        <f t="shared" si="12"/>
        <v>0.13222001051206556</v>
      </c>
      <c r="L125" s="25">
        <f t="shared" si="13"/>
        <v>5924.2239678315436</v>
      </c>
    </row>
    <row r="126" spans="1:17" ht="50.1" customHeight="1" x14ac:dyDescent="0.2">
      <c r="A126" s="4" t="s">
        <v>247</v>
      </c>
      <c r="B126" s="4" t="s">
        <v>248</v>
      </c>
      <c r="C126" s="5">
        <v>10009.11109261887</v>
      </c>
      <c r="D126" s="3" t="s">
        <v>468</v>
      </c>
      <c r="E126" s="15">
        <f t="shared" si="14"/>
        <v>1601.4577748190193</v>
      </c>
      <c r="F126" s="15">
        <f t="shared" si="15"/>
        <v>0</v>
      </c>
      <c r="G126" s="16">
        <f t="shared" si="9"/>
        <v>8407.6533177998517</v>
      </c>
      <c r="H126" s="17">
        <v>7013.86</v>
      </c>
      <c r="I126" s="16">
        <f t="shared" si="10"/>
        <v>1393.793317799852</v>
      </c>
      <c r="J126" s="18">
        <f t="shared" si="11"/>
        <v>0.19871986578002016</v>
      </c>
      <c r="K126" s="18">
        <f t="shared" si="12"/>
        <v>0.13925245757614704</v>
      </c>
      <c r="L126" s="25">
        <f t="shared" si="13"/>
        <v>10018.089774819018</v>
      </c>
    </row>
    <row r="127" spans="1:17" ht="50.1" customHeight="1" x14ac:dyDescent="0.2">
      <c r="A127" s="4" t="s">
        <v>249</v>
      </c>
      <c r="B127" s="4" t="s">
        <v>250</v>
      </c>
      <c r="C127" s="5">
        <v>12443.727997925547</v>
      </c>
      <c r="D127" s="3" t="s">
        <v>470</v>
      </c>
      <c r="E127" s="15">
        <f t="shared" si="14"/>
        <v>2368.8100797718103</v>
      </c>
      <c r="F127" s="15">
        <f t="shared" si="15"/>
        <v>0</v>
      </c>
      <c r="G127" s="16">
        <f t="shared" si="9"/>
        <v>10074.917918153737</v>
      </c>
      <c r="H127" s="17">
        <v>8400</v>
      </c>
      <c r="I127" s="16">
        <f t="shared" si="10"/>
        <v>1674.9179181537365</v>
      </c>
      <c r="J127" s="18">
        <f t="shared" si="11"/>
        <v>0.1993949902563972</v>
      </c>
      <c r="K127" s="18">
        <f t="shared" si="12"/>
        <v>0.13459936752337856</v>
      </c>
      <c r="L127" s="25">
        <f t="shared" si="13"/>
        <v>12448.810079771811</v>
      </c>
    </row>
    <row r="128" spans="1:17" ht="50.1" customHeight="1" x14ac:dyDescent="0.2">
      <c r="A128" s="4" t="s">
        <v>251</v>
      </c>
      <c r="B128" s="4" t="s">
        <v>252</v>
      </c>
      <c r="C128" s="5">
        <v>6918.2552872658507</v>
      </c>
      <c r="D128" s="3" t="s">
        <v>470</v>
      </c>
      <c r="E128" s="15">
        <f t="shared" si="14"/>
        <v>1461.0080815992437</v>
      </c>
      <c r="F128" s="15">
        <f t="shared" si="15"/>
        <v>0</v>
      </c>
      <c r="G128" s="16">
        <f t="shared" si="9"/>
        <v>5457.2472056666065</v>
      </c>
      <c r="H128" s="17">
        <v>4550</v>
      </c>
      <c r="I128" s="16">
        <f t="shared" si="10"/>
        <v>907.24720566660653</v>
      </c>
      <c r="J128" s="18">
        <f t="shared" si="11"/>
        <v>0.19939499025639704</v>
      </c>
      <c r="K128" s="18">
        <f t="shared" si="12"/>
        <v>0.1311381508769327</v>
      </c>
      <c r="L128" s="25">
        <f t="shared" si="13"/>
        <v>6921.0080815992442</v>
      </c>
    </row>
    <row r="129" spans="1:12" ht="50.1" customHeight="1" x14ac:dyDescent="0.2">
      <c r="A129" s="4" t="s">
        <v>253</v>
      </c>
      <c r="B129" s="4" t="s">
        <v>254</v>
      </c>
      <c r="C129" s="5">
        <v>6975.0257295362635</v>
      </c>
      <c r="D129" s="3" t="s">
        <v>471</v>
      </c>
      <c r="E129" s="15">
        <f t="shared" si="14"/>
        <v>1185.7543740211649</v>
      </c>
      <c r="F129" s="15">
        <f t="shared" si="15"/>
        <v>0</v>
      </c>
      <c r="G129" s="16">
        <f t="shared" si="9"/>
        <v>5789.2713555150985</v>
      </c>
      <c r="H129" s="17">
        <v>4830.21</v>
      </c>
      <c r="I129" s="16">
        <f t="shared" si="10"/>
        <v>959.06135551509851</v>
      </c>
      <c r="J129" s="18">
        <f t="shared" si="11"/>
        <v>0.1985547948257112</v>
      </c>
      <c r="K129" s="18">
        <f t="shared" si="12"/>
        <v>0.13749932870553899</v>
      </c>
      <c r="L129" s="25">
        <f t="shared" si="13"/>
        <v>6982.0063740211654</v>
      </c>
    </row>
    <row r="130" spans="1:12" ht="50.1" customHeight="1" x14ac:dyDescent="0.2">
      <c r="A130" s="4" t="s">
        <v>255</v>
      </c>
      <c r="B130" s="4" t="s">
        <v>256</v>
      </c>
      <c r="C130" s="5">
        <v>16971.780994848574</v>
      </c>
      <c r="D130" s="3" t="s">
        <v>470</v>
      </c>
      <c r="E130" s="15">
        <f t="shared" si="14"/>
        <v>2866.8959094333431</v>
      </c>
      <c r="F130" s="15">
        <f t="shared" si="15"/>
        <v>0</v>
      </c>
      <c r="G130" s="16">
        <f t="shared" si="9"/>
        <v>14104.88508541523</v>
      </c>
      <c r="H130" s="17">
        <v>11760</v>
      </c>
      <c r="I130" s="16">
        <f t="shared" si="10"/>
        <v>2344.8850854152297</v>
      </c>
      <c r="J130" s="18">
        <f t="shared" si="11"/>
        <v>0.19939499025639709</v>
      </c>
      <c r="K130" s="18">
        <f t="shared" si="12"/>
        <v>0.13816376054622495</v>
      </c>
      <c r="L130" s="25">
        <f t="shared" si="13"/>
        <v>16978.895909433344</v>
      </c>
    </row>
    <row r="131" spans="1:12" ht="50.1" customHeight="1" x14ac:dyDescent="0.2">
      <c r="A131" s="4" t="s">
        <v>257</v>
      </c>
      <c r="B131" s="4" t="s">
        <v>258</v>
      </c>
      <c r="C131" s="5">
        <v>16782.078120920283</v>
      </c>
      <c r="D131" s="3" t="s">
        <v>468</v>
      </c>
      <c r="E131" s="15">
        <f t="shared" si="14"/>
        <v>2685.1324993472454</v>
      </c>
      <c r="F131" s="15">
        <f t="shared" si="15"/>
        <v>0</v>
      </c>
      <c r="G131" s="16">
        <f t="shared" si="9"/>
        <v>14096.945621573039</v>
      </c>
      <c r="H131" s="17">
        <v>11760</v>
      </c>
      <c r="I131" s="16">
        <f t="shared" si="10"/>
        <v>2336.9456215730388</v>
      </c>
      <c r="J131" s="18">
        <f t="shared" si="11"/>
        <v>0.19871986578002029</v>
      </c>
      <c r="K131" s="18">
        <f t="shared" si="12"/>
        <v>0.13925245757614713</v>
      </c>
      <c r="L131" s="25">
        <f t="shared" si="13"/>
        <v>16797.132499347244</v>
      </c>
    </row>
    <row r="132" spans="1:12" ht="50.1" customHeight="1" x14ac:dyDescent="0.2">
      <c r="A132" s="4" t="s">
        <v>259</v>
      </c>
      <c r="B132" s="4" t="s">
        <v>110</v>
      </c>
      <c r="C132" s="5">
        <v>658.48311619340291</v>
      </c>
      <c r="D132" s="3" t="s">
        <v>471</v>
      </c>
      <c r="E132" s="15">
        <f t="shared" si="14"/>
        <v>111.9421297528785</v>
      </c>
      <c r="F132" s="15">
        <f t="shared" si="15"/>
        <v>0</v>
      </c>
      <c r="G132" s="16">
        <f t="shared" ref="G132:G195" si="16">C132-E132-F132</f>
        <v>546.54098644052442</v>
      </c>
      <c r="H132" s="17">
        <v>456</v>
      </c>
      <c r="I132" s="16">
        <f t="shared" ref="I132:I195" si="17">G132-H132</f>
        <v>90.540986440524421</v>
      </c>
      <c r="J132" s="18">
        <f t="shared" ref="J132:J195" si="18">I132/H132</f>
        <v>0.19855479482571145</v>
      </c>
      <c r="K132" s="18">
        <f t="shared" ref="K132:K195" si="19">I132/C132</f>
        <v>0.13749932870553913</v>
      </c>
      <c r="L132" s="25">
        <f t="shared" ref="L132:L195" si="20">E132+F132+H132+H132*0.2</f>
        <v>659.14212975287853</v>
      </c>
    </row>
    <row r="133" spans="1:12" ht="50.1" customHeight="1" x14ac:dyDescent="0.2">
      <c r="A133" s="4" t="s">
        <v>260</v>
      </c>
      <c r="B133" s="4" t="s">
        <v>261</v>
      </c>
      <c r="C133" s="5">
        <v>17258.474131070558</v>
      </c>
      <c r="D133" s="3" t="s">
        <v>468</v>
      </c>
      <c r="E133" s="15">
        <f t="shared" si="14"/>
        <v>2761.3558609712891</v>
      </c>
      <c r="F133" s="15">
        <f t="shared" si="15"/>
        <v>0</v>
      </c>
      <c r="G133" s="16">
        <f t="shared" si="16"/>
        <v>14497.118270099269</v>
      </c>
      <c r="H133" s="17">
        <v>12093.833333333334</v>
      </c>
      <c r="I133" s="16">
        <f t="shared" si="17"/>
        <v>2403.2849367659346</v>
      </c>
      <c r="J133" s="18">
        <f t="shared" si="18"/>
        <v>0.19871986578002021</v>
      </c>
      <c r="K133" s="18">
        <f t="shared" si="19"/>
        <v>0.13925245757614707</v>
      </c>
      <c r="L133" s="25">
        <f t="shared" si="20"/>
        <v>17273.955860971291</v>
      </c>
    </row>
    <row r="134" spans="1:12" ht="50.1" customHeight="1" x14ac:dyDescent="0.2">
      <c r="A134" s="4" t="s">
        <v>262</v>
      </c>
      <c r="B134" s="4" t="s">
        <v>263</v>
      </c>
      <c r="C134" s="5">
        <v>9581.1681005354039</v>
      </c>
      <c r="D134" s="3" t="s">
        <v>468</v>
      </c>
      <c r="E134" s="15">
        <f t="shared" si="14"/>
        <v>1532.9868960856647</v>
      </c>
      <c r="F134" s="15">
        <f t="shared" si="15"/>
        <v>0</v>
      </c>
      <c r="G134" s="16">
        <f t="shared" si="16"/>
        <v>8048.1812044497392</v>
      </c>
      <c r="H134" s="17">
        <v>6713.98</v>
      </c>
      <c r="I134" s="16">
        <f t="shared" si="17"/>
        <v>1334.2012044497396</v>
      </c>
      <c r="J134" s="18">
        <f t="shared" si="18"/>
        <v>0.19871986578002016</v>
      </c>
      <c r="K134" s="18">
        <f t="shared" si="19"/>
        <v>0.13925245757614704</v>
      </c>
      <c r="L134" s="25">
        <f t="shared" si="20"/>
        <v>9589.7628960856655</v>
      </c>
    </row>
    <row r="135" spans="1:12" ht="50.1" customHeight="1" x14ac:dyDescent="0.2">
      <c r="A135" s="4" t="s">
        <v>264</v>
      </c>
      <c r="B135" s="4" t="s">
        <v>265</v>
      </c>
      <c r="C135" s="5">
        <v>12443.727997925547</v>
      </c>
      <c r="D135" s="3" t="s">
        <v>470</v>
      </c>
      <c r="E135" s="15">
        <f t="shared" si="14"/>
        <v>2368.8100797718103</v>
      </c>
      <c r="F135" s="15">
        <f t="shared" si="15"/>
        <v>0</v>
      </c>
      <c r="G135" s="16">
        <f t="shared" si="16"/>
        <v>10074.917918153737</v>
      </c>
      <c r="H135" s="17">
        <v>8400</v>
      </c>
      <c r="I135" s="16">
        <f t="shared" si="17"/>
        <v>1674.9179181537365</v>
      </c>
      <c r="J135" s="18">
        <f t="shared" si="18"/>
        <v>0.1993949902563972</v>
      </c>
      <c r="K135" s="18">
        <f t="shared" si="19"/>
        <v>0.13459936752337856</v>
      </c>
      <c r="L135" s="25">
        <f t="shared" si="20"/>
        <v>12448.810079771811</v>
      </c>
    </row>
    <row r="136" spans="1:12" ht="50.1" customHeight="1" x14ac:dyDescent="0.2">
      <c r="A136" s="4" t="s">
        <v>266</v>
      </c>
      <c r="B136" s="4" t="s">
        <v>267</v>
      </c>
      <c r="C136" s="5">
        <v>9703.9617123238313</v>
      </c>
      <c r="D136" s="3" t="s">
        <v>471</v>
      </c>
      <c r="E136" s="15">
        <f t="shared" si="14"/>
        <v>1649.6734910950515</v>
      </c>
      <c r="F136" s="15">
        <f t="shared" si="15"/>
        <v>0</v>
      </c>
      <c r="G136" s="16">
        <f t="shared" si="16"/>
        <v>8054.2882212287795</v>
      </c>
      <c r="H136" s="17">
        <v>6720</v>
      </c>
      <c r="I136" s="16">
        <f t="shared" si="17"/>
        <v>1334.2882212287795</v>
      </c>
      <c r="J136" s="18">
        <f t="shared" si="18"/>
        <v>0.19855479482571126</v>
      </c>
      <c r="K136" s="18">
        <f t="shared" si="19"/>
        <v>0.13749932870553899</v>
      </c>
      <c r="L136" s="25">
        <f t="shared" si="20"/>
        <v>9713.6734910950508</v>
      </c>
    </row>
    <row r="137" spans="1:12" ht="50.1" customHeight="1" x14ac:dyDescent="0.2">
      <c r="A137" s="4" t="s">
        <v>268</v>
      </c>
      <c r="B137" s="4" t="s">
        <v>269</v>
      </c>
      <c r="C137" s="5">
        <v>28502.885060128076</v>
      </c>
      <c r="D137" s="3" t="s">
        <v>472</v>
      </c>
      <c r="E137" s="15">
        <f t="shared" ref="E137:E200" si="21">IF(D137&gt;"15%",C137*D137,IF(C137&gt;=19990,D137*C137,IF(C137&gt;=9990,D137*C137+1000,D137*C137+700)))</f>
        <v>3705.37505781665</v>
      </c>
      <c r="F137" s="15">
        <v>3100</v>
      </c>
      <c r="G137" s="16">
        <f t="shared" si="16"/>
        <v>21697.510002311425</v>
      </c>
      <c r="H137" s="17">
        <v>18094</v>
      </c>
      <c r="I137" s="16">
        <f t="shared" si="17"/>
        <v>3603.5100023114246</v>
      </c>
      <c r="J137" s="18">
        <f t="shared" si="18"/>
        <v>0.19915496862558996</v>
      </c>
      <c r="K137" s="18">
        <f t="shared" si="19"/>
        <v>0.12642614930768109</v>
      </c>
      <c r="L137" s="25">
        <f t="shared" si="20"/>
        <v>28518.17505781665</v>
      </c>
    </row>
    <row r="138" spans="1:12" ht="50.1" customHeight="1" x14ac:dyDescent="0.2">
      <c r="A138" s="4" t="s">
        <v>270</v>
      </c>
      <c r="B138" s="4" t="s">
        <v>271</v>
      </c>
      <c r="C138" s="5">
        <v>28502.885060128076</v>
      </c>
      <c r="D138" s="3" t="s">
        <v>472</v>
      </c>
      <c r="E138" s="15">
        <f t="shared" si="21"/>
        <v>3705.37505781665</v>
      </c>
      <c r="F138" s="15">
        <v>3100</v>
      </c>
      <c r="G138" s="16">
        <f t="shared" si="16"/>
        <v>21697.510002311425</v>
      </c>
      <c r="H138" s="17">
        <v>18094</v>
      </c>
      <c r="I138" s="16">
        <f t="shared" si="17"/>
        <v>3603.5100023114246</v>
      </c>
      <c r="J138" s="18">
        <f t="shared" si="18"/>
        <v>0.19915496862558996</v>
      </c>
      <c r="K138" s="18">
        <f t="shared" si="19"/>
        <v>0.12642614930768109</v>
      </c>
      <c r="L138" s="25">
        <f t="shared" si="20"/>
        <v>28518.17505781665</v>
      </c>
    </row>
    <row r="139" spans="1:12" ht="50.1" customHeight="1" x14ac:dyDescent="0.2">
      <c r="A139" s="4" t="s">
        <v>272</v>
      </c>
      <c r="B139" s="4" t="s">
        <v>273</v>
      </c>
      <c r="C139" s="5">
        <v>28502.885060128076</v>
      </c>
      <c r="D139" s="3" t="s">
        <v>472</v>
      </c>
      <c r="E139" s="15">
        <f t="shared" si="21"/>
        <v>3705.37505781665</v>
      </c>
      <c r="F139" s="15">
        <v>3100</v>
      </c>
      <c r="G139" s="16">
        <f t="shared" si="16"/>
        <v>21697.510002311425</v>
      </c>
      <c r="H139" s="17">
        <v>18094</v>
      </c>
      <c r="I139" s="16">
        <f t="shared" si="17"/>
        <v>3603.5100023114246</v>
      </c>
      <c r="J139" s="18">
        <f t="shared" si="18"/>
        <v>0.19915496862558996</v>
      </c>
      <c r="K139" s="18">
        <f t="shared" si="19"/>
        <v>0.12642614930768109</v>
      </c>
      <c r="L139" s="25">
        <f t="shared" si="20"/>
        <v>28518.17505781665</v>
      </c>
    </row>
    <row r="140" spans="1:12" ht="50.1" customHeight="1" x14ac:dyDescent="0.2">
      <c r="A140" s="4" t="s">
        <v>274</v>
      </c>
      <c r="B140" s="4" t="s">
        <v>275</v>
      </c>
      <c r="C140" s="5">
        <v>12547.790468046931</v>
      </c>
      <c r="D140" s="3" t="s">
        <v>468</v>
      </c>
      <c r="E140" s="15">
        <f t="shared" si="21"/>
        <v>2007.6464748875089</v>
      </c>
      <c r="F140" s="15">
        <f t="shared" si="15"/>
        <v>0</v>
      </c>
      <c r="G140" s="16">
        <f t="shared" si="16"/>
        <v>10540.143993159421</v>
      </c>
      <c r="H140" s="17">
        <v>8792.8333333333339</v>
      </c>
      <c r="I140" s="16">
        <f t="shared" si="17"/>
        <v>1747.3106598260874</v>
      </c>
      <c r="J140" s="18">
        <f t="shared" si="18"/>
        <v>0.19871986578002016</v>
      </c>
      <c r="K140" s="18">
        <f t="shared" si="19"/>
        <v>0.13925245757614704</v>
      </c>
      <c r="L140" s="25">
        <f t="shared" si="20"/>
        <v>12559.046474887511</v>
      </c>
    </row>
    <row r="141" spans="1:12" ht="50.1" customHeight="1" x14ac:dyDescent="0.2">
      <c r="A141" s="4" t="s">
        <v>276</v>
      </c>
      <c r="B141" s="4" t="s">
        <v>214</v>
      </c>
      <c r="C141" s="5">
        <v>8466.915441705014</v>
      </c>
      <c r="D141" s="3" t="s">
        <v>467</v>
      </c>
      <c r="E141" s="15">
        <f t="shared" si="21"/>
        <v>1524.0447795069024</v>
      </c>
      <c r="F141" s="15">
        <f t="shared" si="15"/>
        <v>0</v>
      </c>
      <c r="G141" s="16">
        <f t="shared" si="16"/>
        <v>6942.8706621981119</v>
      </c>
      <c r="H141" s="17">
        <v>5793.5483199999999</v>
      </c>
      <c r="I141" s="16">
        <f t="shared" si="17"/>
        <v>1149.322342198112</v>
      </c>
      <c r="J141" s="18">
        <f t="shared" si="18"/>
        <v>0.19837969387957258</v>
      </c>
      <c r="K141" s="18">
        <f t="shared" si="19"/>
        <v>0.13574274481790133</v>
      </c>
      <c r="L141" s="25">
        <f t="shared" si="20"/>
        <v>8476.3027635069011</v>
      </c>
    </row>
    <row r="142" spans="1:12" ht="50.1" customHeight="1" x14ac:dyDescent="0.2">
      <c r="A142" s="4" t="s">
        <v>277</v>
      </c>
      <c r="B142" s="4" t="s">
        <v>278</v>
      </c>
      <c r="C142" s="5">
        <v>30522.016363219453</v>
      </c>
      <c r="D142" s="3" t="s">
        <v>468</v>
      </c>
      <c r="E142" s="15">
        <f t="shared" si="21"/>
        <v>4883.5226181151129</v>
      </c>
      <c r="F142" s="15">
        <v>5500</v>
      </c>
      <c r="G142" s="16">
        <f t="shared" si="16"/>
        <v>20138.493745104341</v>
      </c>
      <c r="H142" s="17">
        <v>16800</v>
      </c>
      <c r="I142" s="16">
        <f t="shared" si="17"/>
        <v>3338.4937451043406</v>
      </c>
      <c r="J142" s="18">
        <f t="shared" si="18"/>
        <v>0.19871986578002027</v>
      </c>
      <c r="K142" s="18">
        <f t="shared" si="19"/>
        <v>0.10937985568762723</v>
      </c>
      <c r="L142" s="25">
        <f t="shared" si="20"/>
        <v>30543.522618115112</v>
      </c>
    </row>
    <row r="143" spans="1:12" ht="50.1" customHeight="1" x14ac:dyDescent="0.2">
      <c r="A143" s="4" t="s">
        <v>279</v>
      </c>
      <c r="B143" s="4" t="s">
        <v>280</v>
      </c>
      <c r="C143" s="5">
        <v>5880.5764754709908</v>
      </c>
      <c r="D143" s="3" t="s">
        <v>470</v>
      </c>
      <c r="E143" s="15">
        <f t="shared" si="21"/>
        <v>1346.8634123018091</v>
      </c>
      <c r="F143" s="15">
        <f t="shared" si="15"/>
        <v>0</v>
      </c>
      <c r="G143" s="16">
        <f t="shared" si="16"/>
        <v>4533.7130631691816</v>
      </c>
      <c r="H143" s="17">
        <v>3780</v>
      </c>
      <c r="I143" s="16">
        <f t="shared" si="17"/>
        <v>753.71306316918162</v>
      </c>
      <c r="J143" s="18">
        <f t="shared" si="18"/>
        <v>0.19939499025639726</v>
      </c>
      <c r="K143" s="18">
        <f t="shared" si="19"/>
        <v>0.12816992795061216</v>
      </c>
      <c r="L143" s="25">
        <f t="shared" si="20"/>
        <v>5882.8634123018091</v>
      </c>
    </row>
    <row r="144" spans="1:12" ht="50.1" customHeight="1" x14ac:dyDescent="0.2">
      <c r="A144" s="4" t="s">
        <v>281</v>
      </c>
      <c r="B144" s="4" t="s">
        <v>282</v>
      </c>
      <c r="C144" s="5">
        <v>9942.4</v>
      </c>
      <c r="D144" s="3" t="s">
        <v>468</v>
      </c>
      <c r="E144" s="15">
        <v>2758</v>
      </c>
      <c r="F144" s="15">
        <f t="shared" si="15"/>
        <v>0</v>
      </c>
      <c r="G144" s="16">
        <f t="shared" si="16"/>
        <v>7184.4</v>
      </c>
      <c r="H144" s="17">
        <v>5987</v>
      </c>
      <c r="I144" s="16">
        <f t="shared" si="17"/>
        <v>1197.3999999999996</v>
      </c>
      <c r="J144" s="18">
        <f t="shared" si="18"/>
        <v>0.19999999999999993</v>
      </c>
      <c r="K144" s="18">
        <f t="shared" si="19"/>
        <v>0.12043369810106208</v>
      </c>
      <c r="L144" s="25">
        <f t="shared" si="20"/>
        <v>9942.4</v>
      </c>
    </row>
    <row r="145" spans="1:12" ht="50.1" customHeight="1" x14ac:dyDescent="0.2">
      <c r="A145" s="4" t="s">
        <v>283</v>
      </c>
      <c r="B145" s="4" t="s">
        <v>284</v>
      </c>
      <c r="C145" s="5">
        <v>6918.2552872658507</v>
      </c>
      <c r="D145" s="3" t="s">
        <v>470</v>
      </c>
      <c r="E145" s="15">
        <f t="shared" si="21"/>
        <v>1461.0080815992437</v>
      </c>
      <c r="F145" s="15">
        <f t="shared" si="15"/>
        <v>0</v>
      </c>
      <c r="G145" s="16">
        <f t="shared" si="16"/>
        <v>5457.2472056666065</v>
      </c>
      <c r="H145" s="17">
        <v>4550</v>
      </c>
      <c r="I145" s="16">
        <f t="shared" si="17"/>
        <v>907.24720566660653</v>
      </c>
      <c r="J145" s="18">
        <f t="shared" si="18"/>
        <v>0.19939499025639704</v>
      </c>
      <c r="K145" s="18">
        <f t="shared" si="19"/>
        <v>0.1311381508769327</v>
      </c>
      <c r="L145" s="25">
        <f t="shared" si="20"/>
        <v>6921.0080815992442</v>
      </c>
    </row>
    <row r="146" spans="1:12" ht="50.1" customHeight="1" x14ac:dyDescent="0.2">
      <c r="A146" s="4" t="s">
        <v>285</v>
      </c>
      <c r="B146" s="4" t="s">
        <v>212</v>
      </c>
      <c r="C146" s="5">
        <v>9375.1098792114008</v>
      </c>
      <c r="D146" s="3" t="s">
        <v>472</v>
      </c>
      <c r="E146" s="15">
        <f t="shared" si="21"/>
        <v>1918.7642842974822</v>
      </c>
      <c r="F146" s="15">
        <f t="shared" si="15"/>
        <v>0</v>
      </c>
      <c r="G146" s="16">
        <f t="shared" si="16"/>
        <v>7456.3455949139188</v>
      </c>
      <c r="H146" s="17">
        <v>6218</v>
      </c>
      <c r="I146" s="16">
        <f t="shared" si="17"/>
        <v>1238.3455949139188</v>
      </c>
      <c r="J146" s="18">
        <f t="shared" si="18"/>
        <v>0.19915496862559004</v>
      </c>
      <c r="K146" s="18">
        <f t="shared" si="19"/>
        <v>0.13208864865251946</v>
      </c>
      <c r="L146" s="25">
        <f t="shared" si="20"/>
        <v>9380.3642842974823</v>
      </c>
    </row>
    <row r="147" spans="1:12" ht="50.1" customHeight="1" x14ac:dyDescent="0.2">
      <c r="A147" s="4" t="s">
        <v>286</v>
      </c>
      <c r="B147" s="4" t="s">
        <v>287</v>
      </c>
      <c r="C147" s="5">
        <v>6898.467302539575</v>
      </c>
      <c r="D147" s="3" t="s">
        <v>473</v>
      </c>
      <c r="E147" s="15">
        <f>C147*15%</f>
        <v>1034.7700953809363</v>
      </c>
      <c r="F147" s="15">
        <f t="shared" si="15"/>
        <v>0</v>
      </c>
      <c r="G147" s="16">
        <f t="shared" si="16"/>
        <v>5863.6972071586388</v>
      </c>
      <c r="H147" s="17">
        <v>4891</v>
      </c>
      <c r="I147" s="16">
        <f t="shared" si="17"/>
        <v>972.69720715863878</v>
      </c>
      <c r="J147" s="18">
        <f t="shared" si="18"/>
        <v>0.19887491456933934</v>
      </c>
      <c r="K147" s="18">
        <f t="shared" si="19"/>
        <v>0.14100193050136714</v>
      </c>
      <c r="L147" s="25">
        <f t="shared" si="20"/>
        <v>6903.9700953809361</v>
      </c>
    </row>
    <row r="148" spans="1:12" ht="50.1" customHeight="1" x14ac:dyDescent="0.2">
      <c r="A148" s="4" t="s">
        <v>288</v>
      </c>
      <c r="B148" s="4" t="s">
        <v>289</v>
      </c>
      <c r="C148" s="5">
        <v>6898.467302539575</v>
      </c>
      <c r="D148" s="3" t="s">
        <v>473</v>
      </c>
      <c r="E148" s="15">
        <f>C148*15%</f>
        <v>1034.7700953809363</v>
      </c>
      <c r="F148" s="15">
        <f t="shared" si="15"/>
        <v>0</v>
      </c>
      <c r="G148" s="16">
        <f t="shared" si="16"/>
        <v>5863.6972071586388</v>
      </c>
      <c r="H148" s="17">
        <v>4891</v>
      </c>
      <c r="I148" s="16">
        <f t="shared" si="17"/>
        <v>972.69720715863878</v>
      </c>
      <c r="J148" s="18">
        <f t="shared" si="18"/>
        <v>0.19887491456933934</v>
      </c>
      <c r="K148" s="18">
        <f t="shared" si="19"/>
        <v>0.14100193050136714</v>
      </c>
      <c r="L148" s="25">
        <f t="shared" si="20"/>
        <v>6903.9700953809361</v>
      </c>
    </row>
    <row r="149" spans="1:12" ht="50.1" customHeight="1" x14ac:dyDescent="0.2">
      <c r="A149" s="4" t="s">
        <v>290</v>
      </c>
      <c r="B149" s="4" t="s">
        <v>291</v>
      </c>
      <c r="C149" s="5">
        <v>8391.0390604601416</v>
      </c>
      <c r="D149" s="3" t="s">
        <v>468</v>
      </c>
      <c r="E149" s="15">
        <f t="shared" si="21"/>
        <v>1342.5662496736227</v>
      </c>
      <c r="F149" s="15">
        <f t="shared" si="15"/>
        <v>0</v>
      </c>
      <c r="G149" s="16">
        <f t="shared" si="16"/>
        <v>7048.4728107865194</v>
      </c>
      <c r="H149" s="17">
        <v>5880</v>
      </c>
      <c r="I149" s="16">
        <f t="shared" si="17"/>
        <v>1168.4728107865194</v>
      </c>
      <c r="J149" s="18">
        <f t="shared" si="18"/>
        <v>0.19871986578002029</v>
      </c>
      <c r="K149" s="18">
        <f t="shared" si="19"/>
        <v>0.13925245757614713</v>
      </c>
      <c r="L149" s="25">
        <f t="shared" si="20"/>
        <v>8398.5662496736222</v>
      </c>
    </row>
    <row r="150" spans="1:12" ht="50.1" customHeight="1" x14ac:dyDescent="0.2">
      <c r="A150" s="4" t="s">
        <v>292</v>
      </c>
      <c r="B150" s="4" t="s">
        <v>293</v>
      </c>
      <c r="C150" s="5">
        <v>12874.148322395289</v>
      </c>
      <c r="D150" s="3" t="s">
        <v>469</v>
      </c>
      <c r="E150" s="15">
        <f t="shared" si="21"/>
        <v>2802.3807651353409</v>
      </c>
      <c r="F150" s="15">
        <f t="shared" si="15"/>
        <v>0</v>
      </c>
      <c r="G150" s="16">
        <f t="shared" si="16"/>
        <v>10071.767557259947</v>
      </c>
      <c r="H150" s="17">
        <v>8400</v>
      </c>
      <c r="I150" s="16">
        <f t="shared" si="17"/>
        <v>1671.7675572599474</v>
      </c>
      <c r="J150" s="18">
        <f t="shared" si="18"/>
        <v>0.19901994729285089</v>
      </c>
      <c r="K150" s="18">
        <f t="shared" si="19"/>
        <v>0.12985461371078161</v>
      </c>
      <c r="L150" s="25">
        <f t="shared" si="20"/>
        <v>12882.380765135342</v>
      </c>
    </row>
    <row r="151" spans="1:12" ht="50.1" customHeight="1" x14ac:dyDescent="0.2">
      <c r="A151" s="4" t="s">
        <v>294</v>
      </c>
      <c r="B151" s="4" t="s">
        <v>295</v>
      </c>
      <c r="C151" s="5">
        <v>13185.918523580222</v>
      </c>
      <c r="D151" s="3" t="s">
        <v>468</v>
      </c>
      <c r="E151" s="15">
        <f t="shared" si="21"/>
        <v>2109.7469637728354</v>
      </c>
      <c r="F151" s="15">
        <f t="shared" si="15"/>
        <v>0</v>
      </c>
      <c r="G151" s="16">
        <f t="shared" si="16"/>
        <v>11076.171559807386</v>
      </c>
      <c r="H151" s="17">
        <v>9240</v>
      </c>
      <c r="I151" s="16">
        <f t="shared" si="17"/>
        <v>1836.1715598073861</v>
      </c>
      <c r="J151" s="18">
        <f t="shared" si="18"/>
        <v>0.19871986578002013</v>
      </c>
      <c r="K151" s="18">
        <f t="shared" si="19"/>
        <v>0.13925245757614704</v>
      </c>
      <c r="L151" s="25">
        <f t="shared" si="20"/>
        <v>13197.746963772835</v>
      </c>
    </row>
    <row r="152" spans="1:12" ht="50.1" customHeight="1" x14ac:dyDescent="0.2">
      <c r="A152" s="4" t="s">
        <v>296</v>
      </c>
      <c r="B152" s="4" t="s">
        <v>297</v>
      </c>
      <c r="C152" s="5">
        <v>22146.823338364869</v>
      </c>
      <c r="D152" s="3" t="s">
        <v>472</v>
      </c>
      <c r="E152" s="15">
        <f t="shared" si="21"/>
        <v>2879.0870339874332</v>
      </c>
      <c r="F152" s="15">
        <v>3000</v>
      </c>
      <c r="G152" s="16">
        <f t="shared" si="16"/>
        <v>16267.736304377435</v>
      </c>
      <c r="H152" s="17">
        <v>13566</v>
      </c>
      <c r="I152" s="16">
        <f t="shared" si="17"/>
        <v>2701.7363043774349</v>
      </c>
      <c r="J152" s="18">
        <f t="shared" si="18"/>
        <v>0.19915496862578763</v>
      </c>
      <c r="K152" s="18">
        <f t="shared" si="19"/>
        <v>0.1219920465838198</v>
      </c>
      <c r="L152" s="25">
        <f t="shared" si="20"/>
        <v>22158.287033987432</v>
      </c>
    </row>
    <row r="153" spans="1:12" ht="50.1" customHeight="1" x14ac:dyDescent="0.2">
      <c r="A153" s="4" t="s">
        <v>298</v>
      </c>
      <c r="B153" s="4" t="s">
        <v>299</v>
      </c>
      <c r="C153" s="5">
        <v>9086.8601727069654</v>
      </c>
      <c r="D153" s="3" t="s">
        <v>467</v>
      </c>
      <c r="E153" s="15">
        <f t="shared" si="21"/>
        <v>1635.6348310872538</v>
      </c>
      <c r="F153" s="15">
        <f t="shared" si="15"/>
        <v>0</v>
      </c>
      <c r="G153" s="16">
        <f t="shared" si="16"/>
        <v>7451.2253416197118</v>
      </c>
      <c r="H153" s="17">
        <v>6217.75</v>
      </c>
      <c r="I153" s="16">
        <f t="shared" si="17"/>
        <v>1233.4753416197118</v>
      </c>
      <c r="J153" s="18">
        <f t="shared" si="18"/>
        <v>0.19837969387957249</v>
      </c>
      <c r="K153" s="18">
        <f t="shared" si="19"/>
        <v>0.13574274481790127</v>
      </c>
      <c r="L153" s="25">
        <f t="shared" si="20"/>
        <v>9096.9348310872538</v>
      </c>
    </row>
    <row r="154" spans="1:12" ht="50.1" customHeight="1" x14ac:dyDescent="0.2">
      <c r="A154" s="4" t="s">
        <v>300</v>
      </c>
      <c r="B154" s="4" t="s">
        <v>301</v>
      </c>
      <c r="C154" s="5">
        <v>7147.896442396328</v>
      </c>
      <c r="D154" s="3" t="s">
        <v>467</v>
      </c>
      <c r="E154" s="15">
        <f t="shared" si="21"/>
        <v>1286.6213596313389</v>
      </c>
      <c r="F154" s="15">
        <f t="shared" si="15"/>
        <v>0</v>
      </c>
      <c r="G154" s="16">
        <f t="shared" si="16"/>
        <v>5861.2750827649888</v>
      </c>
      <c r="H154" s="17">
        <v>4891</v>
      </c>
      <c r="I154" s="16">
        <f t="shared" si="17"/>
        <v>970.27508276498884</v>
      </c>
      <c r="J154" s="18">
        <f t="shared" si="18"/>
        <v>0.19837969387957244</v>
      </c>
      <c r="K154" s="18">
        <f t="shared" si="19"/>
        <v>0.13574274481790125</v>
      </c>
      <c r="L154" s="25">
        <f t="shared" si="20"/>
        <v>7155.821359631339</v>
      </c>
    </row>
    <row r="155" spans="1:12" ht="50.1" customHeight="1" x14ac:dyDescent="0.2">
      <c r="A155" s="4" t="s">
        <v>302</v>
      </c>
      <c r="B155" s="4" t="s">
        <v>303</v>
      </c>
      <c r="C155" s="5">
        <v>18266.207478552689</v>
      </c>
      <c r="D155" s="3" t="s">
        <v>468</v>
      </c>
      <c r="E155" s="15">
        <f t="shared" si="21"/>
        <v>2922.5931965684304</v>
      </c>
      <c r="F155" s="15">
        <f t="shared" si="15"/>
        <v>0</v>
      </c>
      <c r="G155" s="16">
        <f t="shared" si="16"/>
        <v>15343.614281984259</v>
      </c>
      <c r="H155" s="17">
        <v>12800</v>
      </c>
      <c r="I155" s="16">
        <f t="shared" si="17"/>
        <v>2543.6142819842589</v>
      </c>
      <c r="J155" s="18">
        <f t="shared" si="18"/>
        <v>0.19871986578002024</v>
      </c>
      <c r="K155" s="18">
        <f t="shared" si="19"/>
        <v>0.13925245757614707</v>
      </c>
      <c r="L155" s="25">
        <f t="shared" si="20"/>
        <v>18282.593196568429</v>
      </c>
    </row>
    <row r="156" spans="1:12" ht="50.1" customHeight="1" x14ac:dyDescent="0.2">
      <c r="A156" s="4" t="s">
        <v>304</v>
      </c>
      <c r="B156" s="4" t="s">
        <v>305</v>
      </c>
      <c r="C156" s="5">
        <v>22016.207478552689</v>
      </c>
      <c r="D156" s="3" t="s">
        <v>468</v>
      </c>
      <c r="E156" s="15">
        <f t="shared" si="21"/>
        <v>3522.5931965684304</v>
      </c>
      <c r="F156" s="15">
        <v>3150</v>
      </c>
      <c r="G156" s="16">
        <f t="shared" si="16"/>
        <v>15343.614281984257</v>
      </c>
      <c r="H156" s="17">
        <v>12800</v>
      </c>
      <c r="I156" s="16">
        <f t="shared" si="17"/>
        <v>2543.6142819842571</v>
      </c>
      <c r="J156" s="18">
        <f t="shared" si="18"/>
        <v>0.1987198657800201</v>
      </c>
      <c r="K156" s="18">
        <f t="shared" si="19"/>
        <v>0.11553371689752399</v>
      </c>
      <c r="L156" s="25">
        <f t="shared" si="20"/>
        <v>22032.593196568429</v>
      </c>
    </row>
    <row r="157" spans="1:12" ht="50.1" customHeight="1" x14ac:dyDescent="0.2">
      <c r="A157" s="4" t="s">
        <v>306</v>
      </c>
      <c r="B157" s="4" t="s">
        <v>307</v>
      </c>
      <c r="C157" s="5">
        <v>12547.790468046931</v>
      </c>
      <c r="D157" s="3" t="s">
        <v>468</v>
      </c>
      <c r="E157" s="15">
        <f t="shared" si="21"/>
        <v>2007.6464748875089</v>
      </c>
      <c r="F157" s="15">
        <f t="shared" si="15"/>
        <v>0</v>
      </c>
      <c r="G157" s="16">
        <f t="shared" si="16"/>
        <v>10540.143993159421</v>
      </c>
      <c r="H157" s="17">
        <v>8792.8333333333339</v>
      </c>
      <c r="I157" s="16">
        <f t="shared" si="17"/>
        <v>1747.3106598260874</v>
      </c>
      <c r="J157" s="18">
        <f t="shared" si="18"/>
        <v>0.19871986578002016</v>
      </c>
      <c r="K157" s="18">
        <f t="shared" si="19"/>
        <v>0.13925245757614704</v>
      </c>
      <c r="L157" s="25">
        <f t="shared" si="20"/>
        <v>12559.046474887511</v>
      </c>
    </row>
    <row r="158" spans="1:12" ht="50.1" customHeight="1" x14ac:dyDescent="0.2">
      <c r="A158" s="4" t="s">
        <v>308</v>
      </c>
      <c r="B158" s="4" t="s">
        <v>309</v>
      </c>
      <c r="C158" s="5">
        <v>39001.759642430647</v>
      </c>
      <c r="D158" s="3" t="s">
        <v>472</v>
      </c>
      <c r="E158" s="15">
        <f t="shared" si="21"/>
        <v>5070.228753515984</v>
      </c>
      <c r="F158" s="15">
        <v>3000</v>
      </c>
      <c r="G158" s="16">
        <f t="shared" si="16"/>
        <v>30931.530888914662</v>
      </c>
      <c r="H158" s="17">
        <v>25794.44</v>
      </c>
      <c r="I158" s="16">
        <f t="shared" si="17"/>
        <v>5137.0908889146631</v>
      </c>
      <c r="J158" s="18">
        <f t="shared" si="18"/>
        <v>0.19915496862558998</v>
      </c>
      <c r="K158" s="18">
        <f t="shared" si="19"/>
        <v>0.13171433637896529</v>
      </c>
      <c r="L158" s="25">
        <f t="shared" si="20"/>
        <v>39023.556753515979</v>
      </c>
    </row>
    <row r="159" spans="1:12" ht="50.1" customHeight="1" x14ac:dyDescent="0.2">
      <c r="A159" s="4" t="s">
        <v>310</v>
      </c>
      <c r="B159" s="4" t="s">
        <v>311</v>
      </c>
      <c r="C159" s="5">
        <v>19457.18499755895</v>
      </c>
      <c r="D159" s="3" t="s">
        <v>467</v>
      </c>
      <c r="E159" s="15">
        <f t="shared" si="21"/>
        <v>3502.2932995606111</v>
      </c>
      <c r="F159" s="15">
        <f t="shared" si="15"/>
        <v>0</v>
      </c>
      <c r="G159" s="16">
        <f t="shared" si="16"/>
        <v>15954.891697998339</v>
      </c>
      <c r="H159" s="17">
        <v>13313.72</v>
      </c>
      <c r="I159" s="16">
        <f t="shared" si="17"/>
        <v>2641.1716979983394</v>
      </c>
      <c r="J159" s="18">
        <f t="shared" si="18"/>
        <v>0.1983796938795723</v>
      </c>
      <c r="K159" s="18">
        <f t="shared" si="19"/>
        <v>0.13574274481790116</v>
      </c>
      <c r="L159" s="25">
        <f t="shared" si="20"/>
        <v>19478.75729956061</v>
      </c>
    </row>
    <row r="160" spans="1:12" ht="50.1" customHeight="1" x14ac:dyDescent="0.2">
      <c r="A160" s="4" t="s">
        <v>312</v>
      </c>
      <c r="B160" s="4" t="s">
        <v>313</v>
      </c>
      <c r="C160" s="5">
        <v>19913.581702162453</v>
      </c>
      <c r="D160" s="3" t="s">
        <v>472</v>
      </c>
      <c r="E160" s="15">
        <f t="shared" si="21"/>
        <v>3588.7656212811189</v>
      </c>
      <c r="F160" s="15">
        <f t="shared" si="15"/>
        <v>0</v>
      </c>
      <c r="G160" s="16">
        <f t="shared" si="16"/>
        <v>16324.816080881334</v>
      </c>
      <c r="H160" s="17">
        <v>13613.599999999999</v>
      </c>
      <c r="I160" s="16">
        <f t="shared" si="17"/>
        <v>2711.2160808813351</v>
      </c>
      <c r="J160" s="18">
        <f t="shared" si="18"/>
        <v>0.19915496862559023</v>
      </c>
      <c r="K160" s="18">
        <f t="shared" si="19"/>
        <v>0.13614909268617001</v>
      </c>
      <c r="L160" s="25">
        <f t="shared" si="20"/>
        <v>19925.08562128112</v>
      </c>
    </row>
    <row r="161" spans="1:12" ht="50.1" customHeight="1" x14ac:dyDescent="0.2">
      <c r="A161" s="4" t="s">
        <v>314</v>
      </c>
      <c r="B161" s="4" t="s">
        <v>315</v>
      </c>
      <c r="C161" s="5">
        <v>18405.022240719198</v>
      </c>
      <c r="D161" s="3" t="s">
        <v>467</v>
      </c>
      <c r="E161" s="15">
        <f t="shared" si="21"/>
        <v>3312.9040033294555</v>
      </c>
      <c r="F161" s="15">
        <f t="shared" si="15"/>
        <v>0</v>
      </c>
      <c r="G161" s="16">
        <f t="shared" si="16"/>
        <v>15092.118237389743</v>
      </c>
      <c r="H161" s="17">
        <v>12593.769999999999</v>
      </c>
      <c r="I161" s="16">
        <f t="shared" si="17"/>
        <v>2498.3482373897441</v>
      </c>
      <c r="J161" s="18">
        <f t="shared" si="18"/>
        <v>0.19837969387957255</v>
      </c>
      <c r="K161" s="18">
        <f t="shared" si="19"/>
        <v>0.1357427448179013</v>
      </c>
      <c r="L161" s="25">
        <f t="shared" si="20"/>
        <v>18425.428003329453</v>
      </c>
    </row>
    <row r="162" spans="1:12" ht="50.1" customHeight="1" x14ac:dyDescent="0.2">
      <c r="A162" s="4" t="s">
        <v>316</v>
      </c>
      <c r="B162" s="4" t="s">
        <v>317</v>
      </c>
      <c r="C162" s="5">
        <v>12869.428761345751</v>
      </c>
      <c r="D162" s="3" t="s">
        <v>467</v>
      </c>
      <c r="E162" s="15">
        <f t="shared" si="21"/>
        <v>2316.4971770422349</v>
      </c>
      <c r="F162" s="15">
        <f t="shared" si="15"/>
        <v>0</v>
      </c>
      <c r="G162" s="16">
        <f t="shared" si="16"/>
        <v>10552.931584303517</v>
      </c>
      <c r="H162" s="17">
        <v>8806</v>
      </c>
      <c r="I162" s="16">
        <f t="shared" si="17"/>
        <v>1746.9315843035165</v>
      </c>
      <c r="J162" s="18">
        <f t="shared" si="18"/>
        <v>0.19837969387957263</v>
      </c>
      <c r="K162" s="18">
        <f t="shared" si="19"/>
        <v>0.13574274481790136</v>
      </c>
      <c r="L162" s="25">
        <f t="shared" si="20"/>
        <v>12883.697177042235</v>
      </c>
    </row>
    <row r="163" spans="1:12" ht="50.1" customHeight="1" x14ac:dyDescent="0.2">
      <c r="A163" s="4" t="s">
        <v>318</v>
      </c>
      <c r="B163" s="4" t="s">
        <v>319</v>
      </c>
      <c r="C163" s="5" t="e">
        <v>#VALUE!</v>
      </c>
      <c r="D163" s="3" t="s">
        <v>467</v>
      </c>
      <c r="E163" s="15" t="e">
        <f t="shared" si="21"/>
        <v>#VALUE!</v>
      </c>
      <c r="F163" s="15" t="e">
        <f t="shared" si="15"/>
        <v>#VALUE!</v>
      </c>
      <c r="G163" s="16" t="e">
        <f t="shared" si="16"/>
        <v>#VALUE!</v>
      </c>
      <c r="H163" s="17">
        <f>13818*1.19*0.88</f>
        <v>14470.209599999998</v>
      </c>
      <c r="I163" s="16" t="e">
        <f t="shared" si="17"/>
        <v>#VALUE!</v>
      </c>
      <c r="J163" s="18" t="e">
        <f t="shared" si="18"/>
        <v>#VALUE!</v>
      </c>
      <c r="K163" s="18" t="e">
        <f t="shared" si="19"/>
        <v>#VALUE!</v>
      </c>
      <c r="L163" s="25" t="e">
        <f t="shared" si="20"/>
        <v>#VALUE!</v>
      </c>
    </row>
    <row r="164" spans="1:12" ht="50.1" customHeight="1" x14ac:dyDescent="0.2">
      <c r="A164" s="4" t="s">
        <v>320</v>
      </c>
      <c r="B164" s="8" t="s">
        <v>321</v>
      </c>
      <c r="C164" s="5">
        <v>15216.419847339464</v>
      </c>
      <c r="D164" s="3" t="s">
        <v>469</v>
      </c>
      <c r="E164" s="15">
        <f t="shared" si="21"/>
        <v>3130.2987786275253</v>
      </c>
      <c r="F164" s="15">
        <f t="shared" si="15"/>
        <v>0</v>
      </c>
      <c r="G164" s="16">
        <f t="shared" si="16"/>
        <v>12086.121068711938</v>
      </c>
      <c r="H164" s="17">
        <v>10080</v>
      </c>
      <c r="I164" s="16">
        <f t="shared" si="17"/>
        <v>2006.1210687119383</v>
      </c>
      <c r="J164" s="18">
        <f t="shared" si="18"/>
        <v>0.19901994729285102</v>
      </c>
      <c r="K164" s="18">
        <f t="shared" si="19"/>
        <v>0.1318392295190712</v>
      </c>
      <c r="L164" s="25">
        <f t="shared" si="20"/>
        <v>15226.298778627526</v>
      </c>
    </row>
    <row r="165" spans="1:12" ht="50.1" customHeight="1" x14ac:dyDescent="0.2">
      <c r="A165" s="4" t="s">
        <v>322</v>
      </c>
      <c r="B165" s="8" t="s">
        <v>323</v>
      </c>
      <c r="C165" s="5">
        <v>21671.274177176492</v>
      </c>
      <c r="D165" s="3" t="s">
        <v>468</v>
      </c>
      <c r="E165" s="15">
        <f t="shared" si="21"/>
        <v>3467.403868348239</v>
      </c>
      <c r="F165" s="15">
        <v>3100</v>
      </c>
      <c r="G165" s="16">
        <f t="shared" si="16"/>
        <v>15103.870308828253</v>
      </c>
      <c r="H165" s="17">
        <v>12600</v>
      </c>
      <c r="I165" s="16">
        <f t="shared" si="17"/>
        <v>2503.8703088282527</v>
      </c>
      <c r="J165" s="18">
        <f t="shared" si="18"/>
        <v>0.19871986578002007</v>
      </c>
      <c r="K165" s="18">
        <f t="shared" si="19"/>
        <v>0.11553867522313251</v>
      </c>
      <c r="L165" s="25">
        <f t="shared" si="20"/>
        <v>21687.403868348239</v>
      </c>
    </row>
    <row r="166" spans="1:12" ht="50.1" customHeight="1" x14ac:dyDescent="0.2">
      <c r="A166" s="4" t="s">
        <v>324</v>
      </c>
      <c r="B166" s="8" t="s">
        <v>325</v>
      </c>
      <c r="C166" s="5">
        <v>29450.58779179088</v>
      </c>
      <c r="D166" s="3" t="s">
        <v>468</v>
      </c>
      <c r="E166" s="15">
        <f t="shared" si="21"/>
        <v>4712.0940466865413</v>
      </c>
      <c r="F166" s="15">
        <v>4600</v>
      </c>
      <c r="G166" s="16">
        <f t="shared" si="16"/>
        <v>20138.493745104337</v>
      </c>
      <c r="H166" s="17">
        <v>16800</v>
      </c>
      <c r="I166" s="16">
        <f t="shared" si="17"/>
        <v>3338.493745104337</v>
      </c>
      <c r="J166" s="18">
        <f t="shared" si="18"/>
        <v>0.19871986578002007</v>
      </c>
      <c r="K166" s="18">
        <f t="shared" si="19"/>
        <v>0.11335915495835761</v>
      </c>
      <c r="L166" s="25">
        <f t="shared" si="20"/>
        <v>29472.094046686543</v>
      </c>
    </row>
    <row r="167" spans="1:12" ht="50.1" customHeight="1" x14ac:dyDescent="0.2">
      <c r="A167" s="4" t="s">
        <v>326</v>
      </c>
      <c r="B167" s="8" t="s">
        <v>327</v>
      </c>
      <c r="C167" s="5">
        <v>42934.78462633842</v>
      </c>
      <c r="D167" s="3" t="s">
        <v>469</v>
      </c>
      <c r="E167" s="15">
        <f t="shared" si="21"/>
        <v>6010.8698476873797</v>
      </c>
      <c r="F167" s="15">
        <v>5500</v>
      </c>
      <c r="G167" s="16">
        <f t="shared" si="16"/>
        <v>31423.914778651044</v>
      </c>
      <c r="H167" s="17">
        <v>26208</v>
      </c>
      <c r="I167" s="16">
        <f t="shared" si="17"/>
        <v>5215.9147786510439</v>
      </c>
      <c r="J167" s="18">
        <f t="shared" si="18"/>
        <v>0.19901994729285119</v>
      </c>
      <c r="K167" s="18">
        <f t="shared" si="19"/>
        <v>0.12148459166722667</v>
      </c>
      <c r="L167" s="25">
        <f t="shared" si="20"/>
        <v>42960.469847687382</v>
      </c>
    </row>
    <row r="168" spans="1:12" ht="50.1" customHeight="1" x14ac:dyDescent="0.2">
      <c r="A168" s="4" t="s">
        <v>328</v>
      </c>
      <c r="B168" s="8" t="s">
        <v>329</v>
      </c>
      <c r="C168" s="5">
        <v>16153.865324466869</v>
      </c>
      <c r="D168" s="3" t="s">
        <v>468</v>
      </c>
      <c r="E168" s="15">
        <f t="shared" si="21"/>
        <v>2584.6184519146991</v>
      </c>
      <c r="F168" s="15">
        <v>3500</v>
      </c>
      <c r="G168" s="16">
        <f t="shared" si="16"/>
        <v>10069.24687255217</v>
      </c>
      <c r="H168" s="17">
        <v>8400</v>
      </c>
      <c r="I168" s="16">
        <f t="shared" si="17"/>
        <v>1669.2468725521703</v>
      </c>
      <c r="J168" s="18">
        <f t="shared" si="18"/>
        <v>0.19871986578002027</v>
      </c>
      <c r="K168" s="18">
        <f t="shared" si="19"/>
        <v>0.10333420757345957</v>
      </c>
      <c r="L168" s="25">
        <f t="shared" si="20"/>
        <v>16164.618451914699</v>
      </c>
    </row>
    <row r="169" spans="1:12" ht="50.1" customHeight="1" x14ac:dyDescent="0.2">
      <c r="A169" s="4" t="s">
        <v>330</v>
      </c>
      <c r="B169" s="8" t="s">
        <v>331</v>
      </c>
      <c r="C169" s="5">
        <v>20472.554311396474</v>
      </c>
      <c r="D169" s="3" t="s">
        <v>468</v>
      </c>
      <c r="E169" s="15">
        <f t="shared" si="21"/>
        <v>3275.6086898234357</v>
      </c>
      <c r="F169" s="15">
        <v>3100</v>
      </c>
      <c r="G169" s="16">
        <f t="shared" si="16"/>
        <v>14096.945621573039</v>
      </c>
      <c r="H169" s="17">
        <v>11760</v>
      </c>
      <c r="I169" s="16">
        <f t="shared" si="17"/>
        <v>2336.9456215730388</v>
      </c>
      <c r="J169" s="18">
        <f t="shared" si="18"/>
        <v>0.19871986578002029</v>
      </c>
      <c r="K169" s="18">
        <f t="shared" si="19"/>
        <v>0.11415017325278895</v>
      </c>
      <c r="L169" s="25">
        <f t="shared" si="20"/>
        <v>20487.608689823435</v>
      </c>
    </row>
    <row r="170" spans="1:12" ht="50.1" customHeight="1" x14ac:dyDescent="0.2">
      <c r="A170" s="4" t="s">
        <v>332</v>
      </c>
      <c r="B170" s="8" t="s">
        <v>333</v>
      </c>
      <c r="C170" s="5">
        <v>2637.1837047160443</v>
      </c>
      <c r="D170" s="3" t="s">
        <v>468</v>
      </c>
      <c r="E170" s="15">
        <f t="shared" si="21"/>
        <v>421.9493927545671</v>
      </c>
      <c r="F170" s="15">
        <f t="shared" ref="F170:F185" si="22">IF(C170&gt;=19990,"ACTIVAR",0)</f>
        <v>0</v>
      </c>
      <c r="G170" s="16">
        <f t="shared" si="16"/>
        <v>2215.234311961477</v>
      </c>
      <c r="H170" s="17">
        <v>1848</v>
      </c>
      <c r="I170" s="16">
        <f t="shared" si="17"/>
        <v>367.23431196147703</v>
      </c>
      <c r="J170" s="18">
        <f t="shared" si="18"/>
        <v>0.19871986578002004</v>
      </c>
      <c r="K170" s="18">
        <f t="shared" si="19"/>
        <v>0.13925245757614696</v>
      </c>
      <c r="L170" s="25">
        <f t="shared" si="20"/>
        <v>2639.5493927545672</v>
      </c>
    </row>
    <row r="171" spans="1:12" ht="50.1" customHeight="1" x14ac:dyDescent="0.2">
      <c r="A171" s="4" t="s">
        <v>334</v>
      </c>
      <c r="B171" s="8" t="s">
        <v>335</v>
      </c>
      <c r="C171" s="5">
        <v>13185.918523580222</v>
      </c>
      <c r="D171" s="3" t="s">
        <v>468</v>
      </c>
      <c r="E171" s="15">
        <f t="shared" si="21"/>
        <v>2109.7469637728354</v>
      </c>
      <c r="F171" s="15">
        <f t="shared" si="22"/>
        <v>0</v>
      </c>
      <c r="G171" s="16">
        <f t="shared" si="16"/>
        <v>11076.171559807386</v>
      </c>
      <c r="H171" s="17">
        <v>9240</v>
      </c>
      <c r="I171" s="16">
        <f t="shared" si="17"/>
        <v>1836.1715598073861</v>
      </c>
      <c r="J171" s="18">
        <f t="shared" si="18"/>
        <v>0.19871986578002013</v>
      </c>
      <c r="K171" s="18">
        <f t="shared" si="19"/>
        <v>0.13925245757614704</v>
      </c>
      <c r="L171" s="25">
        <f t="shared" si="20"/>
        <v>13197.746963772835</v>
      </c>
    </row>
    <row r="172" spans="1:12" ht="50.1" customHeight="1" x14ac:dyDescent="0.2">
      <c r="A172" s="4" t="s">
        <v>336</v>
      </c>
      <c r="B172" s="8" t="s">
        <v>337</v>
      </c>
      <c r="C172" s="5">
        <v>12081.515250936332</v>
      </c>
      <c r="D172" s="3" t="s">
        <v>468</v>
      </c>
      <c r="E172" s="15">
        <f t="shared" si="21"/>
        <v>1933.0424401498133</v>
      </c>
      <c r="F172" s="15">
        <v>3100</v>
      </c>
      <c r="G172" s="16">
        <f t="shared" si="16"/>
        <v>7048.4728107865194</v>
      </c>
      <c r="H172" s="17">
        <v>5880</v>
      </c>
      <c r="I172" s="16">
        <f t="shared" si="17"/>
        <v>1168.4728107865194</v>
      </c>
      <c r="J172" s="18">
        <f t="shared" si="18"/>
        <v>0.19871986578002029</v>
      </c>
      <c r="K172" s="18">
        <f t="shared" si="19"/>
        <v>9.6715750178435714E-2</v>
      </c>
      <c r="L172" s="25">
        <f t="shared" si="20"/>
        <v>12089.042440149813</v>
      </c>
    </row>
    <row r="173" spans="1:12" ht="50.1" customHeight="1" x14ac:dyDescent="0.2">
      <c r="A173" s="4" t="s">
        <v>338</v>
      </c>
      <c r="B173" s="8" t="s">
        <v>25</v>
      </c>
      <c r="C173" s="5">
        <v>5479.2345702226312</v>
      </c>
      <c r="D173" s="3" t="s">
        <v>472</v>
      </c>
      <c r="E173" s="15">
        <f t="shared" si="21"/>
        <v>1412.3004941289421</v>
      </c>
      <c r="F173" s="15">
        <f t="shared" si="22"/>
        <v>0</v>
      </c>
      <c r="G173" s="16">
        <f t="shared" si="16"/>
        <v>4066.9340760936893</v>
      </c>
      <c r="H173" s="17">
        <v>3391.5</v>
      </c>
      <c r="I173" s="16">
        <f t="shared" si="17"/>
        <v>675.43407609368933</v>
      </c>
      <c r="J173" s="18">
        <f t="shared" si="18"/>
        <v>0.19915496862559026</v>
      </c>
      <c r="K173" s="18">
        <f t="shared" si="19"/>
        <v>0.12327161165254606</v>
      </c>
      <c r="L173" s="25">
        <f t="shared" si="20"/>
        <v>5482.100494128942</v>
      </c>
    </row>
    <row r="174" spans="1:12" ht="50.1" customHeight="1" x14ac:dyDescent="0.2">
      <c r="A174" s="4" t="s">
        <v>339</v>
      </c>
      <c r="B174" s="8" t="s">
        <v>340</v>
      </c>
      <c r="C174" s="5">
        <v>5025.3476277908821</v>
      </c>
      <c r="D174" s="3" t="s">
        <v>468</v>
      </c>
      <c r="E174" s="15">
        <f t="shared" si="21"/>
        <v>804.05562044654118</v>
      </c>
      <c r="F174" s="15">
        <f t="shared" si="22"/>
        <v>0</v>
      </c>
      <c r="G174" s="16">
        <f t="shared" si="16"/>
        <v>4221.2920073443411</v>
      </c>
      <c r="H174" s="17">
        <v>3521.5</v>
      </c>
      <c r="I174" s="16">
        <f t="shared" si="17"/>
        <v>699.79200734434107</v>
      </c>
      <c r="J174" s="18">
        <f t="shared" si="18"/>
        <v>0.19871986578002018</v>
      </c>
      <c r="K174" s="18">
        <f t="shared" si="19"/>
        <v>0.13925245757614707</v>
      </c>
      <c r="L174" s="25">
        <f t="shared" si="20"/>
        <v>5029.8556204465413</v>
      </c>
    </row>
    <row r="175" spans="1:12" ht="50.1" customHeight="1" x14ac:dyDescent="0.2">
      <c r="A175" s="4" t="s">
        <v>341</v>
      </c>
      <c r="B175" s="8" t="s">
        <v>254</v>
      </c>
      <c r="C175" s="5">
        <v>6975.0257295362635</v>
      </c>
      <c r="D175" s="3" t="s">
        <v>471</v>
      </c>
      <c r="E175" s="15">
        <f t="shared" si="21"/>
        <v>1185.7543740211649</v>
      </c>
      <c r="F175" s="15">
        <f t="shared" si="22"/>
        <v>0</v>
      </c>
      <c r="G175" s="16">
        <f t="shared" si="16"/>
        <v>5789.2713555150985</v>
      </c>
      <c r="H175" s="17">
        <v>4830.21</v>
      </c>
      <c r="I175" s="16">
        <f t="shared" si="17"/>
        <v>959.06135551509851</v>
      </c>
      <c r="J175" s="18">
        <f t="shared" si="18"/>
        <v>0.1985547948257112</v>
      </c>
      <c r="K175" s="18">
        <f t="shared" si="19"/>
        <v>0.13749932870553899</v>
      </c>
      <c r="L175" s="25">
        <f t="shared" si="20"/>
        <v>6982.0063740211654</v>
      </c>
    </row>
    <row r="176" spans="1:12" ht="50.1" customHeight="1" x14ac:dyDescent="0.2">
      <c r="A176" s="4" t="s">
        <v>342</v>
      </c>
      <c r="B176" s="8" t="s">
        <v>343</v>
      </c>
      <c r="C176" s="5">
        <v>2996.7996644500504</v>
      </c>
      <c r="D176" s="3" t="s">
        <v>468</v>
      </c>
      <c r="E176" s="15">
        <f t="shared" si="21"/>
        <v>479.48794631200809</v>
      </c>
      <c r="F176" s="15">
        <f t="shared" si="22"/>
        <v>0</v>
      </c>
      <c r="G176" s="16">
        <f t="shared" si="16"/>
        <v>2517.3117181380421</v>
      </c>
      <c r="H176" s="17">
        <v>2100</v>
      </c>
      <c r="I176" s="16">
        <f t="shared" si="17"/>
        <v>417.31171813804212</v>
      </c>
      <c r="J176" s="18">
        <f t="shared" si="18"/>
        <v>0.19871986578002007</v>
      </c>
      <c r="K176" s="18">
        <f t="shared" si="19"/>
        <v>0.13925245757614696</v>
      </c>
      <c r="L176" s="25">
        <f t="shared" si="20"/>
        <v>2999.4879463120083</v>
      </c>
    </row>
    <row r="177" spans="1:12" ht="50.1" customHeight="1" x14ac:dyDescent="0.2">
      <c r="A177" s="4" t="s">
        <v>344</v>
      </c>
      <c r="B177" s="8" t="s">
        <v>345</v>
      </c>
      <c r="C177" s="5">
        <v>2637.1837047160443</v>
      </c>
      <c r="D177" s="3" t="s">
        <v>468</v>
      </c>
      <c r="E177" s="15">
        <f t="shared" si="21"/>
        <v>421.9493927545671</v>
      </c>
      <c r="F177" s="15">
        <f t="shared" si="22"/>
        <v>0</v>
      </c>
      <c r="G177" s="16">
        <f t="shared" si="16"/>
        <v>2215.234311961477</v>
      </c>
      <c r="H177" s="17">
        <v>1848</v>
      </c>
      <c r="I177" s="16">
        <f t="shared" si="17"/>
        <v>367.23431196147703</v>
      </c>
      <c r="J177" s="18">
        <f t="shared" si="18"/>
        <v>0.19871986578002004</v>
      </c>
      <c r="K177" s="18">
        <f t="shared" si="19"/>
        <v>0.13925245757614696</v>
      </c>
      <c r="L177" s="25">
        <f t="shared" si="20"/>
        <v>2639.5493927545672</v>
      </c>
    </row>
    <row r="178" spans="1:12" ht="50.1" customHeight="1" x14ac:dyDescent="0.2">
      <c r="A178" s="4" t="s">
        <v>346</v>
      </c>
      <c r="B178" s="8" t="s">
        <v>263</v>
      </c>
      <c r="C178" s="5">
        <v>9581.1681005354039</v>
      </c>
      <c r="D178" s="3" t="s">
        <v>468</v>
      </c>
      <c r="E178" s="15">
        <f t="shared" si="21"/>
        <v>1532.9868960856647</v>
      </c>
      <c r="F178" s="15">
        <f t="shared" si="22"/>
        <v>0</v>
      </c>
      <c r="G178" s="16">
        <f t="shared" si="16"/>
        <v>8048.1812044497392</v>
      </c>
      <c r="H178" s="17">
        <v>6713.98</v>
      </c>
      <c r="I178" s="16">
        <f t="shared" si="17"/>
        <v>1334.2012044497396</v>
      </c>
      <c r="J178" s="18">
        <f t="shared" si="18"/>
        <v>0.19871986578002016</v>
      </c>
      <c r="K178" s="18">
        <f t="shared" si="19"/>
        <v>0.13925245757614704</v>
      </c>
      <c r="L178" s="25">
        <f t="shared" si="20"/>
        <v>9589.7628960856655</v>
      </c>
    </row>
    <row r="179" spans="1:12" ht="50.1" customHeight="1" x14ac:dyDescent="0.2">
      <c r="A179" s="4" t="s">
        <v>347</v>
      </c>
      <c r="B179" s="8" t="s">
        <v>345</v>
      </c>
      <c r="C179" s="5">
        <v>1318.5918523580222</v>
      </c>
      <c r="D179" s="3" t="s">
        <v>468</v>
      </c>
      <c r="E179" s="15">
        <f t="shared" si="21"/>
        <v>210.97469637728355</v>
      </c>
      <c r="F179" s="15">
        <f t="shared" si="22"/>
        <v>0</v>
      </c>
      <c r="G179" s="16">
        <f t="shared" si="16"/>
        <v>1107.6171559807385</v>
      </c>
      <c r="H179" s="17">
        <v>924</v>
      </c>
      <c r="I179" s="16">
        <f t="shared" si="17"/>
        <v>183.61715598073852</v>
      </c>
      <c r="J179" s="18">
        <f t="shared" si="18"/>
        <v>0.19871986578002004</v>
      </c>
      <c r="K179" s="18">
        <f t="shared" si="19"/>
        <v>0.13925245757614696</v>
      </c>
      <c r="L179" s="25">
        <f t="shared" si="20"/>
        <v>1319.7746963772836</v>
      </c>
    </row>
    <row r="180" spans="1:12" ht="50.1" customHeight="1" x14ac:dyDescent="0.2">
      <c r="A180" s="4" t="s">
        <v>348</v>
      </c>
      <c r="B180" s="8" t="s">
        <v>345</v>
      </c>
      <c r="C180" s="5">
        <v>1678.2078120920285</v>
      </c>
      <c r="D180" s="3" t="s">
        <v>468</v>
      </c>
      <c r="E180" s="15">
        <f t="shared" si="21"/>
        <v>268.51324993472457</v>
      </c>
      <c r="F180" s="15">
        <f t="shared" si="22"/>
        <v>0</v>
      </c>
      <c r="G180" s="16">
        <f t="shared" si="16"/>
        <v>1409.6945621573038</v>
      </c>
      <c r="H180" s="17">
        <v>1176</v>
      </c>
      <c r="I180" s="16">
        <f t="shared" si="17"/>
        <v>233.69456215730384</v>
      </c>
      <c r="J180" s="18">
        <f t="shared" si="18"/>
        <v>0.19871986578002027</v>
      </c>
      <c r="K180" s="18">
        <f t="shared" si="19"/>
        <v>0.1392524575761471</v>
      </c>
      <c r="L180" s="25">
        <f t="shared" si="20"/>
        <v>1679.7132499347247</v>
      </c>
    </row>
    <row r="181" spans="1:12" ht="50.1" customHeight="1" x14ac:dyDescent="0.2">
      <c r="A181" s="4" t="s">
        <v>349</v>
      </c>
      <c r="B181" s="8" t="s">
        <v>350</v>
      </c>
      <c r="C181" s="5">
        <v>4747.6272136860489</v>
      </c>
      <c r="D181" s="3" t="s">
        <v>475</v>
      </c>
      <c r="E181" s="15">
        <f t="shared" si="21"/>
        <v>1269.7152656423259</v>
      </c>
      <c r="F181" s="15">
        <f t="shared" si="22"/>
        <v>0</v>
      </c>
      <c r="G181" s="16">
        <f t="shared" si="16"/>
        <v>3477.911948043723</v>
      </c>
      <c r="H181" s="17">
        <v>2900</v>
      </c>
      <c r="I181" s="16">
        <f t="shared" si="17"/>
        <v>577.91194804372299</v>
      </c>
      <c r="J181" s="18">
        <f t="shared" si="18"/>
        <v>0.19927998208404241</v>
      </c>
      <c r="K181" s="18">
        <f t="shared" si="19"/>
        <v>0.12172647978294682</v>
      </c>
      <c r="L181" s="25">
        <f t="shared" si="20"/>
        <v>4749.7152656423259</v>
      </c>
    </row>
    <row r="182" spans="1:12" ht="50.1" customHeight="1" x14ac:dyDescent="0.2">
      <c r="A182" s="4" t="s">
        <v>351</v>
      </c>
      <c r="B182" s="8" t="s">
        <v>352</v>
      </c>
      <c r="C182" s="5">
        <v>4660.4068513526645</v>
      </c>
      <c r="D182" s="3" t="s">
        <v>475</v>
      </c>
      <c r="E182" s="15">
        <f t="shared" si="21"/>
        <v>1259.2488221623198</v>
      </c>
      <c r="F182" s="15">
        <f t="shared" si="22"/>
        <v>0</v>
      </c>
      <c r="G182" s="16">
        <f t="shared" si="16"/>
        <v>3401.1580291903447</v>
      </c>
      <c r="H182" s="17">
        <v>2836</v>
      </c>
      <c r="I182" s="16">
        <f t="shared" si="17"/>
        <v>565.15802919034468</v>
      </c>
      <c r="J182" s="18">
        <f t="shared" si="18"/>
        <v>0.19927998208404255</v>
      </c>
      <c r="K182" s="18">
        <f t="shared" si="19"/>
        <v>0.12126795947575045</v>
      </c>
      <c r="L182" s="25">
        <f t="shared" si="20"/>
        <v>4662.4488221623196</v>
      </c>
    </row>
    <row r="183" spans="1:12" ht="50.1" customHeight="1" x14ac:dyDescent="0.2">
      <c r="A183" s="4" t="s">
        <v>353</v>
      </c>
      <c r="B183" s="8" t="s">
        <v>246</v>
      </c>
      <c r="C183" s="5">
        <v>5916.3198391577189</v>
      </c>
      <c r="D183" s="3" t="s">
        <v>474</v>
      </c>
      <c r="E183" s="15">
        <f t="shared" si="21"/>
        <v>1183.2639678315438</v>
      </c>
      <c r="F183" s="15">
        <f t="shared" si="22"/>
        <v>0</v>
      </c>
      <c r="G183" s="16">
        <f t="shared" si="16"/>
        <v>4733.0558713261753</v>
      </c>
      <c r="H183" s="17">
        <v>3950.7999999999997</v>
      </c>
      <c r="I183" s="16">
        <f t="shared" si="17"/>
        <v>782.25587132617557</v>
      </c>
      <c r="J183" s="18">
        <f t="shared" si="18"/>
        <v>0.19799935995904011</v>
      </c>
      <c r="K183" s="18">
        <f t="shared" si="19"/>
        <v>0.13222001051206556</v>
      </c>
      <c r="L183" s="25">
        <f t="shared" si="20"/>
        <v>5924.2239678315436</v>
      </c>
    </row>
    <row r="184" spans="1:12" ht="50.1" customHeight="1" x14ac:dyDescent="0.2">
      <c r="A184" s="4" t="s">
        <v>354</v>
      </c>
      <c r="B184" s="8" t="s">
        <v>355</v>
      </c>
      <c r="C184" s="5">
        <v>15415.234396867652</v>
      </c>
      <c r="D184" s="3" t="s">
        <v>472</v>
      </c>
      <c r="E184" s="15">
        <f t="shared" si="21"/>
        <v>3003.9804715927949</v>
      </c>
      <c r="F184" s="15">
        <f t="shared" si="22"/>
        <v>0</v>
      </c>
      <c r="G184" s="16">
        <f t="shared" si="16"/>
        <v>12411.253925274857</v>
      </c>
      <c r="H184" s="17">
        <v>10350</v>
      </c>
      <c r="I184" s="16">
        <f t="shared" si="17"/>
        <v>2061.2539252748575</v>
      </c>
      <c r="J184" s="18">
        <f t="shared" si="18"/>
        <v>0.1991549686255901</v>
      </c>
      <c r="K184" s="18">
        <f t="shared" si="19"/>
        <v>0.13371538000704683</v>
      </c>
      <c r="L184" s="25">
        <f t="shared" si="20"/>
        <v>15423.980471592795</v>
      </c>
    </row>
    <row r="185" spans="1:12" ht="50.1" customHeight="1" x14ac:dyDescent="0.2">
      <c r="A185" s="4" t="s">
        <v>356</v>
      </c>
      <c r="B185" s="8" t="s">
        <v>357</v>
      </c>
      <c r="C185" s="5">
        <v>13870.440271910653</v>
      </c>
      <c r="D185" s="3" t="s">
        <v>473</v>
      </c>
      <c r="E185" s="15">
        <f t="shared" si="21"/>
        <v>3080.566040786598</v>
      </c>
      <c r="F185" s="15">
        <f t="shared" si="22"/>
        <v>0</v>
      </c>
      <c r="G185" s="16">
        <f t="shared" si="16"/>
        <v>10789.874231124055</v>
      </c>
      <c r="H185" s="17">
        <v>9000</v>
      </c>
      <c r="I185" s="16">
        <f t="shared" si="17"/>
        <v>1789.8742311240549</v>
      </c>
      <c r="J185" s="18">
        <f t="shared" si="18"/>
        <v>0.19887491456933942</v>
      </c>
      <c r="K185" s="18">
        <f t="shared" si="19"/>
        <v>0.12904235165114192</v>
      </c>
      <c r="L185" s="25">
        <f t="shared" si="20"/>
        <v>13880.566040786598</v>
      </c>
    </row>
    <row r="186" spans="1:12" ht="50.1" customHeight="1" x14ac:dyDescent="0.2">
      <c r="A186" s="4" t="s">
        <v>358</v>
      </c>
      <c r="B186" s="8" t="s">
        <v>359</v>
      </c>
      <c r="C186" s="5">
        <v>13756.425592906828</v>
      </c>
      <c r="D186" s="3" t="s">
        <v>468</v>
      </c>
      <c r="E186" s="15">
        <f t="shared" si="21"/>
        <v>2201.0280948650925</v>
      </c>
      <c r="F186" s="15">
        <v>3500</v>
      </c>
      <c r="G186" s="16">
        <f t="shared" si="16"/>
        <v>8055.3974980417352</v>
      </c>
      <c r="H186" s="17">
        <v>6720</v>
      </c>
      <c r="I186" s="16">
        <f t="shared" si="17"/>
        <v>1335.3974980417352</v>
      </c>
      <c r="J186" s="18">
        <f t="shared" si="18"/>
        <v>0.1987198657800201</v>
      </c>
      <c r="K186" s="18">
        <f t="shared" si="19"/>
        <v>9.7074453608813976E-2</v>
      </c>
      <c r="L186" s="25">
        <f t="shared" si="20"/>
        <v>13765.028094865092</v>
      </c>
    </row>
    <row r="187" spans="1:12" ht="50.1" customHeight="1" x14ac:dyDescent="0.2">
      <c r="A187" s="4" t="s">
        <v>360</v>
      </c>
      <c r="B187" s="8" t="s">
        <v>361</v>
      </c>
      <c r="C187" s="5">
        <v>19609.989304109251</v>
      </c>
      <c r="D187" s="3" t="s">
        <v>469</v>
      </c>
      <c r="E187" s="15">
        <f t="shared" si="21"/>
        <v>3745.3985025752954</v>
      </c>
      <c r="F187" s="15">
        <v>6800</v>
      </c>
      <c r="G187" s="16">
        <f t="shared" si="16"/>
        <v>9064.5908015339555</v>
      </c>
      <c r="H187" s="17">
        <v>7560</v>
      </c>
      <c r="I187" s="16">
        <f t="shared" si="17"/>
        <v>1504.5908015339555</v>
      </c>
      <c r="J187" s="18">
        <f t="shared" si="18"/>
        <v>0.19901994729285127</v>
      </c>
      <c r="K187" s="18">
        <f t="shared" si="19"/>
        <v>7.6725732900765536E-2</v>
      </c>
      <c r="L187" s="25">
        <f t="shared" si="20"/>
        <v>19617.398502575295</v>
      </c>
    </row>
    <row r="188" spans="1:12" ht="50.1" customHeight="1" x14ac:dyDescent="0.2">
      <c r="A188" s="4" t="s">
        <v>362</v>
      </c>
      <c r="B188" s="8" t="s">
        <v>363</v>
      </c>
      <c r="C188" s="5">
        <v>11231.694566995338</v>
      </c>
      <c r="D188" s="3" t="s">
        <v>468</v>
      </c>
      <c r="E188" s="15">
        <f t="shared" si="21"/>
        <v>1797.0711307192541</v>
      </c>
      <c r="F188" s="15">
        <v>4400</v>
      </c>
      <c r="G188" s="16">
        <f t="shared" si="16"/>
        <v>5034.6234362760842</v>
      </c>
      <c r="H188" s="17">
        <v>4200</v>
      </c>
      <c r="I188" s="16">
        <f t="shared" si="17"/>
        <v>834.62343627608425</v>
      </c>
      <c r="J188" s="18">
        <f t="shared" si="18"/>
        <v>0.19871986578002007</v>
      </c>
      <c r="K188" s="18">
        <f t="shared" si="19"/>
        <v>7.4309662829387252E-2</v>
      </c>
      <c r="L188" s="25">
        <f t="shared" si="20"/>
        <v>11237.071130719254</v>
      </c>
    </row>
    <row r="189" spans="1:12" ht="50.1" customHeight="1" x14ac:dyDescent="0.2">
      <c r="A189" s="4" t="s">
        <v>364</v>
      </c>
      <c r="B189" s="8" t="s">
        <v>365</v>
      </c>
      <c r="C189" s="5">
        <v>27664.873506076594</v>
      </c>
      <c r="D189" s="3" t="s">
        <v>468</v>
      </c>
      <c r="E189" s="15">
        <f t="shared" si="21"/>
        <v>4426.3797609722551</v>
      </c>
      <c r="F189" s="15">
        <v>3100</v>
      </c>
      <c r="G189" s="16">
        <f t="shared" si="16"/>
        <v>20138.493745104337</v>
      </c>
      <c r="H189" s="17">
        <v>16800</v>
      </c>
      <c r="I189" s="16">
        <f t="shared" si="17"/>
        <v>3338.493745104337</v>
      </c>
      <c r="J189" s="18">
        <f t="shared" si="18"/>
        <v>0.19871986578002007</v>
      </c>
      <c r="K189" s="18">
        <f t="shared" si="19"/>
        <v>0.12067627001334513</v>
      </c>
      <c r="L189" s="25">
        <f t="shared" si="20"/>
        <v>27686.379760972253</v>
      </c>
    </row>
    <row r="190" spans="1:12" ht="50.1" customHeight="1" x14ac:dyDescent="0.2">
      <c r="A190" s="4" t="s">
        <v>366</v>
      </c>
      <c r="B190" s="8" t="s">
        <v>367</v>
      </c>
      <c r="C190" s="5">
        <v>27664.873506076594</v>
      </c>
      <c r="D190" s="3" t="s">
        <v>468</v>
      </c>
      <c r="E190" s="15">
        <f t="shared" si="21"/>
        <v>4426.3797609722551</v>
      </c>
      <c r="F190" s="15">
        <v>3100</v>
      </c>
      <c r="G190" s="16">
        <f t="shared" si="16"/>
        <v>20138.493745104337</v>
      </c>
      <c r="H190" s="17">
        <v>16800</v>
      </c>
      <c r="I190" s="16">
        <f t="shared" si="17"/>
        <v>3338.493745104337</v>
      </c>
      <c r="J190" s="18">
        <f t="shared" si="18"/>
        <v>0.19871986578002007</v>
      </c>
      <c r="K190" s="18">
        <f t="shared" si="19"/>
        <v>0.12067627001334513</v>
      </c>
      <c r="L190" s="25">
        <f t="shared" si="20"/>
        <v>27686.379760972253</v>
      </c>
    </row>
    <row r="191" spans="1:12" ht="50.1" customHeight="1" x14ac:dyDescent="0.2">
      <c r="A191" s="4" t="s">
        <v>368</v>
      </c>
      <c r="B191" s="8" t="s">
        <v>369</v>
      </c>
      <c r="C191" s="5">
        <v>12141.039060460142</v>
      </c>
      <c r="D191" s="3" t="s">
        <v>468</v>
      </c>
      <c r="E191" s="15">
        <f t="shared" si="21"/>
        <v>1942.5662496736227</v>
      </c>
      <c r="F191" s="15">
        <v>3150</v>
      </c>
      <c r="G191" s="16">
        <f t="shared" si="16"/>
        <v>7048.4728107865194</v>
      </c>
      <c r="H191" s="17">
        <v>5880</v>
      </c>
      <c r="I191" s="16">
        <f t="shared" si="17"/>
        <v>1168.4728107865194</v>
      </c>
      <c r="J191" s="18">
        <f t="shared" si="18"/>
        <v>0.19871986578002029</v>
      </c>
      <c r="K191" s="18">
        <f t="shared" si="19"/>
        <v>9.6241582369329323E-2</v>
      </c>
      <c r="L191" s="25">
        <f t="shared" si="20"/>
        <v>12148.566249673622</v>
      </c>
    </row>
    <row r="192" spans="1:12" ht="50.1" customHeight="1" x14ac:dyDescent="0.2">
      <c r="A192" s="4" t="s">
        <v>370</v>
      </c>
      <c r="B192" s="8" t="s">
        <v>371</v>
      </c>
      <c r="C192" s="5">
        <v>22146.823338364869</v>
      </c>
      <c r="D192" s="3" t="s">
        <v>472</v>
      </c>
      <c r="E192" s="15">
        <f t="shared" si="21"/>
        <v>2879.0870339874332</v>
      </c>
      <c r="F192" s="15">
        <v>3000</v>
      </c>
      <c r="G192" s="16">
        <f t="shared" si="16"/>
        <v>16267.736304377435</v>
      </c>
      <c r="H192" s="17">
        <v>13566</v>
      </c>
      <c r="I192" s="16">
        <f t="shared" si="17"/>
        <v>2701.7363043774349</v>
      </c>
      <c r="J192" s="18">
        <f t="shared" si="18"/>
        <v>0.19915496862578763</v>
      </c>
      <c r="K192" s="18">
        <f t="shared" si="19"/>
        <v>0.1219920465838198</v>
      </c>
      <c r="L192" s="25">
        <f t="shared" si="20"/>
        <v>22158.287033987432</v>
      </c>
    </row>
    <row r="193" spans="1:12" ht="50.1" customHeight="1" x14ac:dyDescent="0.2">
      <c r="A193" s="4" t="s">
        <v>372</v>
      </c>
      <c r="B193" s="8" t="s">
        <v>25</v>
      </c>
      <c r="C193" s="5">
        <v>15173.335894575937</v>
      </c>
      <c r="D193" s="3" t="s">
        <v>472</v>
      </c>
      <c r="E193" s="15">
        <f t="shared" si="21"/>
        <v>2972.5336662948721</v>
      </c>
      <c r="F193" s="15">
        <f t="shared" ref="F193:F256" si="23">IF(C193&gt;=19990,"ACTIVAR",0)</f>
        <v>0</v>
      </c>
      <c r="G193" s="16">
        <f t="shared" si="16"/>
        <v>12200.802228281065</v>
      </c>
      <c r="H193" s="17">
        <v>10174.5</v>
      </c>
      <c r="I193" s="16">
        <f t="shared" si="17"/>
        <v>2026.3022282810653</v>
      </c>
      <c r="J193" s="18">
        <f t="shared" si="18"/>
        <v>0.19915496862558998</v>
      </c>
      <c r="K193" s="18">
        <f t="shared" si="19"/>
        <v>0.13354362167685316</v>
      </c>
      <c r="L193" s="25">
        <f t="shared" si="20"/>
        <v>15181.933666294872</v>
      </c>
    </row>
    <row r="194" spans="1:12" ht="50.1" customHeight="1" x14ac:dyDescent="0.2">
      <c r="A194" s="4" t="s">
        <v>373</v>
      </c>
      <c r="B194" s="8" t="s">
        <v>374</v>
      </c>
      <c r="C194" s="5">
        <v>9011.9038256767035</v>
      </c>
      <c r="D194" s="3" t="s">
        <v>469</v>
      </c>
      <c r="E194" s="15">
        <f t="shared" si="21"/>
        <v>1961.6665355947387</v>
      </c>
      <c r="F194" s="15">
        <f t="shared" si="23"/>
        <v>0</v>
      </c>
      <c r="G194" s="16">
        <f t="shared" si="16"/>
        <v>7050.2372900819646</v>
      </c>
      <c r="H194" s="17">
        <v>5880</v>
      </c>
      <c r="I194" s="16">
        <f t="shared" si="17"/>
        <v>1170.2372900819646</v>
      </c>
      <c r="J194" s="18">
        <f t="shared" si="18"/>
        <v>0.19901994729285113</v>
      </c>
      <c r="K194" s="18">
        <f t="shared" si="19"/>
        <v>0.12985461371078175</v>
      </c>
      <c r="L194" s="25">
        <f t="shared" si="20"/>
        <v>9017.6665355947389</v>
      </c>
    </row>
    <row r="195" spans="1:12" ht="50.1" customHeight="1" x14ac:dyDescent="0.2">
      <c r="A195" s="4" t="s">
        <v>375</v>
      </c>
      <c r="B195" s="8" t="s">
        <v>21</v>
      </c>
      <c r="C195" s="5">
        <v>13615.12360488487</v>
      </c>
      <c r="D195" s="3" t="s">
        <v>472</v>
      </c>
      <c r="E195" s="15">
        <f t="shared" si="21"/>
        <v>2769.966068635033</v>
      </c>
      <c r="F195" s="15">
        <f t="shared" si="23"/>
        <v>0</v>
      </c>
      <c r="G195" s="16">
        <f t="shared" si="16"/>
        <v>10845.157536249837</v>
      </c>
      <c r="H195" s="17">
        <v>9044</v>
      </c>
      <c r="I195" s="16">
        <f t="shared" si="17"/>
        <v>1801.157536249837</v>
      </c>
      <c r="J195" s="18">
        <f t="shared" si="18"/>
        <v>0.19915496862559012</v>
      </c>
      <c r="K195" s="18">
        <f t="shared" si="19"/>
        <v>0.13229094266934258</v>
      </c>
      <c r="L195" s="25">
        <f t="shared" si="20"/>
        <v>13622.766068635032</v>
      </c>
    </row>
    <row r="196" spans="1:12" ht="50.1" customHeight="1" x14ac:dyDescent="0.2">
      <c r="A196" s="4" t="s">
        <v>376</v>
      </c>
      <c r="B196" s="8" t="s">
        <v>377</v>
      </c>
      <c r="C196" s="5">
        <v>8994.9879378745172</v>
      </c>
      <c r="D196" s="3" t="s">
        <v>473</v>
      </c>
      <c r="E196" s="15">
        <f t="shared" si="21"/>
        <v>2049.2481906811772</v>
      </c>
      <c r="F196" s="15">
        <f t="shared" si="23"/>
        <v>0</v>
      </c>
      <c r="G196" s="16">
        <f t="shared" ref="G196:G259" si="24">C196-E196-F196</f>
        <v>6945.73974719334</v>
      </c>
      <c r="H196" s="17">
        <v>5793.5483199999999</v>
      </c>
      <c r="I196" s="16">
        <f t="shared" ref="I196:I259" si="25">G196-H196</f>
        <v>1152.1914271933401</v>
      </c>
      <c r="J196" s="18">
        <f t="shared" ref="J196:J259" si="26">I196/H196</f>
        <v>0.19887491456933945</v>
      </c>
      <c r="K196" s="18">
        <f t="shared" ref="K196:K259" si="27">I196/C196</f>
        <v>0.12809260392022256</v>
      </c>
      <c r="L196" s="25">
        <f t="shared" ref="L196:L259" si="28">E196+F196+H196+H196*0.2</f>
        <v>9001.5061746811771</v>
      </c>
    </row>
    <row r="197" spans="1:12" ht="50.1" customHeight="1" x14ac:dyDescent="0.2">
      <c r="A197" s="4" t="s">
        <v>378</v>
      </c>
      <c r="B197" s="8" t="s">
        <v>379</v>
      </c>
      <c r="C197" s="5">
        <v>31260.620919651461</v>
      </c>
      <c r="D197" s="3" t="s">
        <v>468</v>
      </c>
      <c r="E197" s="15">
        <f t="shared" si="21"/>
        <v>5001.6993471442338</v>
      </c>
      <c r="F197" s="15">
        <v>3150</v>
      </c>
      <c r="G197" s="16">
        <f t="shared" si="24"/>
        <v>23108.921572507228</v>
      </c>
      <c r="H197" s="17">
        <v>19278</v>
      </c>
      <c r="I197" s="16">
        <f t="shared" si="25"/>
        <v>3830.9215725072281</v>
      </c>
      <c r="J197" s="18">
        <f t="shared" si="26"/>
        <v>0.19871986578002013</v>
      </c>
      <c r="K197" s="18">
        <f t="shared" si="27"/>
        <v>0.12254784005582513</v>
      </c>
      <c r="L197" s="25">
        <f t="shared" si="28"/>
        <v>31285.299347144231</v>
      </c>
    </row>
    <row r="198" spans="1:12" ht="50.1" customHeight="1" x14ac:dyDescent="0.2">
      <c r="A198" s="4" t="s">
        <v>380</v>
      </c>
      <c r="B198" s="8" t="s">
        <v>381</v>
      </c>
      <c r="C198" s="5">
        <v>1558.3358255140265</v>
      </c>
      <c r="D198" s="3" t="s">
        <v>468</v>
      </c>
      <c r="E198" s="15">
        <f t="shared" si="21"/>
        <v>249.33373208224424</v>
      </c>
      <c r="F198" s="15">
        <f t="shared" si="23"/>
        <v>0</v>
      </c>
      <c r="G198" s="16">
        <f t="shared" si="24"/>
        <v>1309.0020934317822</v>
      </c>
      <c r="H198" s="17">
        <v>1092</v>
      </c>
      <c r="I198" s="16">
        <f t="shared" si="25"/>
        <v>217.00209343178221</v>
      </c>
      <c r="J198" s="18">
        <f t="shared" si="26"/>
        <v>0.19871986578002035</v>
      </c>
      <c r="K198" s="18">
        <f t="shared" si="27"/>
        <v>0.13925245757614715</v>
      </c>
      <c r="L198" s="25">
        <f t="shared" si="28"/>
        <v>1559.7337320822444</v>
      </c>
    </row>
    <row r="199" spans="1:12" ht="50.1" customHeight="1" x14ac:dyDescent="0.2">
      <c r="A199" s="4" t="s">
        <v>382</v>
      </c>
      <c r="B199" s="8" t="s">
        <v>383</v>
      </c>
      <c r="C199" s="5">
        <v>570.81898370477154</v>
      </c>
      <c r="D199" s="3" t="s">
        <v>468</v>
      </c>
      <c r="E199" s="15">
        <f t="shared" si="21"/>
        <v>91.331037392763449</v>
      </c>
      <c r="F199" s="15">
        <f t="shared" si="23"/>
        <v>0</v>
      </c>
      <c r="G199" s="16">
        <f t="shared" si="24"/>
        <v>479.48794631200809</v>
      </c>
      <c r="H199" s="17">
        <v>400</v>
      </c>
      <c r="I199" s="16">
        <f t="shared" si="25"/>
        <v>79.487946312008091</v>
      </c>
      <c r="J199" s="18">
        <f t="shared" si="26"/>
        <v>0.19871986578002024</v>
      </c>
      <c r="K199" s="18">
        <f t="shared" si="27"/>
        <v>0.13925245757614707</v>
      </c>
      <c r="L199" s="25">
        <f t="shared" si="28"/>
        <v>571.33103739276339</v>
      </c>
    </row>
    <row r="200" spans="1:12" ht="50.1" customHeight="1" x14ac:dyDescent="0.2">
      <c r="A200" s="4" t="s">
        <v>384</v>
      </c>
      <c r="B200" s="8" t="s">
        <v>385</v>
      </c>
      <c r="C200" s="5">
        <v>1917.9517852480324</v>
      </c>
      <c r="D200" s="3" t="s">
        <v>468</v>
      </c>
      <c r="E200" s="15">
        <f t="shared" si="21"/>
        <v>306.87228563968517</v>
      </c>
      <c r="F200" s="15">
        <f t="shared" si="23"/>
        <v>0</v>
      </c>
      <c r="G200" s="16">
        <f t="shared" si="24"/>
        <v>1611.0794996083473</v>
      </c>
      <c r="H200" s="17">
        <v>1344</v>
      </c>
      <c r="I200" s="16">
        <f t="shared" si="25"/>
        <v>267.07949960834731</v>
      </c>
      <c r="J200" s="18">
        <f t="shared" si="26"/>
        <v>0.19871986578002032</v>
      </c>
      <c r="K200" s="18">
        <f t="shared" si="27"/>
        <v>0.13925245757614715</v>
      </c>
      <c r="L200" s="25">
        <f t="shared" si="28"/>
        <v>1919.6722856396852</v>
      </c>
    </row>
    <row r="201" spans="1:12" ht="50.1" customHeight="1" x14ac:dyDescent="0.2">
      <c r="A201" s="4" t="s">
        <v>386</v>
      </c>
      <c r="B201" s="8" t="s">
        <v>387</v>
      </c>
      <c r="C201" s="5">
        <v>713.52372963096445</v>
      </c>
      <c r="D201" s="3" t="s">
        <v>468</v>
      </c>
      <c r="E201" s="15">
        <f t="shared" ref="E201:E245" si="29">IF(D201&gt;"15%",C201*D201,IF(C201&gt;=19990,D201*C201,IF(C201&gt;=9990,D201*C201+1000,D201*C201+700)))</f>
        <v>114.16379674095431</v>
      </c>
      <c r="F201" s="15">
        <f t="shared" si="23"/>
        <v>0</v>
      </c>
      <c r="G201" s="16">
        <f t="shared" si="24"/>
        <v>599.3599328900101</v>
      </c>
      <c r="H201" s="17">
        <v>500</v>
      </c>
      <c r="I201" s="16">
        <f t="shared" si="25"/>
        <v>99.3599328900101</v>
      </c>
      <c r="J201" s="18">
        <f t="shared" si="26"/>
        <v>0.19871986578002021</v>
      </c>
      <c r="K201" s="18">
        <f t="shared" si="27"/>
        <v>0.13925245757614704</v>
      </c>
      <c r="L201" s="25">
        <f t="shared" si="28"/>
        <v>714.16379674095435</v>
      </c>
    </row>
    <row r="202" spans="1:12" ht="50.1" customHeight="1" x14ac:dyDescent="0.2">
      <c r="A202" s="4" t="s">
        <v>388</v>
      </c>
      <c r="B202" s="8" t="s">
        <v>389</v>
      </c>
      <c r="C202" s="5">
        <v>7546.0539672962768</v>
      </c>
      <c r="D202" s="3" t="s">
        <v>472</v>
      </c>
      <c r="E202" s="15">
        <f t="shared" si="29"/>
        <v>1680.9870157485161</v>
      </c>
      <c r="F202" s="15">
        <f t="shared" si="23"/>
        <v>0</v>
      </c>
      <c r="G202" s="16">
        <f t="shared" si="24"/>
        <v>5865.0669515477603</v>
      </c>
      <c r="H202" s="17">
        <v>4891</v>
      </c>
      <c r="I202" s="16">
        <f t="shared" si="25"/>
        <v>974.06695154776025</v>
      </c>
      <c r="J202" s="18">
        <f t="shared" si="26"/>
        <v>0.1991549686255899</v>
      </c>
      <c r="K202" s="18">
        <f t="shared" si="27"/>
        <v>0.12908295590904245</v>
      </c>
      <c r="L202" s="25">
        <f t="shared" si="28"/>
        <v>7550.1870157485164</v>
      </c>
    </row>
    <row r="203" spans="1:12" ht="50.1" customHeight="1" x14ac:dyDescent="0.2">
      <c r="A203" s="4" t="s">
        <v>390</v>
      </c>
      <c r="B203" s="8" t="s">
        <v>391</v>
      </c>
      <c r="C203" s="5">
        <v>7721.9967143042804</v>
      </c>
      <c r="D203" s="3" t="s">
        <v>473</v>
      </c>
      <c r="E203" s="15">
        <f t="shared" si="29"/>
        <v>1858.2995071456421</v>
      </c>
      <c r="F203" s="15">
        <f t="shared" si="23"/>
        <v>0</v>
      </c>
      <c r="G203" s="16">
        <f t="shared" si="24"/>
        <v>5863.6972071586388</v>
      </c>
      <c r="H203" s="17">
        <v>4891</v>
      </c>
      <c r="I203" s="16">
        <f t="shared" si="25"/>
        <v>972.69720715863878</v>
      </c>
      <c r="J203" s="18">
        <f t="shared" si="26"/>
        <v>0.19887491456933934</v>
      </c>
      <c r="K203" s="18">
        <f t="shared" si="27"/>
        <v>0.12596446788908983</v>
      </c>
      <c r="L203" s="25">
        <f t="shared" si="28"/>
        <v>7727.4995071456424</v>
      </c>
    </row>
    <row r="204" spans="1:12" ht="50.1" customHeight="1" x14ac:dyDescent="0.2">
      <c r="A204" s="4" t="s">
        <v>392</v>
      </c>
      <c r="B204" s="8" t="s">
        <v>393</v>
      </c>
      <c r="C204" s="5">
        <v>7721.9967143042804</v>
      </c>
      <c r="D204" s="3" t="s">
        <v>473</v>
      </c>
      <c r="E204" s="15">
        <f t="shared" si="29"/>
        <v>1858.2995071456421</v>
      </c>
      <c r="F204" s="15">
        <f t="shared" si="23"/>
        <v>0</v>
      </c>
      <c r="G204" s="16">
        <f t="shared" si="24"/>
        <v>5863.6972071586388</v>
      </c>
      <c r="H204" s="17">
        <v>4891</v>
      </c>
      <c r="I204" s="16">
        <f t="shared" si="25"/>
        <v>972.69720715863878</v>
      </c>
      <c r="J204" s="18">
        <f t="shared" si="26"/>
        <v>0.19887491456933934</v>
      </c>
      <c r="K204" s="18">
        <f t="shared" si="27"/>
        <v>0.12596446788908983</v>
      </c>
      <c r="L204" s="25">
        <f t="shared" si="28"/>
        <v>7727.4995071456424</v>
      </c>
    </row>
    <row r="205" spans="1:12" ht="50.1" customHeight="1" x14ac:dyDescent="0.2">
      <c r="A205" s="4" t="s">
        <v>394</v>
      </c>
      <c r="B205" s="8" t="s">
        <v>301</v>
      </c>
      <c r="C205" s="5">
        <v>7147.896442396328</v>
      </c>
      <c r="D205" s="3" t="s">
        <v>467</v>
      </c>
      <c r="E205" s="15">
        <f t="shared" si="29"/>
        <v>1286.6213596313389</v>
      </c>
      <c r="F205" s="15">
        <f t="shared" si="23"/>
        <v>0</v>
      </c>
      <c r="G205" s="16">
        <f t="shared" si="24"/>
        <v>5861.2750827649888</v>
      </c>
      <c r="H205" s="17">
        <v>4891</v>
      </c>
      <c r="I205" s="16">
        <f t="shared" si="25"/>
        <v>970.27508276498884</v>
      </c>
      <c r="J205" s="18">
        <f t="shared" si="26"/>
        <v>0.19837969387957244</v>
      </c>
      <c r="K205" s="18">
        <f t="shared" si="27"/>
        <v>0.13574274481790125</v>
      </c>
      <c r="L205" s="25">
        <f t="shared" si="28"/>
        <v>7155.821359631339</v>
      </c>
    </row>
    <row r="206" spans="1:12" ht="50.1" customHeight="1" x14ac:dyDescent="0.2">
      <c r="A206" s="4" t="s">
        <v>395</v>
      </c>
      <c r="B206" s="8" t="s">
        <v>396</v>
      </c>
      <c r="C206" s="5">
        <v>28502.885060128076</v>
      </c>
      <c r="D206" s="3" t="s">
        <v>472</v>
      </c>
      <c r="E206" s="15">
        <f t="shared" si="29"/>
        <v>3705.37505781665</v>
      </c>
      <c r="F206" s="15">
        <v>3100</v>
      </c>
      <c r="G206" s="16">
        <f t="shared" si="24"/>
        <v>21697.510002311425</v>
      </c>
      <c r="H206" s="17">
        <v>18094</v>
      </c>
      <c r="I206" s="16">
        <f t="shared" si="25"/>
        <v>3603.5100023114246</v>
      </c>
      <c r="J206" s="18">
        <f t="shared" si="26"/>
        <v>0.19915496862558996</v>
      </c>
      <c r="K206" s="18">
        <f t="shared" si="27"/>
        <v>0.12642614930768109</v>
      </c>
      <c r="L206" s="25">
        <f t="shared" si="28"/>
        <v>28518.17505781665</v>
      </c>
    </row>
    <row r="207" spans="1:12" ht="50.1" customHeight="1" x14ac:dyDescent="0.2">
      <c r="A207" s="4" t="s">
        <v>397</v>
      </c>
      <c r="B207" s="8" t="s">
        <v>269</v>
      </c>
      <c r="C207" s="5">
        <v>28502.885060128076</v>
      </c>
      <c r="D207" s="3" t="s">
        <v>472</v>
      </c>
      <c r="E207" s="15">
        <f t="shared" si="29"/>
        <v>3705.37505781665</v>
      </c>
      <c r="F207" s="15">
        <v>3100</v>
      </c>
      <c r="G207" s="16">
        <f t="shared" si="24"/>
        <v>21697.510002311425</v>
      </c>
      <c r="H207" s="17">
        <v>18094</v>
      </c>
      <c r="I207" s="16">
        <f t="shared" si="25"/>
        <v>3603.5100023114246</v>
      </c>
      <c r="J207" s="18">
        <f t="shared" si="26"/>
        <v>0.19915496862558996</v>
      </c>
      <c r="K207" s="18">
        <f t="shared" si="27"/>
        <v>0.12642614930768109</v>
      </c>
      <c r="L207" s="25">
        <f t="shared" si="28"/>
        <v>28518.17505781665</v>
      </c>
    </row>
    <row r="208" spans="1:12" ht="50.1" customHeight="1" x14ac:dyDescent="0.2">
      <c r="A208" s="4" t="s">
        <v>398</v>
      </c>
      <c r="B208" s="8" t="s">
        <v>352</v>
      </c>
      <c r="C208" s="5">
        <v>4660.4068513526645</v>
      </c>
      <c r="D208" s="3" t="s">
        <v>475</v>
      </c>
      <c r="E208" s="15">
        <f t="shared" si="29"/>
        <v>1259.2488221623198</v>
      </c>
      <c r="F208" s="15">
        <f t="shared" si="23"/>
        <v>0</v>
      </c>
      <c r="G208" s="16">
        <f t="shared" si="24"/>
        <v>3401.1580291903447</v>
      </c>
      <c r="H208" s="17">
        <v>2836</v>
      </c>
      <c r="I208" s="16">
        <f t="shared" si="25"/>
        <v>565.15802919034468</v>
      </c>
      <c r="J208" s="18">
        <f t="shared" si="26"/>
        <v>0.19927998208404255</v>
      </c>
      <c r="K208" s="18">
        <f t="shared" si="27"/>
        <v>0.12126795947575045</v>
      </c>
      <c r="L208" s="25">
        <f t="shared" si="28"/>
        <v>4662.4488221623196</v>
      </c>
    </row>
    <row r="209" spans="1:12" ht="50.1" customHeight="1" x14ac:dyDescent="0.2">
      <c r="A209" s="4" t="s">
        <v>399</v>
      </c>
      <c r="B209" s="8" t="s">
        <v>400</v>
      </c>
      <c r="C209" s="5">
        <v>15378.876637002439</v>
      </c>
      <c r="D209" s="3" t="s">
        <v>470</v>
      </c>
      <c r="E209" s="15">
        <f t="shared" si="29"/>
        <v>2691.676430070268</v>
      </c>
      <c r="F209" s="15">
        <f t="shared" si="23"/>
        <v>0</v>
      </c>
      <c r="G209" s="16">
        <f t="shared" si="24"/>
        <v>12687.200206932172</v>
      </c>
      <c r="H209" s="17">
        <v>10578</v>
      </c>
      <c r="I209" s="16">
        <f t="shared" si="25"/>
        <v>2109.2002069321716</v>
      </c>
      <c r="J209" s="18">
        <f t="shared" si="26"/>
        <v>0.1993949902563974</v>
      </c>
      <c r="K209" s="18">
        <f t="shared" si="27"/>
        <v>0.13714917264225385</v>
      </c>
      <c r="L209" s="25">
        <f t="shared" si="28"/>
        <v>15385.276430070267</v>
      </c>
    </row>
    <row r="210" spans="1:12" ht="50.1" customHeight="1" x14ac:dyDescent="0.2">
      <c r="A210" s="4" t="s">
        <v>401</v>
      </c>
      <c r="B210" s="8" t="s">
        <v>402</v>
      </c>
      <c r="C210" s="5">
        <v>5167.6776554197158</v>
      </c>
      <c r="D210" s="3" t="s">
        <v>470</v>
      </c>
      <c r="E210" s="15">
        <f t="shared" si="29"/>
        <v>1268.4445420961688</v>
      </c>
      <c r="F210" s="15">
        <f t="shared" si="23"/>
        <v>0</v>
      </c>
      <c r="G210" s="16">
        <f t="shared" si="24"/>
        <v>3899.2331133235471</v>
      </c>
      <c r="H210" s="17">
        <v>3251</v>
      </c>
      <c r="I210" s="16">
        <f t="shared" si="25"/>
        <v>648.23311332354706</v>
      </c>
      <c r="J210" s="18">
        <f t="shared" si="26"/>
        <v>0.19939499025639712</v>
      </c>
      <c r="K210" s="18">
        <f t="shared" si="27"/>
        <v>0.1254399280581478</v>
      </c>
      <c r="L210" s="25">
        <f t="shared" si="28"/>
        <v>5169.6445420961691</v>
      </c>
    </row>
    <row r="211" spans="1:12" ht="50.1" customHeight="1" x14ac:dyDescent="0.2">
      <c r="A211" s="4" t="s">
        <v>403</v>
      </c>
      <c r="B211" s="8" t="s">
        <v>404</v>
      </c>
      <c r="C211" s="5">
        <v>5167.6776554197158</v>
      </c>
      <c r="D211" s="3" t="s">
        <v>470</v>
      </c>
      <c r="E211" s="15">
        <f t="shared" si="29"/>
        <v>1268.4445420961688</v>
      </c>
      <c r="F211" s="15">
        <f t="shared" si="23"/>
        <v>0</v>
      </c>
      <c r="G211" s="16">
        <f t="shared" si="24"/>
        <v>3899.2331133235471</v>
      </c>
      <c r="H211" s="17">
        <v>3251</v>
      </c>
      <c r="I211" s="16">
        <f t="shared" si="25"/>
        <v>648.23311332354706</v>
      </c>
      <c r="J211" s="18">
        <f t="shared" si="26"/>
        <v>0.19939499025639712</v>
      </c>
      <c r="K211" s="18">
        <f t="shared" si="27"/>
        <v>0.1254399280581478</v>
      </c>
      <c r="L211" s="25">
        <f t="shared" si="28"/>
        <v>5169.6445420961691</v>
      </c>
    </row>
    <row r="212" spans="1:12" ht="50.1" customHeight="1" x14ac:dyDescent="0.2">
      <c r="A212" s="4" t="s">
        <v>405</v>
      </c>
      <c r="B212" s="8" t="s">
        <v>406</v>
      </c>
      <c r="C212" s="5">
        <v>4747.6272136860489</v>
      </c>
      <c r="D212" s="3" t="s">
        <v>475</v>
      </c>
      <c r="E212" s="15">
        <f t="shared" si="29"/>
        <v>1269.7152656423259</v>
      </c>
      <c r="F212" s="15">
        <f t="shared" si="23"/>
        <v>0</v>
      </c>
      <c r="G212" s="16">
        <f t="shared" si="24"/>
        <v>3477.911948043723</v>
      </c>
      <c r="H212" s="17">
        <v>2900</v>
      </c>
      <c r="I212" s="16">
        <f t="shared" si="25"/>
        <v>577.91194804372299</v>
      </c>
      <c r="J212" s="18">
        <f>I212/H212</f>
        <v>0.19927998208404241</v>
      </c>
      <c r="K212" s="18">
        <f t="shared" si="27"/>
        <v>0.12172647978294682</v>
      </c>
      <c r="L212" s="25">
        <f t="shared" si="28"/>
        <v>4749.7152656423259</v>
      </c>
    </row>
    <row r="213" spans="1:12" ht="50.1" customHeight="1" x14ac:dyDescent="0.2">
      <c r="A213" s="4" t="s">
        <v>407</v>
      </c>
      <c r="B213" s="8" t="s">
        <v>408</v>
      </c>
      <c r="C213" s="5">
        <v>9837.2323084965901</v>
      </c>
      <c r="D213" s="3" t="s">
        <v>470</v>
      </c>
      <c r="E213" s="15">
        <f t="shared" si="29"/>
        <v>1782.0955539346248</v>
      </c>
      <c r="F213" s="15">
        <f t="shared" si="23"/>
        <v>0</v>
      </c>
      <c r="G213" s="16">
        <f t="shared" si="24"/>
        <v>8055.1367545619651</v>
      </c>
      <c r="H213" s="17">
        <v>6716</v>
      </c>
      <c r="I213" s="16">
        <f t="shared" si="25"/>
        <v>1339.1367545619651</v>
      </c>
      <c r="J213" s="18">
        <f t="shared" si="26"/>
        <v>0.19939499025639743</v>
      </c>
      <c r="K213" s="18">
        <f t="shared" si="27"/>
        <v>0.13612942264312791</v>
      </c>
      <c r="L213" s="25">
        <f t="shared" si="28"/>
        <v>9841.2955539346258</v>
      </c>
    </row>
    <row r="214" spans="1:12" ht="50.1" customHeight="1" x14ac:dyDescent="0.2">
      <c r="A214" s="4" t="s">
        <v>409</v>
      </c>
      <c r="B214" s="8" t="s">
        <v>410</v>
      </c>
      <c r="C214" s="5">
        <v>6125.4363749212389</v>
      </c>
      <c r="D214" s="3" t="s">
        <v>475</v>
      </c>
      <c r="E214" s="15">
        <f t="shared" si="29"/>
        <v>1435.0523649905485</v>
      </c>
      <c r="F214" s="15">
        <f t="shared" si="23"/>
        <v>0</v>
      </c>
      <c r="G214" s="16">
        <f t="shared" si="24"/>
        <v>4690.3840099306908</v>
      </c>
      <c r="H214" s="17">
        <v>3911</v>
      </c>
      <c r="I214" s="16">
        <f t="shared" si="25"/>
        <v>779.38400993069081</v>
      </c>
      <c r="J214" s="18">
        <f t="shared" si="26"/>
        <v>0.19927998208404266</v>
      </c>
      <c r="K214" s="18">
        <f t="shared" si="27"/>
        <v>0.12723730396117489</v>
      </c>
      <c r="L214" s="25">
        <f t="shared" si="28"/>
        <v>6128.2523649905479</v>
      </c>
    </row>
    <row r="215" spans="1:12" ht="50.1" customHeight="1" x14ac:dyDescent="0.2">
      <c r="A215" s="4" t="s">
        <v>411</v>
      </c>
      <c r="B215" s="8" t="s">
        <v>412</v>
      </c>
      <c r="C215" s="5">
        <v>4660.4068513526645</v>
      </c>
      <c r="D215" s="3" t="s">
        <v>475</v>
      </c>
      <c r="E215" s="15">
        <f t="shared" si="29"/>
        <v>1259.2488221623198</v>
      </c>
      <c r="F215" s="15">
        <f t="shared" si="23"/>
        <v>0</v>
      </c>
      <c r="G215" s="16">
        <f t="shared" si="24"/>
        <v>3401.1580291903447</v>
      </c>
      <c r="H215" s="17">
        <v>2836</v>
      </c>
      <c r="I215" s="16">
        <f t="shared" si="25"/>
        <v>565.15802919034468</v>
      </c>
      <c r="J215" s="18">
        <f t="shared" si="26"/>
        <v>0.19927998208404255</v>
      </c>
      <c r="K215" s="18">
        <f t="shared" si="27"/>
        <v>0.12126795947575045</v>
      </c>
      <c r="L215" s="25">
        <f t="shared" si="28"/>
        <v>4662.4488221623196</v>
      </c>
    </row>
    <row r="216" spans="1:12" ht="50.1" customHeight="1" x14ac:dyDescent="0.2">
      <c r="A216" s="4" t="s">
        <v>413</v>
      </c>
      <c r="B216" s="8" t="s">
        <v>414</v>
      </c>
      <c r="C216" s="5">
        <v>9837.2323084965901</v>
      </c>
      <c r="D216" s="3" t="s">
        <v>470</v>
      </c>
      <c r="E216" s="15">
        <f t="shared" si="29"/>
        <v>1782.0955539346248</v>
      </c>
      <c r="F216" s="15">
        <f t="shared" si="23"/>
        <v>0</v>
      </c>
      <c r="G216" s="16">
        <f t="shared" si="24"/>
        <v>8055.1367545619651</v>
      </c>
      <c r="H216" s="17">
        <v>6716</v>
      </c>
      <c r="I216" s="16">
        <f t="shared" si="25"/>
        <v>1339.1367545619651</v>
      </c>
      <c r="J216" s="18">
        <f t="shared" si="26"/>
        <v>0.19939499025639743</v>
      </c>
      <c r="K216" s="18">
        <f t="shared" si="27"/>
        <v>0.13612942264312791</v>
      </c>
      <c r="L216" s="25">
        <f t="shared" si="28"/>
        <v>9841.2955539346258</v>
      </c>
    </row>
    <row r="217" spans="1:12" ht="50.1" customHeight="1" x14ac:dyDescent="0.2">
      <c r="A217" s="4" t="s">
        <v>415</v>
      </c>
      <c r="B217" s="8" t="s">
        <v>416</v>
      </c>
      <c r="C217" s="5">
        <v>14698.321052643472</v>
      </c>
      <c r="D217" s="3" t="s">
        <v>470</v>
      </c>
      <c r="E217" s="15">
        <f t="shared" si="29"/>
        <v>2616.8153157907818</v>
      </c>
      <c r="F217" s="15">
        <f t="shared" si="23"/>
        <v>0</v>
      </c>
      <c r="G217" s="16">
        <f t="shared" si="24"/>
        <v>12081.50573685269</v>
      </c>
      <c r="H217" s="17">
        <v>10073</v>
      </c>
      <c r="I217" s="16">
        <f t="shared" si="25"/>
        <v>2008.5057368526905</v>
      </c>
      <c r="J217" s="18">
        <f t="shared" si="26"/>
        <v>0.19939499025639734</v>
      </c>
      <c r="K217" s="18">
        <f t="shared" si="27"/>
        <v>0.13664865052675276</v>
      </c>
      <c r="L217" s="25">
        <f t="shared" si="28"/>
        <v>14704.415315790782</v>
      </c>
    </row>
    <row r="218" spans="1:12" ht="50.1" customHeight="1" x14ac:dyDescent="0.2">
      <c r="A218" s="4" t="s">
        <v>417</v>
      </c>
      <c r="B218" s="8" t="s">
        <v>410</v>
      </c>
      <c r="C218" s="5">
        <v>6125.4363749212389</v>
      </c>
      <c r="D218" s="3" t="s">
        <v>475</v>
      </c>
      <c r="E218" s="15">
        <f t="shared" si="29"/>
        <v>1435.0523649905485</v>
      </c>
      <c r="F218" s="15">
        <f t="shared" si="23"/>
        <v>0</v>
      </c>
      <c r="G218" s="16">
        <f t="shared" si="24"/>
        <v>4690.3840099306908</v>
      </c>
      <c r="H218" s="17">
        <v>3911</v>
      </c>
      <c r="I218" s="16">
        <f t="shared" si="25"/>
        <v>779.38400993069081</v>
      </c>
      <c r="J218" s="18">
        <f t="shared" si="26"/>
        <v>0.19927998208404266</v>
      </c>
      <c r="K218" s="18">
        <f t="shared" si="27"/>
        <v>0.12723730396117489</v>
      </c>
      <c r="L218" s="25">
        <f t="shared" si="28"/>
        <v>6128.2523649905479</v>
      </c>
    </row>
    <row r="219" spans="1:12" ht="50.1" customHeight="1" x14ac:dyDescent="0.2">
      <c r="A219" s="4" t="s">
        <v>418</v>
      </c>
      <c r="B219" s="8" t="s">
        <v>416</v>
      </c>
      <c r="C219" s="5">
        <v>14698.321052643472</v>
      </c>
      <c r="D219" s="3" t="s">
        <v>470</v>
      </c>
      <c r="E219" s="15">
        <f t="shared" si="29"/>
        <v>2616.8153157907818</v>
      </c>
      <c r="F219" s="15">
        <f t="shared" si="23"/>
        <v>0</v>
      </c>
      <c r="G219" s="16">
        <f t="shared" si="24"/>
        <v>12081.50573685269</v>
      </c>
      <c r="H219" s="17">
        <v>10073</v>
      </c>
      <c r="I219" s="16">
        <f t="shared" si="25"/>
        <v>2008.5057368526905</v>
      </c>
      <c r="J219" s="18">
        <f t="shared" si="26"/>
        <v>0.19939499025639734</v>
      </c>
      <c r="K219" s="18">
        <f t="shared" si="27"/>
        <v>0.13664865052675276</v>
      </c>
      <c r="L219" s="25">
        <f t="shared" si="28"/>
        <v>14704.415315790782</v>
      </c>
    </row>
    <row r="220" spans="1:12" ht="50.1" customHeight="1" x14ac:dyDescent="0.2">
      <c r="A220" s="4" t="s">
        <v>419</v>
      </c>
      <c r="B220" s="8" t="s">
        <v>400</v>
      </c>
      <c r="C220" s="5">
        <v>15378.876637002439</v>
      </c>
      <c r="D220" s="3" t="s">
        <v>470</v>
      </c>
      <c r="E220" s="15">
        <f t="shared" si="29"/>
        <v>2691.676430070268</v>
      </c>
      <c r="F220" s="15">
        <f t="shared" si="23"/>
        <v>0</v>
      </c>
      <c r="G220" s="16">
        <f t="shared" si="24"/>
        <v>12687.200206932172</v>
      </c>
      <c r="H220" s="17">
        <v>10578</v>
      </c>
      <c r="I220" s="16">
        <f t="shared" si="25"/>
        <v>2109.2002069321716</v>
      </c>
      <c r="J220" s="18">
        <f t="shared" si="26"/>
        <v>0.1993949902563974</v>
      </c>
      <c r="K220" s="18">
        <f t="shared" si="27"/>
        <v>0.13714917264225385</v>
      </c>
      <c r="L220" s="25">
        <f t="shared" si="28"/>
        <v>15385.276430070267</v>
      </c>
    </row>
    <row r="221" spans="1:12" ht="50.1" customHeight="1" x14ac:dyDescent="0.2">
      <c r="A221" s="4" t="s">
        <v>420</v>
      </c>
      <c r="B221" s="8" t="s">
        <v>421</v>
      </c>
      <c r="C221" s="5">
        <v>9599.7791434481514</v>
      </c>
      <c r="D221" s="3" t="s">
        <v>472</v>
      </c>
      <c r="E221" s="15">
        <f t="shared" si="29"/>
        <v>1947.9712886482598</v>
      </c>
      <c r="F221" s="15">
        <f t="shared" si="23"/>
        <v>0</v>
      </c>
      <c r="G221" s="16">
        <f t="shared" si="24"/>
        <v>7651.8078547998921</v>
      </c>
      <c r="H221" s="17">
        <v>6381</v>
      </c>
      <c r="I221" s="16">
        <f t="shared" si="25"/>
        <v>1270.8078547998921</v>
      </c>
      <c r="J221" s="18">
        <f t="shared" si="26"/>
        <v>0.19915496862559037</v>
      </c>
      <c r="K221" s="18">
        <f t="shared" si="27"/>
        <v>0.13237886370200697</v>
      </c>
      <c r="L221" s="25">
        <f t="shared" si="28"/>
        <v>9605.1712886482601</v>
      </c>
    </row>
    <row r="222" spans="1:12" ht="50.1" customHeight="1" x14ac:dyDescent="0.2">
      <c r="A222" s="4" t="s">
        <v>422</v>
      </c>
      <c r="B222" s="8" t="s">
        <v>421</v>
      </c>
      <c r="C222" s="5">
        <v>9599.7791434481514</v>
      </c>
      <c r="D222" s="3" t="s">
        <v>472</v>
      </c>
      <c r="E222" s="15">
        <f t="shared" si="29"/>
        <v>1947.9712886482598</v>
      </c>
      <c r="F222" s="15">
        <f t="shared" si="23"/>
        <v>0</v>
      </c>
      <c r="G222" s="16">
        <f t="shared" si="24"/>
        <v>7651.8078547998921</v>
      </c>
      <c r="H222" s="17">
        <v>6381</v>
      </c>
      <c r="I222" s="16">
        <f t="shared" si="25"/>
        <v>1270.8078547998921</v>
      </c>
      <c r="J222" s="18">
        <f t="shared" si="26"/>
        <v>0.19915496862559037</v>
      </c>
      <c r="K222" s="18">
        <f t="shared" si="27"/>
        <v>0.13237886370200697</v>
      </c>
      <c r="L222" s="25">
        <f t="shared" si="28"/>
        <v>9605.1712886482601</v>
      </c>
    </row>
    <row r="223" spans="1:12" ht="50.1" customHeight="1" x14ac:dyDescent="0.2">
      <c r="A223" s="4" t="s">
        <v>423</v>
      </c>
      <c r="B223" s="8" t="s">
        <v>424</v>
      </c>
      <c r="C223" s="5">
        <v>4660.4068513526645</v>
      </c>
      <c r="D223" s="3" t="s">
        <v>475</v>
      </c>
      <c r="E223" s="15">
        <f t="shared" si="29"/>
        <v>1259.2488221623198</v>
      </c>
      <c r="F223" s="15">
        <f t="shared" si="23"/>
        <v>0</v>
      </c>
      <c r="G223" s="16">
        <f t="shared" si="24"/>
        <v>3401.1580291903447</v>
      </c>
      <c r="H223" s="17">
        <v>2836</v>
      </c>
      <c r="I223" s="16">
        <f t="shared" si="25"/>
        <v>565.15802919034468</v>
      </c>
      <c r="J223" s="18">
        <f t="shared" si="26"/>
        <v>0.19927998208404255</v>
      </c>
      <c r="K223" s="18">
        <f t="shared" si="27"/>
        <v>0.12126795947575045</v>
      </c>
      <c r="L223" s="25">
        <f t="shared" si="28"/>
        <v>4662.4488221623196</v>
      </c>
    </row>
    <row r="224" spans="1:12" ht="50.1" customHeight="1" x14ac:dyDescent="0.2">
      <c r="A224" s="4" t="s">
        <v>425</v>
      </c>
      <c r="B224" s="8" t="s">
        <v>426</v>
      </c>
      <c r="C224" s="5">
        <v>4747.6272136860489</v>
      </c>
      <c r="D224" s="3" t="s">
        <v>475</v>
      </c>
      <c r="E224" s="15">
        <f t="shared" si="29"/>
        <v>1269.7152656423259</v>
      </c>
      <c r="F224" s="15">
        <f t="shared" si="23"/>
        <v>0</v>
      </c>
      <c r="G224" s="16">
        <f t="shared" si="24"/>
        <v>3477.911948043723</v>
      </c>
      <c r="H224" s="17">
        <v>2900</v>
      </c>
      <c r="I224" s="16">
        <f t="shared" si="25"/>
        <v>577.91194804372299</v>
      </c>
      <c r="J224" s="18">
        <f t="shared" si="26"/>
        <v>0.19927998208404241</v>
      </c>
      <c r="K224" s="18">
        <f t="shared" si="27"/>
        <v>0.12172647978294682</v>
      </c>
      <c r="L224" s="25">
        <f t="shared" si="28"/>
        <v>4749.7152656423259</v>
      </c>
    </row>
    <row r="225" spans="1:12" ht="50.1" customHeight="1" x14ac:dyDescent="0.2">
      <c r="A225" s="4" t="s">
        <v>427</v>
      </c>
      <c r="B225" s="8" t="s">
        <v>350</v>
      </c>
      <c r="C225" s="5">
        <v>4747.6272136860489</v>
      </c>
      <c r="D225" s="3" t="s">
        <v>475</v>
      </c>
      <c r="E225" s="15">
        <f t="shared" si="29"/>
        <v>1269.7152656423259</v>
      </c>
      <c r="F225" s="15">
        <f t="shared" si="23"/>
        <v>0</v>
      </c>
      <c r="G225" s="16">
        <f t="shared" si="24"/>
        <v>3477.911948043723</v>
      </c>
      <c r="H225" s="17">
        <v>2900</v>
      </c>
      <c r="I225" s="16">
        <f t="shared" si="25"/>
        <v>577.91194804372299</v>
      </c>
      <c r="J225" s="18">
        <f t="shared" si="26"/>
        <v>0.19927998208404241</v>
      </c>
      <c r="K225" s="18">
        <f t="shared" si="27"/>
        <v>0.12172647978294682</v>
      </c>
      <c r="L225" s="25">
        <f t="shared" si="28"/>
        <v>4749.7152656423259</v>
      </c>
    </row>
    <row r="226" spans="1:12" ht="50.1" customHeight="1" x14ac:dyDescent="0.2">
      <c r="A226" s="4" t="s">
        <v>428</v>
      </c>
      <c r="B226" s="8" t="s">
        <v>429</v>
      </c>
      <c r="C226" s="5">
        <v>18405.022240719198</v>
      </c>
      <c r="D226" s="3" t="s">
        <v>467</v>
      </c>
      <c r="E226" s="15">
        <f t="shared" si="29"/>
        <v>3312.9040033294555</v>
      </c>
      <c r="F226" s="15">
        <f t="shared" si="23"/>
        <v>0</v>
      </c>
      <c r="G226" s="16">
        <f t="shared" si="24"/>
        <v>15092.118237389743</v>
      </c>
      <c r="H226" s="17">
        <v>12593.769999999999</v>
      </c>
      <c r="I226" s="16">
        <f t="shared" si="25"/>
        <v>2498.3482373897441</v>
      </c>
      <c r="J226" s="18">
        <f t="shared" si="26"/>
        <v>0.19837969387957255</v>
      </c>
      <c r="K226" s="18">
        <f t="shared" si="27"/>
        <v>0.1357427448179013</v>
      </c>
      <c r="L226" s="25">
        <f t="shared" si="28"/>
        <v>18425.428003329453</v>
      </c>
    </row>
    <row r="227" spans="1:12" ht="50.1" customHeight="1" x14ac:dyDescent="0.2">
      <c r="A227" s="4" t="s">
        <v>430</v>
      </c>
      <c r="B227" s="8" t="s">
        <v>317</v>
      </c>
      <c r="C227" s="5">
        <v>12869.428761345751</v>
      </c>
      <c r="D227" s="3" t="s">
        <v>467</v>
      </c>
      <c r="E227" s="15">
        <f t="shared" si="29"/>
        <v>2316.4971770422349</v>
      </c>
      <c r="F227" s="15">
        <f t="shared" si="23"/>
        <v>0</v>
      </c>
      <c r="G227" s="16">
        <f t="shared" si="24"/>
        <v>10552.931584303517</v>
      </c>
      <c r="H227" s="17">
        <v>8806</v>
      </c>
      <c r="I227" s="16">
        <f t="shared" si="25"/>
        <v>1746.9315843035165</v>
      </c>
      <c r="J227" s="18">
        <f t="shared" si="26"/>
        <v>0.19837969387957263</v>
      </c>
      <c r="K227" s="18">
        <f t="shared" si="27"/>
        <v>0.13574274481790136</v>
      </c>
      <c r="L227" s="25">
        <f t="shared" si="28"/>
        <v>12883.697177042235</v>
      </c>
    </row>
    <row r="228" spans="1:12" ht="50.1" customHeight="1" x14ac:dyDescent="0.2">
      <c r="A228" s="4" t="s">
        <v>431</v>
      </c>
      <c r="B228" s="8" t="s">
        <v>432</v>
      </c>
      <c r="C228" s="5">
        <v>39001.759642430647</v>
      </c>
      <c r="D228" s="3" t="s">
        <v>472</v>
      </c>
      <c r="E228" s="15">
        <f t="shared" si="29"/>
        <v>5070.228753515984</v>
      </c>
      <c r="F228" s="15">
        <v>3000</v>
      </c>
      <c r="G228" s="16">
        <f t="shared" si="24"/>
        <v>30931.530888914662</v>
      </c>
      <c r="H228" s="17">
        <v>25794.44</v>
      </c>
      <c r="I228" s="16">
        <f t="shared" si="25"/>
        <v>5137.0908889146631</v>
      </c>
      <c r="J228" s="18">
        <f t="shared" si="26"/>
        <v>0.19915496862558998</v>
      </c>
      <c r="K228" s="18">
        <f t="shared" si="27"/>
        <v>0.13171433637896529</v>
      </c>
      <c r="L228" s="25">
        <f t="shared" si="28"/>
        <v>39023.556753515979</v>
      </c>
    </row>
    <row r="229" spans="1:12" ht="50.1" customHeight="1" x14ac:dyDescent="0.2">
      <c r="A229" s="4" t="s">
        <v>433</v>
      </c>
      <c r="B229" s="8" t="s">
        <v>434</v>
      </c>
      <c r="C229" s="5">
        <v>19913.581702162453</v>
      </c>
      <c r="D229" s="3" t="s">
        <v>472</v>
      </c>
      <c r="E229" s="15">
        <f t="shared" si="29"/>
        <v>3588.7656212811189</v>
      </c>
      <c r="F229" s="15">
        <f t="shared" si="23"/>
        <v>0</v>
      </c>
      <c r="G229" s="16">
        <f t="shared" si="24"/>
        <v>16324.816080881334</v>
      </c>
      <c r="H229" s="17">
        <v>13613.599999999999</v>
      </c>
      <c r="I229" s="16">
        <f t="shared" si="25"/>
        <v>2711.2160808813351</v>
      </c>
      <c r="J229" s="18">
        <f t="shared" si="26"/>
        <v>0.19915496862559023</v>
      </c>
      <c r="K229" s="18">
        <f t="shared" si="27"/>
        <v>0.13614909268617001</v>
      </c>
      <c r="L229" s="25">
        <f t="shared" si="28"/>
        <v>19925.08562128112</v>
      </c>
    </row>
    <row r="230" spans="1:12" ht="50.1" customHeight="1" x14ac:dyDescent="0.2">
      <c r="A230" s="4" t="s">
        <v>435</v>
      </c>
      <c r="B230" s="8" t="s">
        <v>311</v>
      </c>
      <c r="C230" s="5">
        <v>19457.18499755895</v>
      </c>
      <c r="D230" s="3" t="s">
        <v>467</v>
      </c>
      <c r="E230" s="15">
        <f t="shared" si="29"/>
        <v>3502.2932995606111</v>
      </c>
      <c r="F230" s="15">
        <f t="shared" si="23"/>
        <v>0</v>
      </c>
      <c r="G230" s="16">
        <f t="shared" si="24"/>
        <v>15954.891697998339</v>
      </c>
      <c r="H230" s="17">
        <v>13313.72</v>
      </c>
      <c r="I230" s="16">
        <f t="shared" si="25"/>
        <v>2641.1716979983394</v>
      </c>
      <c r="J230" s="18">
        <f t="shared" si="26"/>
        <v>0.1983796938795723</v>
      </c>
      <c r="K230" s="18">
        <f t="shared" si="27"/>
        <v>0.13574274481790116</v>
      </c>
      <c r="L230" s="25">
        <f t="shared" si="28"/>
        <v>19478.75729956061</v>
      </c>
    </row>
    <row r="231" spans="1:12" ht="50.1" customHeight="1" x14ac:dyDescent="0.2">
      <c r="A231" s="4" t="s">
        <v>436</v>
      </c>
      <c r="B231" s="8" t="s">
        <v>437</v>
      </c>
      <c r="C231" s="5" t="e">
        <v>#VALUE!</v>
      </c>
      <c r="D231" s="3" t="s">
        <v>467</v>
      </c>
      <c r="E231" s="15" t="e">
        <f t="shared" si="29"/>
        <v>#VALUE!</v>
      </c>
      <c r="F231" s="15" t="e">
        <f t="shared" si="23"/>
        <v>#VALUE!</v>
      </c>
      <c r="G231" s="16" t="e">
        <f t="shared" si="24"/>
        <v>#VALUE!</v>
      </c>
      <c r="H231" s="17">
        <v>14799.078</v>
      </c>
      <c r="I231" s="16" t="e">
        <f t="shared" si="25"/>
        <v>#VALUE!</v>
      </c>
      <c r="J231" s="18" t="e">
        <f t="shared" si="26"/>
        <v>#VALUE!</v>
      </c>
      <c r="K231" s="18" t="e">
        <f t="shared" si="27"/>
        <v>#VALUE!</v>
      </c>
      <c r="L231" s="25" t="e">
        <f t="shared" si="28"/>
        <v>#VALUE!</v>
      </c>
    </row>
    <row r="232" spans="1:12" ht="50.1" customHeight="1" x14ac:dyDescent="0.2">
      <c r="A232" s="4" t="s">
        <v>438</v>
      </c>
      <c r="B232" s="8" t="s">
        <v>439</v>
      </c>
      <c r="C232" s="5">
        <v>5324.1714277279425</v>
      </c>
      <c r="D232" s="3" t="s">
        <v>472</v>
      </c>
      <c r="E232" s="15">
        <f t="shared" si="29"/>
        <v>1392.1422856046324</v>
      </c>
      <c r="F232" s="15">
        <f t="shared" si="23"/>
        <v>0</v>
      </c>
      <c r="G232" s="16">
        <f t="shared" si="24"/>
        <v>3932.0291421233101</v>
      </c>
      <c r="H232" s="17">
        <v>3279</v>
      </c>
      <c r="I232" s="16">
        <f t="shared" si="25"/>
        <v>653.02914212331007</v>
      </c>
      <c r="J232" s="18">
        <f t="shared" si="26"/>
        <v>0.19915496862559015</v>
      </c>
      <c r="K232" s="18">
        <f t="shared" si="27"/>
        <v>0.12265366564314144</v>
      </c>
      <c r="L232" s="25">
        <f t="shared" si="28"/>
        <v>5326.9422856046322</v>
      </c>
    </row>
    <row r="233" spans="1:12" ht="50.1" customHeight="1" x14ac:dyDescent="0.2">
      <c r="A233" s="4" t="s">
        <v>440</v>
      </c>
      <c r="B233" s="8" t="s">
        <v>441</v>
      </c>
      <c r="C233" s="5">
        <v>5324.1714277279425</v>
      </c>
      <c r="D233" s="3" t="s">
        <v>472</v>
      </c>
      <c r="E233" s="15">
        <f t="shared" si="29"/>
        <v>1392.1422856046324</v>
      </c>
      <c r="F233" s="15">
        <f t="shared" si="23"/>
        <v>0</v>
      </c>
      <c r="G233" s="16">
        <f t="shared" si="24"/>
        <v>3932.0291421233101</v>
      </c>
      <c r="H233" s="17">
        <v>3279</v>
      </c>
      <c r="I233" s="16">
        <f t="shared" si="25"/>
        <v>653.02914212331007</v>
      </c>
      <c r="J233" s="18">
        <f t="shared" si="26"/>
        <v>0.19915496862559015</v>
      </c>
      <c r="K233" s="18">
        <f t="shared" si="27"/>
        <v>0.12265366564314144</v>
      </c>
      <c r="L233" s="25">
        <f t="shared" si="28"/>
        <v>5326.9422856046322</v>
      </c>
    </row>
    <row r="234" spans="1:12" ht="50.1" customHeight="1" x14ac:dyDescent="0.2">
      <c r="A234" s="4" t="s">
        <v>442</v>
      </c>
      <c r="B234" s="8" t="s">
        <v>443</v>
      </c>
      <c r="C234" s="5">
        <v>52644.778127783131</v>
      </c>
      <c r="D234" s="3" t="s">
        <v>476</v>
      </c>
      <c r="E234" s="15">
        <f t="shared" si="29"/>
        <v>5264.4778127783138</v>
      </c>
      <c r="F234" s="15">
        <v>3000</v>
      </c>
      <c r="G234" s="16">
        <f t="shared" si="24"/>
        <v>44380.300315004817</v>
      </c>
      <c r="H234" s="17">
        <v>36999</v>
      </c>
      <c r="I234" s="16">
        <f t="shared" si="25"/>
        <v>7381.3003150048171</v>
      </c>
      <c r="J234" s="18">
        <f t="shared" si="26"/>
        <v>0.19949999499999505</v>
      </c>
      <c r="K234" s="18">
        <f t="shared" si="27"/>
        <v>0.14020954361491281</v>
      </c>
      <c r="L234" s="25">
        <f t="shared" si="28"/>
        <v>52663.277812778317</v>
      </c>
    </row>
    <row r="235" spans="1:12" ht="50.1" customHeight="1" x14ac:dyDescent="0.2">
      <c r="A235" s="4" t="s">
        <v>444</v>
      </c>
      <c r="B235" s="8" t="s">
        <v>445</v>
      </c>
      <c r="C235" s="5">
        <v>15415.234396867652</v>
      </c>
      <c r="D235" s="3" t="s">
        <v>472</v>
      </c>
      <c r="E235" s="15">
        <f t="shared" si="29"/>
        <v>3003.9804715927949</v>
      </c>
      <c r="F235" s="15">
        <f t="shared" si="23"/>
        <v>0</v>
      </c>
      <c r="G235" s="16">
        <f t="shared" si="24"/>
        <v>12411.253925274857</v>
      </c>
      <c r="H235" s="17">
        <v>10350</v>
      </c>
      <c r="I235" s="16">
        <f t="shared" si="25"/>
        <v>2061.2539252748575</v>
      </c>
      <c r="J235" s="18">
        <f t="shared" si="26"/>
        <v>0.1991549686255901</v>
      </c>
      <c r="K235" s="18">
        <f t="shared" si="27"/>
        <v>0.13371538000704683</v>
      </c>
      <c r="L235" s="25">
        <f t="shared" si="28"/>
        <v>15423.980471592795</v>
      </c>
    </row>
    <row r="236" spans="1:12" ht="50.1" customHeight="1" x14ac:dyDescent="0.2">
      <c r="A236" s="4" t="s">
        <v>446</v>
      </c>
      <c r="B236" s="8" t="s">
        <v>447</v>
      </c>
      <c r="C236" s="5" t="e">
        <v>#VALUE!</v>
      </c>
      <c r="D236" s="3" t="s">
        <v>473</v>
      </c>
      <c r="E236" s="15" t="e">
        <f t="shared" si="29"/>
        <v>#VALUE!</v>
      </c>
      <c r="F236" s="15" t="e">
        <f t="shared" si="23"/>
        <v>#VALUE!</v>
      </c>
      <c r="G236" s="16" t="e">
        <f t="shared" si="24"/>
        <v>#VALUE!</v>
      </c>
      <c r="H236" s="17">
        <v>13500</v>
      </c>
      <c r="I236" s="16" t="e">
        <f t="shared" si="25"/>
        <v>#VALUE!</v>
      </c>
      <c r="J236" s="18" t="e">
        <f t="shared" si="26"/>
        <v>#VALUE!</v>
      </c>
      <c r="K236" s="18" t="e">
        <f t="shared" si="27"/>
        <v>#VALUE!</v>
      </c>
      <c r="L236" s="25" t="e">
        <f t="shared" si="28"/>
        <v>#VALUE!</v>
      </c>
    </row>
    <row r="237" spans="1:12" ht="50.1" customHeight="1" x14ac:dyDescent="0.2">
      <c r="A237" s="4" t="s">
        <v>448</v>
      </c>
      <c r="B237" s="8" t="s">
        <v>449</v>
      </c>
      <c r="C237" s="5">
        <v>15415.234396867652</v>
      </c>
      <c r="D237" s="3" t="s">
        <v>472</v>
      </c>
      <c r="E237" s="15">
        <f t="shared" si="29"/>
        <v>3003.9804715927949</v>
      </c>
      <c r="F237" s="15">
        <f t="shared" si="23"/>
        <v>0</v>
      </c>
      <c r="G237" s="16">
        <f t="shared" si="24"/>
        <v>12411.253925274857</v>
      </c>
      <c r="H237" s="17">
        <v>10350</v>
      </c>
      <c r="I237" s="16">
        <f t="shared" si="25"/>
        <v>2061.2539252748575</v>
      </c>
      <c r="J237" s="18">
        <f t="shared" si="26"/>
        <v>0.1991549686255901</v>
      </c>
      <c r="K237" s="18">
        <f t="shared" si="27"/>
        <v>0.13371538000704683</v>
      </c>
      <c r="L237" s="25">
        <f t="shared" si="28"/>
        <v>15423.980471592795</v>
      </c>
    </row>
    <row r="238" spans="1:12" ht="50.1" customHeight="1" x14ac:dyDescent="0.2">
      <c r="A238" s="4" t="s">
        <v>450</v>
      </c>
      <c r="B238" s="8" t="s">
        <v>451</v>
      </c>
      <c r="C238" s="5">
        <v>15415.234396867652</v>
      </c>
      <c r="D238" s="3" t="s">
        <v>472</v>
      </c>
      <c r="E238" s="15">
        <f t="shared" si="29"/>
        <v>3003.9804715927949</v>
      </c>
      <c r="F238" s="15">
        <f t="shared" si="23"/>
        <v>0</v>
      </c>
      <c r="G238" s="16">
        <f t="shared" si="24"/>
        <v>12411.253925274857</v>
      </c>
      <c r="H238" s="17">
        <v>10350</v>
      </c>
      <c r="I238" s="16">
        <f t="shared" si="25"/>
        <v>2061.2539252748575</v>
      </c>
      <c r="J238" s="18">
        <f t="shared" si="26"/>
        <v>0.1991549686255901</v>
      </c>
      <c r="K238" s="18">
        <f t="shared" si="27"/>
        <v>0.13371538000704683</v>
      </c>
      <c r="L238" s="25">
        <f t="shared" si="28"/>
        <v>15423.980471592795</v>
      </c>
    </row>
    <row r="239" spans="1:12" ht="50.1" customHeight="1" x14ac:dyDescent="0.2">
      <c r="A239" s="4" t="s">
        <v>452</v>
      </c>
      <c r="B239" s="8" t="s">
        <v>453</v>
      </c>
      <c r="C239" s="5">
        <v>11817.314955372178</v>
      </c>
      <c r="D239" s="3" t="s">
        <v>476</v>
      </c>
      <c r="E239" s="15">
        <f t="shared" si="29"/>
        <v>2181.7314955372176</v>
      </c>
      <c r="F239" s="15">
        <f t="shared" si="23"/>
        <v>0</v>
      </c>
      <c r="G239" s="16">
        <f t="shared" si="24"/>
        <v>9635.5834598349611</v>
      </c>
      <c r="H239" s="17">
        <v>8033</v>
      </c>
      <c r="I239" s="16">
        <f t="shared" si="25"/>
        <v>1602.5834598349611</v>
      </c>
      <c r="J239" s="18">
        <f t="shared" si="26"/>
        <v>0.19949999499999516</v>
      </c>
      <c r="K239" s="18">
        <f t="shared" si="27"/>
        <v>0.135613163048212</v>
      </c>
      <c r="L239" s="25">
        <f t="shared" si="28"/>
        <v>11821.331495537217</v>
      </c>
    </row>
    <row r="240" spans="1:12" ht="50.1" customHeight="1" x14ac:dyDescent="0.2">
      <c r="A240" s="4" t="s">
        <v>454</v>
      </c>
      <c r="B240" s="8" t="s">
        <v>455</v>
      </c>
      <c r="C240" s="5" t="e">
        <v>#VALUE!</v>
      </c>
      <c r="D240" s="3" t="s">
        <v>473</v>
      </c>
      <c r="E240" s="15" t="e">
        <f t="shared" si="29"/>
        <v>#VALUE!</v>
      </c>
      <c r="F240" s="15" t="e">
        <f t="shared" si="23"/>
        <v>#VALUE!</v>
      </c>
      <c r="G240" s="16" t="e">
        <f t="shared" si="24"/>
        <v>#VALUE!</v>
      </c>
      <c r="H240" s="17">
        <v>13500</v>
      </c>
      <c r="I240" s="16" t="e">
        <f t="shared" si="25"/>
        <v>#VALUE!</v>
      </c>
      <c r="J240" s="18" t="e">
        <f t="shared" si="26"/>
        <v>#VALUE!</v>
      </c>
      <c r="K240" s="18" t="e">
        <f t="shared" si="27"/>
        <v>#VALUE!</v>
      </c>
      <c r="L240" s="25" t="e">
        <f t="shared" si="28"/>
        <v>#VALUE!</v>
      </c>
    </row>
    <row r="241" spans="1:12" ht="50.1" customHeight="1" x14ac:dyDescent="0.2">
      <c r="A241" s="4" t="s">
        <v>456</v>
      </c>
      <c r="B241" s="8" t="s">
        <v>357</v>
      </c>
      <c r="C241" s="5">
        <v>13870.440271910653</v>
      </c>
      <c r="D241" s="3" t="s">
        <v>473</v>
      </c>
      <c r="E241" s="15">
        <f t="shared" si="29"/>
        <v>3080.566040786598</v>
      </c>
      <c r="F241" s="15">
        <f t="shared" si="23"/>
        <v>0</v>
      </c>
      <c r="G241" s="16">
        <f t="shared" si="24"/>
        <v>10789.874231124055</v>
      </c>
      <c r="H241" s="17">
        <v>9000</v>
      </c>
      <c r="I241" s="16">
        <f t="shared" si="25"/>
        <v>1789.8742311240549</v>
      </c>
      <c r="J241" s="18">
        <f t="shared" si="26"/>
        <v>0.19887491456933942</v>
      </c>
      <c r="K241" s="18">
        <f t="shared" si="27"/>
        <v>0.12904235165114192</v>
      </c>
      <c r="L241" s="25">
        <f t="shared" si="28"/>
        <v>13880.566040786598</v>
      </c>
    </row>
    <row r="242" spans="1:12" ht="50.1" customHeight="1" x14ac:dyDescent="0.2">
      <c r="A242" s="4" t="s">
        <v>457</v>
      </c>
      <c r="B242" s="8" t="s">
        <v>458</v>
      </c>
      <c r="C242" s="5">
        <v>5995.1254352145788</v>
      </c>
      <c r="D242" s="3" t="s">
        <v>470</v>
      </c>
      <c r="E242" s="15">
        <f t="shared" si="29"/>
        <v>1359.4637978736037</v>
      </c>
      <c r="F242" s="15">
        <f t="shared" si="23"/>
        <v>0</v>
      </c>
      <c r="G242" s="16">
        <f t="shared" si="24"/>
        <v>4635.6616373409752</v>
      </c>
      <c r="H242" s="17">
        <v>3865</v>
      </c>
      <c r="I242" s="16">
        <f t="shared" si="25"/>
        <v>770.66163734097518</v>
      </c>
      <c r="J242" s="18">
        <f t="shared" si="26"/>
        <v>0.1993949902563972</v>
      </c>
      <c r="K242" s="18">
        <f t="shared" si="27"/>
        <v>0.12854804218343957</v>
      </c>
      <c r="L242" s="25">
        <f t="shared" si="28"/>
        <v>5997.4637978736037</v>
      </c>
    </row>
    <row r="243" spans="1:12" ht="50.1" customHeight="1" x14ac:dyDescent="0.2">
      <c r="A243" s="4" t="s">
        <v>459</v>
      </c>
      <c r="B243" s="8" t="s">
        <v>460</v>
      </c>
      <c r="C243" s="5">
        <v>15415.234396867652</v>
      </c>
      <c r="D243" s="3" t="s">
        <v>472</v>
      </c>
      <c r="E243" s="15">
        <f t="shared" si="29"/>
        <v>3003.9804715927949</v>
      </c>
      <c r="F243" s="15">
        <f t="shared" si="23"/>
        <v>0</v>
      </c>
      <c r="G243" s="16">
        <f t="shared" si="24"/>
        <v>12411.253925274857</v>
      </c>
      <c r="H243" s="17">
        <v>10350</v>
      </c>
      <c r="I243" s="16">
        <f t="shared" si="25"/>
        <v>2061.2539252748575</v>
      </c>
      <c r="J243" s="18">
        <f t="shared" si="26"/>
        <v>0.1991549686255901</v>
      </c>
      <c r="K243" s="18">
        <f t="shared" si="27"/>
        <v>0.13371538000704683</v>
      </c>
      <c r="L243" s="25">
        <f t="shared" si="28"/>
        <v>15423.980471592795</v>
      </c>
    </row>
    <row r="244" spans="1:12" ht="50.1" customHeight="1" x14ac:dyDescent="0.2">
      <c r="A244" s="4" t="s">
        <v>461</v>
      </c>
      <c r="B244" s="8" t="s">
        <v>462</v>
      </c>
      <c r="C244" s="5">
        <v>22191.296588522247</v>
      </c>
      <c r="D244" s="3" t="s">
        <v>476</v>
      </c>
      <c r="E244" s="15">
        <f t="shared" si="29"/>
        <v>2219.129658852225</v>
      </c>
      <c r="F244" s="15">
        <v>3100</v>
      </c>
      <c r="G244" s="16">
        <f t="shared" si="24"/>
        <v>16872.166929670024</v>
      </c>
      <c r="H244" s="17">
        <v>14066</v>
      </c>
      <c r="I244" s="16">
        <f t="shared" si="25"/>
        <v>2806.1669296700238</v>
      </c>
      <c r="J244" s="18">
        <f t="shared" si="26"/>
        <v>0.19949999500000171</v>
      </c>
      <c r="K244" s="18">
        <f t="shared" si="27"/>
        <v>0.12645349128096578</v>
      </c>
      <c r="L244" s="25">
        <f t="shared" si="28"/>
        <v>22198.329658852224</v>
      </c>
    </row>
    <row r="245" spans="1:12" ht="50.1" customHeight="1" x14ac:dyDescent="0.2">
      <c r="A245" s="4" t="s">
        <v>463</v>
      </c>
      <c r="B245" s="8" t="s">
        <v>464</v>
      </c>
      <c r="C245" s="5">
        <v>15415.234396867652</v>
      </c>
      <c r="D245" s="3" t="s">
        <v>472</v>
      </c>
      <c r="E245" s="15">
        <f t="shared" si="29"/>
        <v>3003.9804715927949</v>
      </c>
      <c r="F245" s="15">
        <f t="shared" si="23"/>
        <v>0</v>
      </c>
      <c r="G245" s="16">
        <f t="shared" si="24"/>
        <v>12411.253925274857</v>
      </c>
      <c r="H245" s="17">
        <v>10350</v>
      </c>
      <c r="I245" s="16">
        <f t="shared" si="25"/>
        <v>2061.2539252748575</v>
      </c>
      <c r="J245" s="18">
        <f t="shared" si="26"/>
        <v>0.1991549686255901</v>
      </c>
      <c r="K245" s="18">
        <f t="shared" si="27"/>
        <v>0.13371538000704683</v>
      </c>
      <c r="L245" s="25">
        <f t="shared" si="28"/>
        <v>15423.980471592795</v>
      </c>
    </row>
    <row r="246" spans="1:12" ht="50.1" customHeight="1" x14ac:dyDescent="0.2">
      <c r="A246" s="4" t="s">
        <v>465</v>
      </c>
      <c r="B246" s="8" t="s">
        <v>466</v>
      </c>
      <c r="C246" s="5">
        <v>11330.07316321824</v>
      </c>
      <c r="D246" s="19">
        <v>0.15</v>
      </c>
      <c r="E246" s="15">
        <f>C246*D246</f>
        <v>1699.5109744827359</v>
      </c>
      <c r="F246" s="15">
        <f t="shared" si="23"/>
        <v>0</v>
      </c>
      <c r="G246" s="16">
        <f t="shared" si="24"/>
        <v>9630.5621887355046</v>
      </c>
      <c r="H246" s="17">
        <v>8033</v>
      </c>
      <c r="I246" s="16">
        <f t="shared" si="25"/>
        <v>1597.5621887355046</v>
      </c>
      <c r="J246" s="18">
        <f t="shared" si="26"/>
        <v>0.19887491456933956</v>
      </c>
      <c r="K246" s="18">
        <f t="shared" si="27"/>
        <v>0.14100193050136728</v>
      </c>
      <c r="L246" s="25">
        <f t="shared" si="28"/>
        <v>11339.110974482735</v>
      </c>
    </row>
    <row r="247" spans="1:12" ht="50.1" customHeight="1" x14ac:dyDescent="0.2">
      <c r="A247" s="4" t="s">
        <v>485</v>
      </c>
      <c r="B247" s="8" t="s">
        <v>518</v>
      </c>
      <c r="C247" s="5">
        <v>11417.940704947805</v>
      </c>
      <c r="D247" s="19">
        <v>0.12</v>
      </c>
      <c r="E247" s="15">
        <f>C247*D247+700</f>
        <v>2070.1528845937364</v>
      </c>
      <c r="F247" s="15">
        <f t="shared" si="23"/>
        <v>0</v>
      </c>
      <c r="G247" s="16">
        <f t="shared" si="24"/>
        <v>9347.7878203540677</v>
      </c>
      <c r="H247" s="17">
        <f>6550*1.19</f>
        <v>7794.5</v>
      </c>
      <c r="I247" s="16">
        <f t="shared" si="25"/>
        <v>1553.2878203540677</v>
      </c>
      <c r="J247" s="18">
        <f t="shared" si="26"/>
        <v>0.1992799820840423</v>
      </c>
      <c r="K247" s="18">
        <f t="shared" si="27"/>
        <v>0.13603922638002247</v>
      </c>
      <c r="L247" s="25">
        <f t="shared" si="28"/>
        <v>11423.552884593735</v>
      </c>
    </row>
    <row r="248" spans="1:12" ht="50.1" customHeight="1" x14ac:dyDescent="0.2">
      <c r="A248" s="4" t="s">
        <v>486</v>
      </c>
      <c r="B248" s="8" t="s">
        <v>518</v>
      </c>
      <c r="C248" s="5">
        <v>11417.940704947805</v>
      </c>
      <c r="D248" s="19">
        <v>0.12</v>
      </c>
      <c r="E248" s="15">
        <f>C248*D248+700</f>
        <v>2070.1528845937364</v>
      </c>
      <c r="F248" s="15">
        <f t="shared" si="23"/>
        <v>0</v>
      </c>
      <c r="G248" s="16">
        <f t="shared" si="24"/>
        <v>9347.7878203540677</v>
      </c>
      <c r="H248" s="17">
        <f>6550*1.19</f>
        <v>7794.5</v>
      </c>
      <c r="I248" s="16">
        <f t="shared" si="25"/>
        <v>1553.2878203540677</v>
      </c>
      <c r="J248" s="18">
        <f t="shared" si="26"/>
        <v>0.1992799820840423</v>
      </c>
      <c r="K248" s="18">
        <f t="shared" si="27"/>
        <v>0.13603922638002247</v>
      </c>
      <c r="L248" s="25">
        <f t="shared" si="28"/>
        <v>11423.552884593735</v>
      </c>
    </row>
    <row r="249" spans="1:12" ht="50.1" customHeight="1" x14ac:dyDescent="0.2">
      <c r="A249" s="4" t="s">
        <v>487</v>
      </c>
      <c r="B249" s="8" t="s">
        <v>519</v>
      </c>
      <c r="C249" s="5">
        <v>4698.8819805355306</v>
      </c>
      <c r="D249" s="19">
        <v>0.16</v>
      </c>
      <c r="E249" s="15">
        <f>C249*D249</f>
        <v>751.82111688568489</v>
      </c>
      <c r="F249" s="15">
        <f t="shared" si="23"/>
        <v>0</v>
      </c>
      <c r="G249" s="16">
        <f t="shared" si="24"/>
        <v>3947.0608636498455</v>
      </c>
      <c r="H249" s="17">
        <f>2767*1.19</f>
        <v>3292.73</v>
      </c>
      <c r="I249" s="16">
        <f t="shared" si="25"/>
        <v>654.33086364984547</v>
      </c>
      <c r="J249" s="18">
        <f t="shared" si="26"/>
        <v>0.19871986578002007</v>
      </c>
      <c r="K249" s="18">
        <f t="shared" si="27"/>
        <v>0.13925245757614699</v>
      </c>
      <c r="L249" s="25">
        <f t="shared" si="28"/>
        <v>4703.097116885685</v>
      </c>
    </row>
    <row r="250" spans="1:12" ht="50.1" customHeight="1" x14ac:dyDescent="0.2">
      <c r="A250" s="4" t="s">
        <v>488</v>
      </c>
      <c r="B250" s="8" t="s">
        <v>519</v>
      </c>
      <c r="C250" s="5">
        <v>4698.8819805355306</v>
      </c>
      <c r="D250" s="19">
        <v>0.16</v>
      </c>
      <c r="E250" s="15">
        <f>C250*D250</f>
        <v>751.82111688568489</v>
      </c>
      <c r="F250" s="15">
        <f t="shared" si="23"/>
        <v>0</v>
      </c>
      <c r="G250" s="16">
        <f t="shared" si="24"/>
        <v>3947.0608636498455</v>
      </c>
      <c r="H250" s="17">
        <f>2767*1.19</f>
        <v>3292.73</v>
      </c>
      <c r="I250" s="16">
        <f t="shared" si="25"/>
        <v>654.33086364984547</v>
      </c>
      <c r="J250" s="18">
        <f t="shared" si="26"/>
        <v>0.19871986578002007</v>
      </c>
      <c r="K250" s="18">
        <f t="shared" si="27"/>
        <v>0.13925245757614699</v>
      </c>
      <c r="L250" s="25">
        <f t="shared" si="28"/>
        <v>4703.097116885685</v>
      </c>
    </row>
    <row r="251" spans="1:12" ht="50.1" customHeight="1" x14ac:dyDescent="0.2">
      <c r="A251" s="4" t="s">
        <v>489</v>
      </c>
      <c r="B251" s="8" t="s">
        <v>520</v>
      </c>
      <c r="C251" s="5">
        <v>5471.5568273529025</v>
      </c>
      <c r="D251" s="19">
        <v>0.16</v>
      </c>
      <c r="E251" s="15">
        <f>C251*D251</f>
        <v>875.44909237646436</v>
      </c>
      <c r="F251" s="15">
        <f t="shared" si="23"/>
        <v>0</v>
      </c>
      <c r="G251" s="16">
        <f t="shared" si="24"/>
        <v>4596.1077349764382</v>
      </c>
      <c r="H251" s="17">
        <f>3222*1.19</f>
        <v>3834.18</v>
      </c>
      <c r="I251" s="16">
        <f t="shared" si="25"/>
        <v>761.92773497643839</v>
      </c>
      <c r="J251" s="18">
        <f t="shared" si="26"/>
        <v>0.19871986578002035</v>
      </c>
      <c r="K251" s="18">
        <f t="shared" si="27"/>
        <v>0.13925245757614715</v>
      </c>
      <c r="L251" s="25">
        <f t="shared" si="28"/>
        <v>5476.4650923764648</v>
      </c>
    </row>
    <row r="252" spans="1:12" ht="50.1" customHeight="1" x14ac:dyDescent="0.2">
      <c r="A252" s="4" t="s">
        <v>490</v>
      </c>
      <c r="B252" s="8" t="s">
        <v>520</v>
      </c>
      <c r="C252" s="5">
        <v>5471.5568273529025</v>
      </c>
      <c r="D252" s="19">
        <v>0.16</v>
      </c>
      <c r="E252" s="15">
        <f>C252*D252</f>
        <v>875.44909237646436</v>
      </c>
      <c r="F252" s="15">
        <f t="shared" si="23"/>
        <v>0</v>
      </c>
      <c r="G252" s="16">
        <f t="shared" si="24"/>
        <v>4596.1077349764382</v>
      </c>
      <c r="H252" s="17">
        <f>3222*1.19</f>
        <v>3834.18</v>
      </c>
      <c r="I252" s="16">
        <f t="shared" si="25"/>
        <v>761.92773497643839</v>
      </c>
      <c r="J252" s="18">
        <f t="shared" si="26"/>
        <v>0.19871986578002035</v>
      </c>
      <c r="K252" s="18">
        <f t="shared" si="27"/>
        <v>0.13925245757614715</v>
      </c>
      <c r="L252" s="25">
        <f t="shared" si="28"/>
        <v>5476.4650923764648</v>
      </c>
    </row>
    <row r="253" spans="1:12" ht="50.1" customHeight="1" x14ac:dyDescent="0.2">
      <c r="A253" s="4" t="s">
        <v>491</v>
      </c>
      <c r="B253" s="8" t="s">
        <v>521</v>
      </c>
      <c r="C253" s="5">
        <v>4617.7213615166456</v>
      </c>
      <c r="D253" s="19">
        <v>0.11</v>
      </c>
      <c r="E253" s="15">
        <f>C253*D253+700</f>
        <v>1207.9493497668309</v>
      </c>
      <c r="F253" s="15">
        <f t="shared" si="23"/>
        <v>0</v>
      </c>
      <c r="G253" s="16">
        <f t="shared" si="24"/>
        <v>3409.7720117498147</v>
      </c>
      <c r="H253" s="17">
        <f>2389*1.19</f>
        <v>2842.91</v>
      </c>
      <c r="I253" s="16">
        <f t="shared" si="25"/>
        <v>566.86201174981488</v>
      </c>
      <c r="J253" s="18">
        <f t="shared" si="26"/>
        <v>0.19939499025639745</v>
      </c>
      <c r="K253" s="18">
        <f t="shared" si="27"/>
        <v>0.1227579508096683</v>
      </c>
      <c r="L253" s="25">
        <f t="shared" si="28"/>
        <v>4619.4413497668311</v>
      </c>
    </row>
    <row r="254" spans="1:12" ht="50.1" customHeight="1" x14ac:dyDescent="0.2">
      <c r="A254" s="4" t="s">
        <v>492</v>
      </c>
      <c r="B254" s="8" t="s">
        <v>521</v>
      </c>
      <c r="C254" s="5">
        <v>4617.7213615166456</v>
      </c>
      <c r="D254" s="19">
        <v>0.11</v>
      </c>
      <c r="E254" s="15">
        <f>C254*D254+700</f>
        <v>1207.9493497668309</v>
      </c>
      <c r="F254" s="15">
        <f t="shared" si="23"/>
        <v>0</v>
      </c>
      <c r="G254" s="16">
        <f t="shared" si="24"/>
        <v>3409.7720117498147</v>
      </c>
      <c r="H254" s="17">
        <f>2389*1.19</f>
        <v>2842.91</v>
      </c>
      <c r="I254" s="16">
        <f t="shared" si="25"/>
        <v>566.86201174981488</v>
      </c>
      <c r="J254" s="18">
        <f t="shared" si="26"/>
        <v>0.19939499025639745</v>
      </c>
      <c r="K254" s="18">
        <f t="shared" si="27"/>
        <v>0.1227579508096683</v>
      </c>
      <c r="L254" s="25">
        <f t="shared" si="28"/>
        <v>4619.4413497668311</v>
      </c>
    </row>
    <row r="255" spans="1:12" ht="50.1" customHeight="1" x14ac:dyDescent="0.2">
      <c r="A255" s="4" t="s">
        <v>493</v>
      </c>
      <c r="B255" s="8" t="s">
        <v>522</v>
      </c>
      <c r="C255" s="5">
        <v>5350.9855875198618</v>
      </c>
      <c r="D255" s="19">
        <v>0.16</v>
      </c>
      <c r="E255" s="15">
        <f t="shared" ref="E255:E264" si="30">C255*D255</f>
        <v>856.15769400317788</v>
      </c>
      <c r="F255" s="15">
        <f t="shared" si="23"/>
        <v>0</v>
      </c>
      <c r="G255" s="16">
        <f t="shared" si="24"/>
        <v>4494.8278935166836</v>
      </c>
      <c r="H255" s="17">
        <f>3151*1.19</f>
        <v>3749.69</v>
      </c>
      <c r="I255" s="16">
        <f t="shared" si="25"/>
        <v>745.13789351668356</v>
      </c>
      <c r="J255" s="18">
        <f t="shared" si="26"/>
        <v>0.1987198657800201</v>
      </c>
      <c r="K255" s="18">
        <f t="shared" si="27"/>
        <v>0.13925245757614699</v>
      </c>
      <c r="L255" s="25">
        <f t="shared" si="28"/>
        <v>5355.7856940031779</v>
      </c>
    </row>
    <row r="256" spans="1:12" ht="50.1" customHeight="1" x14ac:dyDescent="0.2">
      <c r="A256" s="4" t="s">
        <v>494</v>
      </c>
      <c r="B256" s="8" t="s">
        <v>522</v>
      </c>
      <c r="C256" s="5">
        <v>5350.9855875198618</v>
      </c>
      <c r="D256" s="19">
        <v>0.16</v>
      </c>
      <c r="E256" s="15">
        <f t="shared" si="30"/>
        <v>856.15769400317788</v>
      </c>
      <c r="F256" s="15">
        <f t="shared" si="23"/>
        <v>0</v>
      </c>
      <c r="G256" s="16">
        <f t="shared" si="24"/>
        <v>4494.8278935166836</v>
      </c>
      <c r="H256" s="17">
        <f>3151*1.19</f>
        <v>3749.69</v>
      </c>
      <c r="I256" s="16">
        <f t="shared" si="25"/>
        <v>745.13789351668356</v>
      </c>
      <c r="J256" s="18">
        <f t="shared" si="26"/>
        <v>0.1987198657800201</v>
      </c>
      <c r="K256" s="18">
        <f t="shared" si="27"/>
        <v>0.13925245757614699</v>
      </c>
      <c r="L256" s="25">
        <f t="shared" si="28"/>
        <v>5355.7856940031779</v>
      </c>
    </row>
    <row r="257" spans="1:12" ht="50.1" customHeight="1" x14ac:dyDescent="0.2">
      <c r="A257" s="4" t="s">
        <v>495</v>
      </c>
      <c r="B257" s="8" t="s">
        <v>523</v>
      </c>
      <c r="C257" s="5">
        <v>6412.3521353459209</v>
      </c>
      <c r="D257" s="19">
        <v>0.16</v>
      </c>
      <c r="E257" s="15">
        <f t="shared" si="30"/>
        <v>1025.9763416553474</v>
      </c>
      <c r="F257" s="15">
        <f t="shared" ref="F257:F279" si="31">IF(C257&gt;=19990,"ACTIVAR",0)</f>
        <v>0</v>
      </c>
      <c r="G257" s="16">
        <f t="shared" si="24"/>
        <v>5386.3757936905731</v>
      </c>
      <c r="H257" s="17">
        <f>3776*1.19</f>
        <v>4493.4399999999996</v>
      </c>
      <c r="I257" s="16">
        <f t="shared" si="25"/>
        <v>892.93579369057352</v>
      </c>
      <c r="J257" s="18">
        <f t="shared" si="26"/>
        <v>0.19871986578002013</v>
      </c>
      <c r="K257" s="18">
        <f t="shared" si="27"/>
        <v>0.13925245757614702</v>
      </c>
      <c r="L257" s="25">
        <f t="shared" si="28"/>
        <v>6418.1043416553475</v>
      </c>
    </row>
    <row r="258" spans="1:12" ht="50.1" customHeight="1" x14ac:dyDescent="0.2">
      <c r="A258" s="4" t="s">
        <v>496</v>
      </c>
      <c r="B258" s="8" t="s">
        <v>523</v>
      </c>
      <c r="C258" s="5">
        <v>6412.3521353459209</v>
      </c>
      <c r="D258" s="19">
        <v>0.16</v>
      </c>
      <c r="E258" s="15">
        <f t="shared" si="30"/>
        <v>1025.9763416553474</v>
      </c>
      <c r="F258" s="15">
        <f t="shared" si="31"/>
        <v>0</v>
      </c>
      <c r="G258" s="16">
        <f t="shared" si="24"/>
        <v>5386.3757936905731</v>
      </c>
      <c r="H258" s="17">
        <f>3776*1.19</f>
        <v>4493.4399999999996</v>
      </c>
      <c r="I258" s="16">
        <f t="shared" si="25"/>
        <v>892.93579369057352</v>
      </c>
      <c r="J258" s="18">
        <f t="shared" si="26"/>
        <v>0.19871986578002013</v>
      </c>
      <c r="K258" s="18">
        <f t="shared" si="27"/>
        <v>0.13925245757614702</v>
      </c>
      <c r="L258" s="25">
        <f t="shared" si="28"/>
        <v>6418.1043416553475</v>
      </c>
    </row>
    <row r="259" spans="1:12" ht="50.1" customHeight="1" x14ac:dyDescent="0.2">
      <c r="A259" s="4" t="s">
        <v>497</v>
      </c>
      <c r="B259" s="8" t="s">
        <v>524</v>
      </c>
      <c r="C259" s="5">
        <v>11021.230232625803</v>
      </c>
      <c r="D259" s="19">
        <v>0.16</v>
      </c>
      <c r="E259" s="15">
        <f t="shared" si="30"/>
        <v>1763.3968372201286</v>
      </c>
      <c r="F259" s="15">
        <f t="shared" si="31"/>
        <v>0</v>
      </c>
      <c r="G259" s="16">
        <f t="shared" si="24"/>
        <v>9257.8333954056743</v>
      </c>
      <c r="H259" s="17">
        <f>6490*1.19</f>
        <v>7723.0999999999995</v>
      </c>
      <c r="I259" s="16">
        <f t="shared" si="25"/>
        <v>1534.7333954056749</v>
      </c>
      <c r="J259" s="18">
        <f t="shared" si="26"/>
        <v>0.19871986578002032</v>
      </c>
      <c r="K259" s="18">
        <f t="shared" si="27"/>
        <v>0.13925245757614713</v>
      </c>
      <c r="L259" s="25">
        <f t="shared" si="28"/>
        <v>11031.116837220128</v>
      </c>
    </row>
    <row r="260" spans="1:12" ht="50.1" customHeight="1" x14ac:dyDescent="0.2">
      <c r="A260" s="4" t="s">
        <v>498</v>
      </c>
      <c r="B260" s="8" t="s">
        <v>524</v>
      </c>
      <c r="C260" s="5">
        <v>11021.230232625803</v>
      </c>
      <c r="D260" s="19">
        <v>0.16</v>
      </c>
      <c r="E260" s="15">
        <f t="shared" si="30"/>
        <v>1763.3968372201286</v>
      </c>
      <c r="F260" s="15">
        <f t="shared" si="31"/>
        <v>0</v>
      </c>
      <c r="G260" s="16">
        <f t="shared" ref="G260:G279" si="32">C260-E260-F260</f>
        <v>9257.8333954056743</v>
      </c>
      <c r="H260" s="17">
        <f>6490*1.19</f>
        <v>7723.0999999999995</v>
      </c>
      <c r="I260" s="16">
        <f t="shared" ref="I260:I279" si="33">G260-H260</f>
        <v>1534.7333954056749</v>
      </c>
      <c r="J260" s="18">
        <f t="shared" ref="J260:J279" si="34">I260/H260</f>
        <v>0.19871986578002032</v>
      </c>
      <c r="K260" s="18">
        <f t="shared" ref="K260:K279" si="35">I260/C260</f>
        <v>0.13925245757614713</v>
      </c>
      <c r="L260" s="25">
        <f t="shared" ref="L260:L279" si="36">E260+F260+H260+H260*0.2</f>
        <v>11031.116837220128</v>
      </c>
    </row>
    <row r="261" spans="1:12" ht="50.1" customHeight="1" x14ac:dyDescent="0.2">
      <c r="A261" s="4" t="s">
        <v>499</v>
      </c>
      <c r="B261" s="8" t="s">
        <v>525</v>
      </c>
      <c r="C261" s="5">
        <v>11807.490571255346</v>
      </c>
      <c r="D261" s="19">
        <v>0.16</v>
      </c>
      <c r="E261" s="15">
        <f t="shared" si="30"/>
        <v>1889.1984914008553</v>
      </c>
      <c r="F261" s="15">
        <f t="shared" si="31"/>
        <v>0</v>
      </c>
      <c r="G261" s="16">
        <f t="shared" si="32"/>
        <v>9918.292079854491</v>
      </c>
      <c r="H261" s="17">
        <f>6953*1.19</f>
        <v>8274.07</v>
      </c>
      <c r="I261" s="16">
        <f t="shared" si="33"/>
        <v>1644.2220798544913</v>
      </c>
      <c r="J261" s="18">
        <f t="shared" si="34"/>
        <v>0.19871986578002016</v>
      </c>
      <c r="K261" s="18">
        <f t="shared" si="35"/>
        <v>0.13925245757614704</v>
      </c>
      <c r="L261" s="25">
        <f t="shared" si="36"/>
        <v>11818.082491400855</v>
      </c>
    </row>
    <row r="262" spans="1:12" ht="50.1" customHeight="1" x14ac:dyDescent="0.2">
      <c r="A262" s="4" t="s">
        <v>500</v>
      </c>
      <c r="B262" s="8" t="s">
        <v>525</v>
      </c>
      <c r="C262" s="5">
        <v>11807.490571255346</v>
      </c>
      <c r="D262" s="19">
        <v>0.16</v>
      </c>
      <c r="E262" s="15">
        <f t="shared" si="30"/>
        <v>1889.1984914008553</v>
      </c>
      <c r="F262" s="15">
        <f t="shared" si="31"/>
        <v>0</v>
      </c>
      <c r="G262" s="16">
        <f t="shared" si="32"/>
        <v>9918.292079854491</v>
      </c>
      <c r="H262" s="17">
        <f>6953*1.19</f>
        <v>8274.07</v>
      </c>
      <c r="I262" s="16">
        <f t="shared" si="33"/>
        <v>1644.2220798544913</v>
      </c>
      <c r="J262" s="18">
        <f t="shared" si="34"/>
        <v>0.19871986578002016</v>
      </c>
      <c r="K262" s="18">
        <f t="shared" si="35"/>
        <v>0.13925245757614704</v>
      </c>
      <c r="L262" s="25">
        <f t="shared" si="36"/>
        <v>11818.082491400855</v>
      </c>
    </row>
    <row r="263" spans="1:12" ht="50.1" customHeight="1" x14ac:dyDescent="0.2">
      <c r="A263" s="4" t="s">
        <v>501</v>
      </c>
      <c r="B263" s="8" t="s">
        <v>526</v>
      </c>
      <c r="C263" s="5">
        <v>6848.7860598119969</v>
      </c>
      <c r="D263" s="19">
        <v>0.16</v>
      </c>
      <c r="E263" s="15">
        <f t="shared" si="30"/>
        <v>1095.8057695699194</v>
      </c>
      <c r="F263" s="15">
        <f t="shared" si="31"/>
        <v>0</v>
      </c>
      <c r="G263" s="16">
        <f t="shared" si="32"/>
        <v>5752.9802902420779</v>
      </c>
      <c r="H263" s="17">
        <f>4033*1.19</f>
        <v>4799.2699999999995</v>
      </c>
      <c r="I263" s="16">
        <f t="shared" si="33"/>
        <v>953.71029024207837</v>
      </c>
      <c r="J263" s="18">
        <f t="shared" si="34"/>
        <v>0.1987198657800204</v>
      </c>
      <c r="K263" s="18">
        <f t="shared" si="35"/>
        <v>0.13925245757614718</v>
      </c>
      <c r="L263" s="25">
        <f t="shared" si="36"/>
        <v>6854.9297695699197</v>
      </c>
    </row>
    <row r="264" spans="1:12" ht="50.1" customHeight="1" x14ac:dyDescent="0.2">
      <c r="A264" s="4" t="s">
        <v>502</v>
      </c>
      <c r="B264" s="8" t="s">
        <v>526</v>
      </c>
      <c r="C264" s="5">
        <v>6848.7860598119969</v>
      </c>
      <c r="D264" s="19">
        <v>0.16</v>
      </c>
      <c r="E264" s="15">
        <f t="shared" si="30"/>
        <v>1095.8057695699194</v>
      </c>
      <c r="F264" s="15">
        <f t="shared" si="31"/>
        <v>0</v>
      </c>
      <c r="G264" s="16">
        <f t="shared" si="32"/>
        <v>5752.9802902420779</v>
      </c>
      <c r="H264" s="17">
        <f>4033*1.19</f>
        <v>4799.2699999999995</v>
      </c>
      <c r="I264" s="16">
        <f t="shared" si="33"/>
        <v>953.71029024207837</v>
      </c>
      <c r="J264" s="18">
        <f t="shared" si="34"/>
        <v>0.1987198657800204</v>
      </c>
      <c r="K264" s="18">
        <f t="shared" si="35"/>
        <v>0.13925245757614718</v>
      </c>
      <c r="L264" s="25">
        <f t="shared" si="36"/>
        <v>6854.9297695699197</v>
      </c>
    </row>
    <row r="265" spans="1:12" ht="50.1" customHeight="1" x14ac:dyDescent="0.2">
      <c r="A265" s="4" t="s">
        <v>503</v>
      </c>
      <c r="B265" s="8" t="s">
        <v>527</v>
      </c>
      <c r="C265" s="5">
        <v>12786.810756154355</v>
      </c>
      <c r="D265" s="19">
        <v>0.13</v>
      </c>
      <c r="E265" s="15">
        <f>C265*D265+1000</f>
        <v>2662.2853983000659</v>
      </c>
      <c r="F265" s="15">
        <f t="shared" si="31"/>
        <v>0</v>
      </c>
      <c r="G265" s="16">
        <f t="shared" si="32"/>
        <v>10124.525357854289</v>
      </c>
      <c r="H265" s="17">
        <f>7095*1.19</f>
        <v>8443.0499999999993</v>
      </c>
      <c r="I265" s="16">
        <f t="shared" si="33"/>
        <v>1681.4753578542895</v>
      </c>
      <c r="J265" s="18">
        <f t="shared" si="34"/>
        <v>0.19915496862559023</v>
      </c>
      <c r="K265" s="18">
        <f t="shared" si="35"/>
        <v>0.13150076198984859</v>
      </c>
      <c r="L265" s="25">
        <f t="shared" si="36"/>
        <v>12793.945398300066</v>
      </c>
    </row>
    <row r="266" spans="1:12" ht="50.1" customHeight="1" x14ac:dyDescent="0.2">
      <c r="A266" s="4" t="s">
        <v>504</v>
      </c>
      <c r="B266" s="8" t="s">
        <v>527</v>
      </c>
      <c r="C266" s="5">
        <v>12786.810756154355</v>
      </c>
      <c r="D266" s="19">
        <v>0.13</v>
      </c>
      <c r="E266" s="15">
        <f>C266*D266+1000</f>
        <v>2662.2853983000659</v>
      </c>
      <c r="F266" s="15">
        <f t="shared" si="31"/>
        <v>0</v>
      </c>
      <c r="G266" s="16">
        <f t="shared" si="32"/>
        <v>10124.525357854289</v>
      </c>
      <c r="H266" s="17">
        <f>7095*1.19</f>
        <v>8443.0499999999993</v>
      </c>
      <c r="I266" s="16">
        <f t="shared" si="33"/>
        <v>1681.4753578542895</v>
      </c>
      <c r="J266" s="18">
        <f t="shared" si="34"/>
        <v>0.19915496862559023</v>
      </c>
      <c r="K266" s="18">
        <f t="shared" si="35"/>
        <v>0.13150076198984859</v>
      </c>
      <c r="L266" s="25">
        <f t="shared" si="36"/>
        <v>12793.945398300066</v>
      </c>
    </row>
    <row r="267" spans="1:12" ht="50.1" customHeight="1" x14ac:dyDescent="0.2">
      <c r="A267" s="4" t="s">
        <v>505</v>
      </c>
      <c r="B267" s="8" t="s">
        <v>528</v>
      </c>
      <c r="C267" s="5">
        <v>7147.6668796798158</v>
      </c>
      <c r="D267" s="19">
        <v>0.16</v>
      </c>
      <c r="E267" s="15">
        <f t="shared" ref="E267:E279" si="37">C267*D267</f>
        <v>1143.6267007487706</v>
      </c>
      <c r="F267" s="15">
        <f t="shared" si="31"/>
        <v>0</v>
      </c>
      <c r="G267" s="16">
        <f t="shared" si="32"/>
        <v>6004.0401789310454</v>
      </c>
      <c r="H267" s="17">
        <f>4209*1.19</f>
        <v>5008.71</v>
      </c>
      <c r="I267" s="16">
        <f t="shared" si="33"/>
        <v>995.33017893104534</v>
      </c>
      <c r="J267" s="18">
        <f t="shared" si="34"/>
        <v>0.19871986578002027</v>
      </c>
      <c r="K267" s="18">
        <f t="shared" si="35"/>
        <v>0.1392524575761471</v>
      </c>
      <c r="L267" s="25">
        <f t="shared" si="36"/>
        <v>7154.0787007487706</v>
      </c>
    </row>
    <row r="268" spans="1:12" ht="50.1" customHeight="1" x14ac:dyDescent="0.2">
      <c r="A268" s="4" t="s">
        <v>506</v>
      </c>
      <c r="B268" s="8" t="s">
        <v>528</v>
      </c>
      <c r="C268" s="5">
        <v>7147.6668796798158</v>
      </c>
      <c r="D268" s="19">
        <v>0.16</v>
      </c>
      <c r="E268" s="15">
        <f t="shared" si="37"/>
        <v>1143.6267007487706</v>
      </c>
      <c r="F268" s="15">
        <f t="shared" si="31"/>
        <v>0</v>
      </c>
      <c r="G268" s="16">
        <f t="shared" si="32"/>
        <v>6004.0401789310454</v>
      </c>
      <c r="H268" s="17">
        <f>4209*1.19</f>
        <v>5008.71</v>
      </c>
      <c r="I268" s="16">
        <f t="shared" si="33"/>
        <v>995.33017893104534</v>
      </c>
      <c r="J268" s="18">
        <f t="shared" si="34"/>
        <v>0.19871986578002027</v>
      </c>
      <c r="K268" s="18">
        <f t="shared" si="35"/>
        <v>0.1392524575761471</v>
      </c>
      <c r="L268" s="25">
        <f t="shared" si="36"/>
        <v>7154.0787007487706</v>
      </c>
    </row>
    <row r="269" spans="1:12" ht="50.1" customHeight="1" x14ac:dyDescent="0.2">
      <c r="A269" s="4" t="s">
        <v>507</v>
      </c>
      <c r="B269" s="8" t="s">
        <v>529</v>
      </c>
      <c r="C269" s="5">
        <v>5622.6371488156328</v>
      </c>
      <c r="D269" s="19">
        <v>0.17</v>
      </c>
      <c r="E269" s="15">
        <f t="shared" si="37"/>
        <v>955.84831529865767</v>
      </c>
      <c r="F269" s="15">
        <f t="shared" si="31"/>
        <v>0</v>
      </c>
      <c r="G269" s="16">
        <f t="shared" si="32"/>
        <v>4666.7888335169755</v>
      </c>
      <c r="H269" s="17">
        <f>3272*1.19</f>
        <v>3893.68</v>
      </c>
      <c r="I269" s="16">
        <f t="shared" si="33"/>
        <v>773.10883351697566</v>
      </c>
      <c r="J269" s="18">
        <f t="shared" si="34"/>
        <v>0.19855479482571134</v>
      </c>
      <c r="K269" s="18">
        <f t="shared" si="35"/>
        <v>0.13749932870553908</v>
      </c>
      <c r="L269" s="25">
        <f t="shared" si="36"/>
        <v>5628.2643152986575</v>
      </c>
    </row>
    <row r="270" spans="1:12" ht="50.1" customHeight="1" x14ac:dyDescent="0.2">
      <c r="A270" s="4" t="s">
        <v>508</v>
      </c>
      <c r="B270" s="8" t="s">
        <v>530</v>
      </c>
      <c r="C270" s="5">
        <v>14767.669503644251</v>
      </c>
      <c r="D270" s="19">
        <v>0.18</v>
      </c>
      <c r="E270" s="15">
        <f t="shared" si="37"/>
        <v>2658.180510655965</v>
      </c>
      <c r="F270" s="15">
        <f t="shared" si="31"/>
        <v>0</v>
      </c>
      <c r="G270" s="16">
        <f t="shared" si="32"/>
        <v>12109.488992988285</v>
      </c>
      <c r="H270" s="17">
        <f>9990*1.19*0.85</f>
        <v>10104.885</v>
      </c>
      <c r="I270" s="16">
        <f t="shared" si="33"/>
        <v>2004.6039929882845</v>
      </c>
      <c r="J270" s="18">
        <f t="shared" si="34"/>
        <v>0.19837969387957255</v>
      </c>
      <c r="K270" s="18">
        <f t="shared" si="35"/>
        <v>0.1357427448179013</v>
      </c>
      <c r="L270" s="25">
        <f t="shared" si="36"/>
        <v>14784.042510655965</v>
      </c>
    </row>
    <row r="271" spans="1:12" ht="50.1" customHeight="1" x14ac:dyDescent="0.2">
      <c r="A271" s="4" t="s">
        <v>509</v>
      </c>
      <c r="B271" s="8" t="s">
        <v>530</v>
      </c>
      <c r="C271" s="5">
        <v>14767.669503644251</v>
      </c>
      <c r="D271" s="19">
        <v>0.18</v>
      </c>
      <c r="E271" s="15">
        <f t="shared" si="37"/>
        <v>2658.180510655965</v>
      </c>
      <c r="F271" s="15">
        <f t="shared" si="31"/>
        <v>0</v>
      </c>
      <c r="G271" s="16">
        <f t="shared" si="32"/>
        <v>12109.488992988285</v>
      </c>
      <c r="H271" s="17">
        <f>9990*1.19*0.85</f>
        <v>10104.885</v>
      </c>
      <c r="I271" s="16">
        <f t="shared" si="33"/>
        <v>2004.6039929882845</v>
      </c>
      <c r="J271" s="18">
        <f t="shared" si="34"/>
        <v>0.19837969387957255</v>
      </c>
      <c r="K271" s="18">
        <f t="shared" si="35"/>
        <v>0.1357427448179013</v>
      </c>
      <c r="L271" s="25">
        <f t="shared" si="36"/>
        <v>14784.042510655965</v>
      </c>
    </row>
    <row r="272" spans="1:12" ht="50.1" customHeight="1" x14ac:dyDescent="0.2">
      <c r="A272" s="4" t="s">
        <v>510</v>
      </c>
      <c r="B272" s="8" t="s">
        <v>531</v>
      </c>
      <c r="C272" s="5">
        <v>38977.283176825506</v>
      </c>
      <c r="D272" s="19">
        <v>0.13</v>
      </c>
      <c r="E272" s="15">
        <f t="shared" si="37"/>
        <v>5067.0468129873161</v>
      </c>
      <c r="F272" s="15">
        <v>3100</v>
      </c>
      <c r="G272" s="16">
        <f t="shared" si="32"/>
        <v>30810.236363838187</v>
      </c>
      <c r="H272" s="17">
        <f>23990*1.19*0.9</f>
        <v>25693.29</v>
      </c>
      <c r="I272" s="16">
        <f t="shared" si="33"/>
        <v>5116.9463638381858</v>
      </c>
      <c r="J272" s="18">
        <f t="shared" si="34"/>
        <v>0.19915496862559001</v>
      </c>
      <c r="K272" s="18">
        <f t="shared" si="35"/>
        <v>0.13128022136957299</v>
      </c>
      <c r="L272" s="25">
        <f t="shared" si="36"/>
        <v>38998.994812987323</v>
      </c>
    </row>
    <row r="273" spans="1:12" ht="50.1" customHeight="1" x14ac:dyDescent="0.2">
      <c r="A273" s="4" t="s">
        <v>511</v>
      </c>
      <c r="B273" s="8" t="s">
        <v>531</v>
      </c>
      <c r="C273" s="5">
        <v>38977.283176825506</v>
      </c>
      <c r="D273" s="19">
        <v>0.13</v>
      </c>
      <c r="E273" s="15">
        <f t="shared" si="37"/>
        <v>5067.0468129873161</v>
      </c>
      <c r="F273" s="15">
        <v>3100</v>
      </c>
      <c r="G273" s="16">
        <f t="shared" si="32"/>
        <v>30810.236363838187</v>
      </c>
      <c r="H273" s="17">
        <f>23990*1.19*0.9</f>
        <v>25693.29</v>
      </c>
      <c r="I273" s="16">
        <f t="shared" si="33"/>
        <v>5116.9463638381858</v>
      </c>
      <c r="J273" s="18">
        <f t="shared" si="34"/>
        <v>0.19915496862559001</v>
      </c>
      <c r="K273" s="18">
        <f t="shared" si="35"/>
        <v>0.13128022136957299</v>
      </c>
      <c r="L273" s="25">
        <f t="shared" si="36"/>
        <v>38998.994812987323</v>
      </c>
    </row>
    <row r="274" spans="1:12" ht="50.1" customHeight="1" x14ac:dyDescent="0.2">
      <c r="A274" s="4" t="s">
        <v>512</v>
      </c>
      <c r="B274" s="8" t="s">
        <v>532</v>
      </c>
      <c r="C274" s="5">
        <v>14767.669503644249</v>
      </c>
      <c r="D274" s="19">
        <v>0.18</v>
      </c>
      <c r="E274" s="15">
        <f t="shared" si="37"/>
        <v>2658.1805106559646</v>
      </c>
      <c r="F274" s="15">
        <f t="shared" si="31"/>
        <v>0</v>
      </c>
      <c r="G274" s="16">
        <f t="shared" si="32"/>
        <v>12109.488992988285</v>
      </c>
      <c r="H274" s="17">
        <f>9990*1.19*0.85</f>
        <v>10104.885</v>
      </c>
      <c r="I274" s="16">
        <f t="shared" si="33"/>
        <v>2004.6039929882845</v>
      </c>
      <c r="J274" s="18">
        <f t="shared" si="34"/>
        <v>0.19837969387957255</v>
      </c>
      <c r="K274" s="18">
        <f t="shared" si="35"/>
        <v>0.1357427448179013</v>
      </c>
      <c r="L274" s="25">
        <f t="shared" si="36"/>
        <v>14784.042510655965</v>
      </c>
    </row>
    <row r="275" spans="1:12" ht="50.1" customHeight="1" x14ac:dyDescent="0.2">
      <c r="A275" s="4" t="s">
        <v>513</v>
      </c>
      <c r="B275" s="8" t="s">
        <v>532</v>
      </c>
      <c r="C275" s="5">
        <v>14767.669503644249</v>
      </c>
      <c r="D275" s="19">
        <v>0.18</v>
      </c>
      <c r="E275" s="15">
        <f t="shared" si="37"/>
        <v>2658.1805106559646</v>
      </c>
      <c r="F275" s="15">
        <f t="shared" si="31"/>
        <v>0</v>
      </c>
      <c r="G275" s="16">
        <f t="shared" si="32"/>
        <v>12109.488992988285</v>
      </c>
      <c r="H275" s="17">
        <f>9990*1.19*0.85</f>
        <v>10104.885</v>
      </c>
      <c r="I275" s="16">
        <f t="shared" si="33"/>
        <v>2004.6039929882845</v>
      </c>
      <c r="J275" s="18">
        <f t="shared" si="34"/>
        <v>0.19837969387957255</v>
      </c>
      <c r="K275" s="18">
        <f t="shared" si="35"/>
        <v>0.1357427448179013</v>
      </c>
      <c r="L275" s="25">
        <f t="shared" si="36"/>
        <v>14784.042510655965</v>
      </c>
    </row>
    <row r="276" spans="1:12" ht="50.1" customHeight="1" x14ac:dyDescent="0.2">
      <c r="A276" s="4" t="s">
        <v>514</v>
      </c>
      <c r="B276" s="8" t="s">
        <v>533</v>
      </c>
      <c r="C276" s="5">
        <v>6956.4479791058111</v>
      </c>
      <c r="D276" s="19">
        <v>0.18</v>
      </c>
      <c r="E276" s="15">
        <f t="shared" si="37"/>
        <v>1252.160636239046</v>
      </c>
      <c r="F276" s="15">
        <f t="shared" si="31"/>
        <v>0</v>
      </c>
      <c r="G276" s="16">
        <f t="shared" si="32"/>
        <v>5704.2873428667654</v>
      </c>
      <c r="H276" s="17">
        <f>4000*1.19</f>
        <v>4760</v>
      </c>
      <c r="I276" s="16">
        <f t="shared" si="33"/>
        <v>944.28734286676536</v>
      </c>
      <c r="J276" s="18">
        <f t="shared" si="34"/>
        <v>0.19837969387957255</v>
      </c>
      <c r="K276" s="18">
        <f t="shared" si="35"/>
        <v>0.1357427448179013</v>
      </c>
      <c r="L276" s="25">
        <f t="shared" si="36"/>
        <v>6964.1606362390457</v>
      </c>
    </row>
    <row r="277" spans="1:12" ht="50.1" customHeight="1" x14ac:dyDescent="0.2">
      <c r="A277" s="4" t="s">
        <v>515</v>
      </c>
      <c r="B277" s="8" t="s">
        <v>533</v>
      </c>
      <c r="C277" s="5">
        <v>6956.4479791058111</v>
      </c>
      <c r="D277" s="19">
        <v>0.18</v>
      </c>
      <c r="E277" s="15">
        <f t="shared" si="37"/>
        <v>1252.160636239046</v>
      </c>
      <c r="F277" s="15">
        <f t="shared" si="31"/>
        <v>0</v>
      </c>
      <c r="G277" s="16">
        <f t="shared" si="32"/>
        <v>5704.2873428667654</v>
      </c>
      <c r="H277" s="17">
        <f>4000*1.19</f>
        <v>4760</v>
      </c>
      <c r="I277" s="16">
        <f t="shared" si="33"/>
        <v>944.28734286676536</v>
      </c>
      <c r="J277" s="18">
        <f t="shared" si="34"/>
        <v>0.19837969387957255</v>
      </c>
      <c r="K277" s="18">
        <f t="shared" si="35"/>
        <v>0.1357427448179013</v>
      </c>
      <c r="L277" s="25">
        <f t="shared" si="36"/>
        <v>6964.1606362390457</v>
      </c>
    </row>
    <row r="278" spans="1:12" ht="50.1" customHeight="1" x14ac:dyDescent="0.2">
      <c r="A278" s="4" t="s">
        <v>516</v>
      </c>
      <c r="B278" s="8" t="s">
        <v>534</v>
      </c>
      <c r="C278" s="5">
        <v>12507.693466432251</v>
      </c>
      <c r="D278" s="19">
        <v>0.18</v>
      </c>
      <c r="E278" s="15">
        <f t="shared" si="37"/>
        <v>2251.3848239578051</v>
      </c>
      <c r="F278" s="15">
        <f t="shared" si="31"/>
        <v>0</v>
      </c>
      <c r="G278" s="16">
        <f t="shared" si="32"/>
        <v>10256.308642474445</v>
      </c>
      <c r="H278" s="17">
        <f>8990*1.19*0.8</f>
        <v>8558.4800000000014</v>
      </c>
      <c r="I278" s="16">
        <f t="shared" si="33"/>
        <v>1697.8286424744438</v>
      </c>
      <c r="J278" s="18">
        <f t="shared" si="34"/>
        <v>0.19837969387957249</v>
      </c>
      <c r="K278" s="18">
        <f t="shared" si="35"/>
        <v>0.13574274481790125</v>
      </c>
      <c r="L278" s="25">
        <f t="shared" si="36"/>
        <v>12521.560823957807</v>
      </c>
    </row>
    <row r="279" spans="1:12" ht="50.1" customHeight="1" x14ac:dyDescent="0.2">
      <c r="A279" s="4" t="s">
        <v>517</v>
      </c>
      <c r="B279" s="8" t="s">
        <v>534</v>
      </c>
      <c r="C279" s="5">
        <v>12507.693466432251</v>
      </c>
      <c r="D279" s="19">
        <v>0.18</v>
      </c>
      <c r="E279" s="15">
        <f t="shared" si="37"/>
        <v>2251.3848239578051</v>
      </c>
      <c r="F279" s="15">
        <f t="shared" si="31"/>
        <v>0</v>
      </c>
      <c r="G279" s="16">
        <f t="shared" si="32"/>
        <v>10256.308642474445</v>
      </c>
      <c r="H279" s="17">
        <f>8990*1.19*0.8</f>
        <v>8558.4800000000014</v>
      </c>
      <c r="I279" s="16">
        <f t="shared" si="33"/>
        <v>1697.8286424744438</v>
      </c>
      <c r="J279" s="18">
        <f t="shared" si="34"/>
        <v>0.19837969387957249</v>
      </c>
      <c r="K279" s="18">
        <f t="shared" si="35"/>
        <v>0.13574274481790125</v>
      </c>
      <c r="L279" s="25">
        <f t="shared" si="36"/>
        <v>12521.560823957807</v>
      </c>
    </row>
    <row r="280" spans="1:12" ht="50.1" customHeight="1" x14ac:dyDescent="0.2">
      <c r="A280" s="4"/>
      <c r="B280" s="8"/>
      <c r="C280" s="5"/>
      <c r="D280" s="3"/>
      <c r="E280" s="15"/>
      <c r="F280" s="15"/>
      <c r="G280" s="16"/>
      <c r="H280" s="17"/>
      <c r="I280" s="16"/>
      <c r="J280" s="18"/>
      <c r="K280" s="18"/>
    </row>
    <row r="281" spans="1:12" ht="50.1" customHeight="1" x14ac:dyDescent="0.2">
      <c r="A281" s="4"/>
      <c r="B281" s="8"/>
      <c r="C281" s="5"/>
      <c r="D281" s="3"/>
      <c r="E281" s="15"/>
      <c r="F281" s="15"/>
      <c r="G281" s="16"/>
      <c r="H281" s="17"/>
      <c r="I281" s="16"/>
      <c r="J281" s="18"/>
      <c r="K281" s="18"/>
    </row>
    <row r="282" spans="1:12" ht="50.1" customHeight="1" x14ac:dyDescent="0.2">
      <c r="A282" s="4"/>
      <c r="B282" s="8"/>
      <c r="C282" s="5"/>
      <c r="D282" s="3"/>
      <c r="E282" s="15"/>
      <c r="F282" s="15"/>
      <c r="G282" s="16"/>
      <c r="H282" s="17"/>
      <c r="I282" s="16"/>
      <c r="J282" s="18"/>
      <c r="K282" s="18"/>
    </row>
    <row r="283" spans="1:12" ht="50.1" customHeight="1" x14ac:dyDescent="0.2">
      <c r="A283" s="4"/>
      <c r="B283" s="8"/>
      <c r="C283" s="5"/>
      <c r="D283" s="3"/>
      <c r="E283" s="15"/>
      <c r="F283" s="15"/>
      <c r="G283" s="16"/>
      <c r="H283" s="17"/>
      <c r="I283" s="16"/>
      <c r="J283" s="18"/>
      <c r="K283" s="18"/>
    </row>
    <row r="284" spans="1:12" ht="50.1" customHeight="1" x14ac:dyDescent="0.2">
      <c r="A284" s="4"/>
      <c r="B284" s="8"/>
      <c r="C284" s="5"/>
      <c r="D284" s="3"/>
      <c r="E284" s="15"/>
      <c r="F284" s="15"/>
      <c r="G284" s="16"/>
      <c r="H284" s="17"/>
      <c r="I284" s="16"/>
      <c r="J284" s="18"/>
      <c r="K284" s="18"/>
    </row>
    <row r="285" spans="1:12" ht="50.1" customHeight="1" x14ac:dyDescent="0.2">
      <c r="A285" s="4"/>
      <c r="B285" s="8"/>
      <c r="C285" s="5"/>
      <c r="D285" s="3"/>
      <c r="E285" s="15"/>
      <c r="F285" s="15"/>
      <c r="G285" s="16"/>
      <c r="H285" s="17"/>
      <c r="I285" s="16"/>
      <c r="J285" s="18"/>
      <c r="K285" s="18"/>
    </row>
    <row r="286" spans="1:12" ht="50.1" customHeight="1" x14ac:dyDescent="0.2">
      <c r="A286" s="4"/>
      <c r="B286" s="8"/>
      <c r="C286" s="5"/>
      <c r="D286" s="3"/>
      <c r="E286" s="15"/>
      <c r="F286" s="15"/>
      <c r="G286" s="16"/>
      <c r="H286" s="17"/>
      <c r="I286" s="16"/>
      <c r="J286" s="18"/>
      <c r="K286" s="18"/>
    </row>
    <row r="287" spans="1:12" ht="50.1" customHeight="1" x14ac:dyDescent="0.2">
      <c r="A287" s="4"/>
      <c r="B287" s="8"/>
      <c r="C287" s="5"/>
      <c r="D287" s="3"/>
      <c r="E287" s="15"/>
      <c r="F287" s="15"/>
      <c r="G287" s="16"/>
      <c r="H287" s="17"/>
      <c r="I287" s="16"/>
      <c r="J287" s="18"/>
      <c r="K287" s="18"/>
    </row>
    <row r="288" spans="1:12" ht="50.1" customHeight="1" x14ac:dyDescent="0.2">
      <c r="A288" s="4"/>
      <c r="B288" s="8"/>
      <c r="C288" s="5"/>
      <c r="D288" s="3"/>
      <c r="E288" s="15"/>
      <c r="F288" s="15"/>
      <c r="G288" s="16"/>
      <c r="H288" s="17"/>
      <c r="I288" s="16"/>
      <c r="J288" s="18"/>
      <c r="K288" s="18"/>
    </row>
    <row r="289" spans="1:11" ht="50.1" customHeight="1" x14ac:dyDescent="0.2">
      <c r="A289" s="4"/>
      <c r="B289" s="8"/>
      <c r="C289" s="5"/>
      <c r="D289" s="3"/>
      <c r="E289" s="15"/>
      <c r="F289" s="15"/>
      <c r="G289" s="16"/>
      <c r="H289" s="17"/>
      <c r="I289" s="16"/>
      <c r="J289" s="18"/>
      <c r="K289" s="18"/>
    </row>
    <row r="290" spans="1:11" ht="50.1" customHeight="1" x14ac:dyDescent="0.2">
      <c r="A290" s="4"/>
      <c r="B290" s="8"/>
      <c r="C290" s="5"/>
      <c r="D290" s="3"/>
      <c r="E290" s="15"/>
      <c r="F290" s="15"/>
      <c r="G290" s="16"/>
      <c r="H290" s="17"/>
      <c r="I290" s="16"/>
      <c r="J290" s="18"/>
      <c r="K290" s="18"/>
    </row>
    <row r="291" spans="1:11" ht="50.1" customHeight="1" x14ac:dyDescent="0.2">
      <c r="A291" s="4"/>
      <c r="B291" s="8"/>
      <c r="C291" s="5"/>
      <c r="D291" s="3"/>
      <c r="E291" s="15"/>
      <c r="F291" s="15"/>
      <c r="G291" s="16"/>
      <c r="H291" s="17"/>
      <c r="I291" s="16"/>
      <c r="J291" s="18"/>
      <c r="K291" s="18"/>
    </row>
    <row r="292" spans="1:11" ht="50.1" customHeight="1" x14ac:dyDescent="0.2">
      <c r="A292" s="4"/>
      <c r="B292" s="8"/>
      <c r="C292" s="5"/>
      <c r="D292" s="3"/>
      <c r="E292" s="15"/>
      <c r="F292" s="15"/>
      <c r="G292" s="16"/>
      <c r="H292" s="17"/>
      <c r="I292" s="16"/>
      <c r="J292" s="18"/>
      <c r="K292" s="18"/>
    </row>
    <row r="293" spans="1:11" ht="50.1" customHeight="1" x14ac:dyDescent="0.2">
      <c r="A293" s="4"/>
      <c r="B293" s="8"/>
      <c r="C293" s="5"/>
      <c r="D293" s="3"/>
      <c r="E293" s="15"/>
      <c r="F293" s="15"/>
      <c r="G293" s="16"/>
      <c r="H293" s="17"/>
      <c r="I293" s="16"/>
      <c r="J293" s="18"/>
      <c r="K293" s="18"/>
    </row>
    <row r="294" spans="1:11" ht="50.1" customHeight="1" x14ac:dyDescent="0.2">
      <c r="A294" s="4"/>
      <c r="B294" s="8"/>
      <c r="C294" s="5"/>
      <c r="D294" s="3"/>
      <c r="E294" s="15"/>
      <c r="F294" s="15"/>
      <c r="G294" s="16"/>
      <c r="H294" s="17"/>
      <c r="I294" s="16"/>
      <c r="J294" s="18"/>
      <c r="K294" s="18"/>
    </row>
    <row r="295" spans="1:11" ht="50.1" customHeight="1" x14ac:dyDescent="0.2">
      <c r="A295" s="4"/>
      <c r="B295" s="8"/>
      <c r="C295" s="5"/>
      <c r="D295" s="3"/>
      <c r="E295" s="15"/>
      <c r="F295" s="15"/>
      <c r="G295" s="16"/>
      <c r="H295" s="17"/>
      <c r="I295" s="16"/>
      <c r="J295" s="18"/>
      <c r="K295" s="18"/>
    </row>
    <row r="296" spans="1:11" ht="50.1" customHeight="1" x14ac:dyDescent="0.2">
      <c r="A296" s="4"/>
      <c r="B296" s="8"/>
      <c r="C296" s="5"/>
      <c r="D296" s="3"/>
      <c r="E296" s="15"/>
      <c r="F296" s="15"/>
      <c r="G296" s="16"/>
      <c r="H296" s="17"/>
      <c r="I296" s="16"/>
      <c r="J296" s="18"/>
      <c r="K296" s="18"/>
    </row>
    <row r="297" spans="1:11" ht="50.1" customHeight="1" x14ac:dyDescent="0.2">
      <c r="A297" s="4"/>
      <c r="B297" s="8"/>
      <c r="C297" s="5"/>
      <c r="D297" s="3"/>
      <c r="E297" s="15"/>
      <c r="F297" s="15"/>
      <c r="G297" s="16"/>
      <c r="H297" s="17"/>
      <c r="I297" s="16"/>
      <c r="J297" s="18"/>
      <c r="K297" s="18"/>
    </row>
    <row r="298" spans="1:11" ht="50.1" customHeight="1" x14ac:dyDescent="0.2">
      <c r="A298" s="4"/>
      <c r="B298" s="8"/>
      <c r="C298" s="5"/>
      <c r="D298" s="3"/>
      <c r="E298" s="15"/>
      <c r="F298" s="15"/>
      <c r="G298" s="16"/>
      <c r="H298" s="17"/>
      <c r="I298" s="16"/>
      <c r="J298" s="18"/>
      <c r="K298" s="18"/>
    </row>
    <row r="299" spans="1:11" ht="50.1" customHeight="1" x14ac:dyDescent="0.2">
      <c r="A299" s="4"/>
      <c r="B299" s="8"/>
      <c r="C299" s="5"/>
      <c r="D299" s="3"/>
      <c r="E299" s="15"/>
      <c r="F299" s="15"/>
      <c r="G299" s="16"/>
      <c r="H299" s="17"/>
      <c r="I299" s="16"/>
      <c r="J299" s="18"/>
      <c r="K299" s="18"/>
    </row>
    <row r="300" spans="1:11" ht="50.1" customHeight="1" x14ac:dyDescent="0.2">
      <c r="A300" s="4"/>
      <c r="B300" s="8"/>
      <c r="C300" s="5"/>
      <c r="D300" s="3"/>
      <c r="E300" s="15"/>
      <c r="F300" s="15"/>
      <c r="G300" s="16"/>
      <c r="H300" s="17"/>
      <c r="I300" s="16"/>
      <c r="J300" s="18"/>
      <c r="K300" s="18"/>
    </row>
    <row r="301" spans="1:11" ht="50.1" customHeight="1" x14ac:dyDescent="0.2">
      <c r="A301" s="4"/>
      <c r="B301" s="8"/>
      <c r="C301" s="5"/>
      <c r="D301" s="3"/>
      <c r="E301" s="15"/>
      <c r="F301" s="15"/>
      <c r="G301" s="16"/>
      <c r="H301" s="17"/>
      <c r="I301" s="16"/>
      <c r="J301" s="18"/>
      <c r="K301" s="18"/>
    </row>
    <row r="302" spans="1:11" ht="50.1" customHeight="1" x14ac:dyDescent="0.2">
      <c r="A302" s="4"/>
      <c r="B302" s="8"/>
      <c r="C302" s="5"/>
      <c r="D302" s="3"/>
      <c r="E302" s="15"/>
      <c r="F302" s="15"/>
      <c r="G302" s="16"/>
      <c r="H302" s="17"/>
      <c r="I302" s="16"/>
      <c r="J302" s="18"/>
      <c r="K302" s="18"/>
    </row>
    <row r="303" spans="1:11" ht="50.1" customHeight="1" x14ac:dyDescent="0.2">
      <c r="A303" s="4"/>
      <c r="B303" s="8"/>
      <c r="C303" s="5"/>
      <c r="D303" s="3"/>
      <c r="E303" s="15"/>
      <c r="F303" s="15"/>
      <c r="G303" s="16"/>
      <c r="H303" s="17"/>
      <c r="I303" s="16"/>
      <c r="J303" s="18"/>
      <c r="K303" s="18"/>
    </row>
    <row r="304" spans="1:11" ht="50.1" customHeight="1" x14ac:dyDescent="0.2">
      <c r="A304" s="4"/>
      <c r="B304" s="8"/>
      <c r="C304" s="5"/>
      <c r="D304" s="3"/>
      <c r="E304" s="15"/>
      <c r="F304" s="15"/>
      <c r="G304" s="16"/>
      <c r="H304" s="17"/>
      <c r="I304" s="16"/>
      <c r="J304" s="18"/>
      <c r="K304" s="18"/>
    </row>
    <row r="305" spans="1:11" ht="50.1" customHeight="1" x14ac:dyDescent="0.2">
      <c r="A305" s="4"/>
      <c r="B305" s="8"/>
      <c r="C305" s="5"/>
      <c r="D305" s="3"/>
      <c r="E305" s="15"/>
      <c r="F305" s="15"/>
      <c r="G305" s="16"/>
      <c r="H305" s="17"/>
      <c r="I305" s="16"/>
      <c r="J305" s="18"/>
      <c r="K305" s="18"/>
    </row>
    <row r="306" spans="1:11" ht="50.1" customHeight="1" x14ac:dyDescent="0.2">
      <c r="A306" s="4"/>
      <c r="B306" s="8"/>
      <c r="C306" s="5"/>
      <c r="D306" s="3"/>
      <c r="E306" s="15"/>
      <c r="F306" s="15"/>
      <c r="G306" s="16"/>
      <c r="H306" s="17"/>
      <c r="I306" s="16"/>
      <c r="J306" s="18"/>
      <c r="K306" s="18"/>
    </row>
    <row r="307" spans="1:11" ht="50.1" customHeight="1" x14ac:dyDescent="0.2">
      <c r="A307" s="4"/>
      <c r="B307" s="8"/>
      <c r="C307" s="5"/>
      <c r="D307" s="3"/>
      <c r="E307" s="15"/>
      <c r="F307" s="15"/>
      <c r="G307" s="16"/>
      <c r="H307" s="17"/>
      <c r="I307" s="16"/>
      <c r="J307" s="18"/>
      <c r="K307" s="18"/>
    </row>
    <row r="308" spans="1:11" ht="50.1" customHeight="1" x14ac:dyDescent="0.2">
      <c r="A308" s="4"/>
      <c r="B308" s="8"/>
      <c r="C308" s="5"/>
      <c r="D308" s="3"/>
      <c r="E308" s="15"/>
      <c r="F308" s="15"/>
      <c r="G308" s="16"/>
      <c r="H308" s="17"/>
      <c r="I308" s="16"/>
      <c r="J308" s="18"/>
      <c r="K308" s="18"/>
    </row>
    <row r="309" spans="1:11" ht="50.1" customHeight="1" x14ac:dyDescent="0.2">
      <c r="A309" s="4"/>
      <c r="B309" s="8"/>
      <c r="C309" s="5"/>
      <c r="D309" s="3"/>
      <c r="E309" s="15"/>
      <c r="F309" s="15"/>
      <c r="G309" s="16"/>
      <c r="H309" s="17"/>
      <c r="I309" s="16"/>
      <c r="J309" s="18"/>
      <c r="K309" s="18"/>
    </row>
    <row r="310" spans="1:11" ht="50.1" customHeight="1" x14ac:dyDescent="0.2">
      <c r="A310" s="4"/>
      <c r="B310" s="8"/>
      <c r="C310" s="5"/>
      <c r="D310" s="3"/>
      <c r="E310" s="15"/>
      <c r="F310" s="15"/>
      <c r="G310" s="16"/>
      <c r="H310" s="17"/>
      <c r="I310" s="16"/>
      <c r="J310" s="18"/>
      <c r="K310" s="18"/>
    </row>
    <row r="311" spans="1:11" ht="50.1" customHeight="1" x14ac:dyDescent="0.2">
      <c r="A311" s="4"/>
      <c r="B311" s="8"/>
      <c r="C311" s="5"/>
      <c r="D311" s="3"/>
      <c r="E311" s="15"/>
      <c r="F311" s="15"/>
      <c r="G311" s="16"/>
      <c r="H311" s="17"/>
      <c r="I311" s="16"/>
      <c r="J311" s="18"/>
      <c r="K311" s="18"/>
    </row>
    <row r="312" spans="1:11" ht="50.1" customHeight="1" x14ac:dyDescent="0.2">
      <c r="A312" s="4"/>
      <c r="B312" s="8"/>
      <c r="C312" s="5"/>
      <c r="D312" s="3"/>
      <c r="E312" s="15"/>
      <c r="F312" s="15"/>
      <c r="G312" s="16"/>
      <c r="H312" s="17"/>
      <c r="I312" s="16"/>
      <c r="J312" s="18"/>
      <c r="K312" s="18"/>
    </row>
    <row r="313" spans="1:11" ht="50.1" customHeight="1" x14ac:dyDescent="0.2">
      <c r="A313" s="4"/>
      <c r="B313" s="8"/>
      <c r="C313" s="5"/>
      <c r="D313" s="3"/>
      <c r="E313" s="15"/>
      <c r="F313" s="15"/>
      <c r="G313" s="16"/>
      <c r="H313" s="17"/>
      <c r="I313" s="16"/>
      <c r="J313" s="18"/>
      <c r="K313" s="18"/>
    </row>
    <row r="314" spans="1:11" ht="50.1" customHeight="1" x14ac:dyDescent="0.2">
      <c r="A314" s="4"/>
      <c r="B314" s="8"/>
      <c r="C314" s="5"/>
      <c r="D314" s="3"/>
      <c r="E314" s="15"/>
      <c r="F314" s="15"/>
      <c r="G314" s="16"/>
      <c r="H314" s="17"/>
      <c r="I314" s="16"/>
      <c r="J314" s="18"/>
      <c r="K314" s="18"/>
    </row>
    <row r="315" spans="1:11" ht="50.1" customHeight="1" x14ac:dyDescent="0.2">
      <c r="A315" s="4"/>
      <c r="B315" s="8"/>
      <c r="C315" s="5"/>
      <c r="D315" s="3"/>
      <c r="E315" s="15"/>
      <c r="F315" s="15"/>
      <c r="G315" s="16"/>
      <c r="H315" s="17"/>
      <c r="I315" s="16"/>
      <c r="J315" s="18"/>
      <c r="K315" s="18"/>
    </row>
    <row r="316" spans="1:11" ht="50.1" customHeight="1" x14ac:dyDescent="0.2">
      <c r="A316" s="4"/>
      <c r="B316" s="8"/>
      <c r="C316" s="5"/>
      <c r="D316" s="3"/>
      <c r="E316" s="15"/>
      <c r="F316" s="15"/>
      <c r="G316" s="16"/>
      <c r="H316" s="17"/>
      <c r="I316" s="16"/>
      <c r="J316" s="18"/>
      <c r="K316" s="18"/>
    </row>
    <row r="317" spans="1:11" ht="50.1" customHeight="1" x14ac:dyDescent="0.2">
      <c r="A317" s="4"/>
      <c r="B317" s="8"/>
      <c r="C317" s="5"/>
      <c r="D317" s="3"/>
      <c r="E317" s="15"/>
      <c r="F317" s="15"/>
      <c r="G317" s="16"/>
      <c r="H317" s="17"/>
      <c r="I317" s="16"/>
      <c r="J317" s="18"/>
      <c r="K317" s="18"/>
    </row>
    <row r="318" spans="1:11" ht="50.1" customHeight="1" x14ac:dyDescent="0.2">
      <c r="A318" s="4"/>
      <c r="B318" s="8"/>
      <c r="C318" s="5"/>
      <c r="D318" s="3"/>
      <c r="E318" s="15"/>
      <c r="F318" s="15"/>
      <c r="G318" s="16"/>
      <c r="H318" s="17"/>
      <c r="I318" s="16"/>
      <c r="J318" s="18"/>
      <c r="K318" s="18"/>
    </row>
    <row r="319" spans="1:11" ht="50.1" customHeight="1" x14ac:dyDescent="0.2">
      <c r="A319" s="4"/>
      <c r="B319" s="8"/>
      <c r="C319" s="5"/>
      <c r="D319" s="3"/>
      <c r="E319" s="15"/>
      <c r="F319" s="15"/>
      <c r="G319" s="16"/>
      <c r="H319" s="17"/>
      <c r="I319" s="16"/>
      <c r="J319" s="18"/>
      <c r="K319" s="18"/>
    </row>
    <row r="320" spans="1:11" ht="50.1" customHeight="1" x14ac:dyDescent="0.2">
      <c r="A320" s="4"/>
      <c r="B320" s="8"/>
      <c r="C320" s="5"/>
      <c r="D320" s="3"/>
      <c r="E320" s="15"/>
      <c r="F320" s="15"/>
      <c r="G320" s="16"/>
      <c r="H320" s="17"/>
      <c r="I320" s="16"/>
      <c r="J320" s="18"/>
      <c r="K320" s="18"/>
    </row>
    <row r="321" spans="1:11" ht="50.1" customHeight="1" x14ac:dyDescent="0.2">
      <c r="A321" s="4"/>
      <c r="B321" s="8"/>
      <c r="C321" s="5"/>
      <c r="D321" s="3"/>
      <c r="E321" s="15"/>
      <c r="F321" s="15"/>
      <c r="G321" s="16"/>
      <c r="H321" s="17"/>
      <c r="I321" s="16"/>
      <c r="J321" s="18"/>
      <c r="K321" s="18"/>
    </row>
    <row r="322" spans="1:11" ht="50.1" customHeight="1" x14ac:dyDescent="0.2">
      <c r="A322" s="4"/>
      <c r="B322" s="8"/>
      <c r="C322" s="5"/>
      <c r="D322" s="3"/>
      <c r="E322" s="15"/>
      <c r="F322" s="15"/>
      <c r="G322" s="16"/>
      <c r="H322" s="17"/>
      <c r="I322" s="16"/>
      <c r="J322" s="18"/>
      <c r="K322" s="18"/>
    </row>
    <row r="323" spans="1:11" ht="50.1" customHeight="1" x14ac:dyDescent="0.2">
      <c r="A323" s="4"/>
      <c r="B323" s="8"/>
      <c r="C323" s="5"/>
      <c r="D323" s="3"/>
      <c r="E323" s="15"/>
      <c r="F323" s="15"/>
      <c r="G323" s="16"/>
      <c r="H323" s="17"/>
      <c r="I323" s="16"/>
      <c r="J323" s="18"/>
      <c r="K323" s="18"/>
    </row>
    <row r="324" spans="1:11" ht="50.1" customHeight="1" x14ac:dyDescent="0.2">
      <c r="A324" s="4"/>
      <c r="B324" s="8"/>
      <c r="C324" s="5"/>
      <c r="D324" s="3"/>
      <c r="E324" s="15"/>
      <c r="F324" s="15"/>
      <c r="G324" s="16"/>
      <c r="H324" s="17"/>
      <c r="I324" s="16"/>
      <c r="J324" s="18"/>
      <c r="K324" s="18"/>
    </row>
    <row r="325" spans="1:11" ht="50.1" customHeight="1" x14ac:dyDescent="0.2">
      <c r="A325" s="4"/>
      <c r="B325" s="8"/>
      <c r="C325" s="5"/>
      <c r="D325" s="3"/>
      <c r="E325" s="15"/>
      <c r="F325" s="15"/>
      <c r="G325" s="16"/>
      <c r="H325" s="17"/>
      <c r="I325" s="16"/>
      <c r="J325" s="18"/>
      <c r="K325" s="18"/>
    </row>
    <row r="326" spans="1:11" ht="50.1" customHeight="1" x14ac:dyDescent="0.2">
      <c r="A326" s="4"/>
      <c r="B326" s="8"/>
      <c r="C326" s="5"/>
      <c r="D326" s="3"/>
      <c r="E326" s="15"/>
      <c r="F326" s="15"/>
      <c r="G326" s="16"/>
      <c r="H326" s="17"/>
      <c r="I326" s="16"/>
      <c r="J326" s="18"/>
      <c r="K326" s="18"/>
    </row>
    <row r="327" spans="1:11" ht="50.1" customHeight="1" x14ac:dyDescent="0.2">
      <c r="A327" s="4"/>
      <c r="B327" s="8"/>
      <c r="C327" s="5"/>
      <c r="D327" s="3"/>
      <c r="E327" s="15"/>
      <c r="F327" s="15"/>
      <c r="G327" s="16"/>
      <c r="H327" s="17"/>
      <c r="I327" s="16"/>
      <c r="J327" s="18"/>
      <c r="K327" s="18"/>
    </row>
    <row r="328" spans="1:11" ht="50.1" customHeight="1" x14ac:dyDescent="0.2">
      <c r="A328" s="4"/>
      <c r="B328" s="8"/>
      <c r="C328" s="5"/>
      <c r="D328" s="3"/>
      <c r="E328" s="15"/>
      <c r="F328" s="15"/>
      <c r="G328" s="16"/>
      <c r="H328" s="17"/>
      <c r="I328" s="16"/>
      <c r="J328" s="18"/>
      <c r="K328" s="18"/>
    </row>
    <row r="329" spans="1:11" ht="50.1" customHeight="1" x14ac:dyDescent="0.2">
      <c r="A329" s="4"/>
      <c r="B329" s="8"/>
      <c r="C329" s="5"/>
      <c r="D329" s="3"/>
      <c r="E329" s="15"/>
      <c r="F329" s="15"/>
      <c r="G329" s="16"/>
      <c r="H329" s="17"/>
      <c r="I329" s="16"/>
      <c r="J329" s="18"/>
      <c r="K329" s="18"/>
    </row>
    <row r="330" spans="1:11" ht="50.1" customHeight="1" x14ac:dyDescent="0.2">
      <c r="A330" s="4"/>
      <c r="B330" s="8"/>
      <c r="C330" s="5"/>
      <c r="D330" s="3"/>
      <c r="E330" s="15"/>
      <c r="F330" s="15"/>
      <c r="G330" s="16"/>
      <c r="H330" s="17"/>
      <c r="I330" s="16"/>
      <c r="J330" s="18"/>
      <c r="K330" s="18"/>
    </row>
    <row r="331" spans="1:11" ht="50.1" customHeight="1" x14ac:dyDescent="0.2">
      <c r="A331" s="4"/>
      <c r="B331" s="8"/>
      <c r="C331" s="5"/>
      <c r="D331" s="3"/>
      <c r="E331" s="15"/>
      <c r="F331" s="15"/>
      <c r="G331" s="16"/>
      <c r="H331" s="17"/>
      <c r="I331" s="16"/>
      <c r="J331" s="18"/>
      <c r="K331" s="18"/>
    </row>
    <row r="332" spans="1:11" ht="50.1" customHeight="1" x14ac:dyDescent="0.2">
      <c r="A332" s="4"/>
      <c r="B332" s="8"/>
      <c r="C332" s="5"/>
      <c r="D332" s="3"/>
      <c r="E332" s="15"/>
      <c r="F332" s="15"/>
      <c r="G332" s="16"/>
      <c r="H332" s="17"/>
      <c r="I332" s="16"/>
      <c r="J332" s="18"/>
      <c r="K332" s="18"/>
    </row>
    <row r="333" spans="1:11" ht="50.1" customHeight="1" x14ac:dyDescent="0.2">
      <c r="A333" s="4"/>
      <c r="B333" s="8"/>
      <c r="C333" s="5"/>
      <c r="D333" s="3"/>
      <c r="E333" s="15"/>
      <c r="F333" s="15"/>
      <c r="G333" s="16"/>
      <c r="H333" s="17"/>
      <c r="I333" s="16"/>
      <c r="J333" s="18"/>
      <c r="K333" s="18"/>
    </row>
    <row r="334" spans="1:11" ht="50.1" customHeight="1" x14ac:dyDescent="0.2">
      <c r="A334" s="4"/>
      <c r="B334" s="8"/>
      <c r="C334" s="5"/>
      <c r="D334" s="3"/>
      <c r="E334" s="15"/>
      <c r="F334" s="15"/>
      <c r="G334" s="16"/>
      <c r="H334" s="17"/>
      <c r="I334" s="16"/>
      <c r="J334" s="18"/>
      <c r="K334" s="18"/>
    </row>
    <row r="335" spans="1:11" ht="50.1" customHeight="1" x14ac:dyDescent="0.2">
      <c r="A335" s="4"/>
      <c r="B335" s="8"/>
      <c r="C335" s="5"/>
      <c r="D335" s="3"/>
      <c r="E335" s="15"/>
      <c r="F335" s="15"/>
      <c r="G335" s="16"/>
      <c r="H335" s="17"/>
      <c r="I335" s="16"/>
      <c r="J335" s="18"/>
      <c r="K335" s="18"/>
    </row>
    <row r="336" spans="1:11" ht="50.1" customHeight="1" x14ac:dyDescent="0.2">
      <c r="A336" s="4"/>
      <c r="B336" s="8"/>
      <c r="C336" s="5"/>
      <c r="D336" s="3"/>
      <c r="E336" s="15"/>
      <c r="F336" s="15"/>
      <c r="G336" s="16"/>
      <c r="H336" s="17"/>
      <c r="I336" s="16"/>
      <c r="J336" s="18"/>
      <c r="K336" s="18"/>
    </row>
    <row r="337" spans="1:11" ht="50.1" customHeight="1" x14ac:dyDescent="0.2">
      <c r="A337" s="4"/>
      <c r="B337" s="8"/>
      <c r="C337" s="5"/>
      <c r="D337" s="3"/>
      <c r="E337" s="15"/>
      <c r="F337" s="15"/>
      <c r="G337" s="16"/>
      <c r="H337" s="17"/>
      <c r="I337" s="16"/>
      <c r="J337" s="18"/>
      <c r="K337" s="18"/>
    </row>
    <row r="338" spans="1:11" ht="50.1" customHeight="1" x14ac:dyDescent="0.2">
      <c r="A338" s="4"/>
      <c r="B338" s="8"/>
      <c r="C338" s="5"/>
      <c r="D338" s="3"/>
      <c r="E338" s="15"/>
      <c r="F338" s="15"/>
      <c r="G338" s="16"/>
      <c r="H338" s="17"/>
      <c r="I338" s="16"/>
      <c r="J338" s="18"/>
      <c r="K338" s="18"/>
    </row>
    <row r="339" spans="1:11" ht="50.1" customHeight="1" x14ac:dyDescent="0.2">
      <c r="A339" s="4"/>
      <c r="B339" s="8"/>
      <c r="C339" s="5"/>
      <c r="D339" s="3"/>
      <c r="E339" s="15"/>
      <c r="F339" s="15"/>
      <c r="G339" s="16"/>
      <c r="H339" s="17"/>
      <c r="I339" s="16"/>
      <c r="J339" s="18"/>
      <c r="K339" s="18"/>
    </row>
    <row r="340" spans="1:11" ht="50.1" customHeight="1" x14ac:dyDescent="0.2">
      <c r="A340" s="4"/>
      <c r="B340" s="8"/>
      <c r="C340" s="5"/>
      <c r="D340" s="3"/>
      <c r="E340" s="15"/>
      <c r="F340" s="15"/>
      <c r="G340" s="16"/>
      <c r="H340" s="17"/>
      <c r="I340" s="16"/>
      <c r="J340" s="18"/>
      <c r="K340" s="18"/>
    </row>
    <row r="341" spans="1:11" ht="50.1" customHeight="1" x14ac:dyDescent="0.2">
      <c r="A341" s="4"/>
      <c r="B341" s="8"/>
      <c r="C341" s="5"/>
      <c r="D341" s="3"/>
      <c r="E341" s="15"/>
      <c r="F341" s="15"/>
      <c r="G341" s="16"/>
      <c r="H341" s="17"/>
      <c r="I341" s="16"/>
      <c r="J341" s="18"/>
      <c r="K341" s="18"/>
    </row>
    <row r="342" spans="1:11" ht="50.1" customHeight="1" x14ac:dyDescent="0.2">
      <c r="A342" s="4"/>
      <c r="B342" s="8"/>
      <c r="C342" s="5"/>
      <c r="D342" s="3"/>
      <c r="E342" s="15"/>
      <c r="F342" s="15"/>
      <c r="G342" s="16"/>
      <c r="H342" s="17"/>
      <c r="I342" s="16"/>
      <c r="J342" s="18"/>
      <c r="K342" s="18"/>
    </row>
    <row r="343" spans="1:11" ht="50.1" customHeight="1" x14ac:dyDescent="0.2">
      <c r="A343" s="4"/>
      <c r="B343" s="8"/>
      <c r="C343" s="5"/>
      <c r="D343" s="3"/>
      <c r="E343" s="15"/>
      <c r="F343" s="15"/>
      <c r="G343" s="16"/>
      <c r="H343" s="17"/>
      <c r="I343" s="16"/>
      <c r="J343" s="18"/>
      <c r="K343" s="18"/>
    </row>
    <row r="344" spans="1:11" ht="50.1" customHeight="1" x14ac:dyDescent="0.2">
      <c r="A344" s="4"/>
      <c r="B344" s="8"/>
      <c r="C344" s="5"/>
      <c r="D344" s="3"/>
      <c r="E344" s="15"/>
      <c r="F344" s="15"/>
      <c r="G344" s="16"/>
      <c r="H344" s="17"/>
      <c r="I344" s="16"/>
      <c r="J344" s="18"/>
      <c r="K344" s="18"/>
    </row>
    <row r="345" spans="1:11" ht="50.1" customHeight="1" x14ac:dyDescent="0.2">
      <c r="A345" s="4"/>
      <c r="B345" s="8"/>
      <c r="C345" s="5"/>
      <c r="D345" s="3"/>
      <c r="E345" s="15"/>
      <c r="F345" s="15"/>
      <c r="G345" s="16"/>
      <c r="H345" s="17"/>
      <c r="I345" s="16"/>
      <c r="J345" s="18"/>
      <c r="K345" s="18"/>
    </row>
    <row r="346" spans="1:11" ht="50.1" customHeight="1" x14ac:dyDescent="0.2">
      <c r="A346" s="4"/>
      <c r="B346" s="8"/>
      <c r="C346" s="5"/>
      <c r="D346" s="3"/>
      <c r="E346" s="15"/>
      <c r="F346" s="15"/>
      <c r="G346" s="16"/>
      <c r="H346" s="17"/>
      <c r="I346" s="16"/>
      <c r="J346" s="18"/>
      <c r="K346" s="18"/>
    </row>
    <row r="347" spans="1:11" ht="50.1" customHeight="1" x14ac:dyDescent="0.2">
      <c r="A347" s="4"/>
      <c r="B347" s="8"/>
      <c r="C347" s="5"/>
      <c r="D347" s="3"/>
      <c r="E347" s="15"/>
      <c r="F347" s="15"/>
      <c r="G347" s="16"/>
      <c r="H347" s="17"/>
      <c r="I347" s="16"/>
      <c r="J347" s="18"/>
      <c r="K347" s="18"/>
    </row>
    <row r="348" spans="1:11" ht="50.1" customHeight="1" x14ac:dyDescent="0.2">
      <c r="A348" s="4"/>
      <c r="B348" s="8"/>
      <c r="C348" s="5"/>
      <c r="D348" s="3"/>
      <c r="E348" s="15"/>
      <c r="F348" s="15"/>
      <c r="G348" s="16"/>
      <c r="H348" s="17"/>
      <c r="I348" s="16"/>
      <c r="J348" s="18"/>
      <c r="K348" s="18"/>
    </row>
    <row r="349" spans="1:11" ht="50.1" customHeight="1" x14ac:dyDescent="0.2">
      <c r="A349" s="4"/>
      <c r="B349" s="8"/>
      <c r="C349" s="5"/>
      <c r="D349" s="3"/>
      <c r="E349" s="15"/>
      <c r="F349" s="15"/>
      <c r="G349" s="16"/>
      <c r="H349" s="17"/>
      <c r="I349" s="16"/>
      <c r="J349" s="18"/>
      <c r="K349" s="18"/>
    </row>
    <row r="350" spans="1:11" ht="50.1" customHeight="1" x14ac:dyDescent="0.2">
      <c r="A350" s="4"/>
      <c r="B350" s="8"/>
      <c r="C350" s="5"/>
      <c r="D350" s="3"/>
      <c r="E350" s="15"/>
      <c r="F350" s="15"/>
      <c r="G350" s="16"/>
      <c r="H350" s="17"/>
      <c r="I350" s="16"/>
      <c r="J350" s="18"/>
      <c r="K350" s="18"/>
    </row>
    <row r="351" spans="1:11" ht="50.1" customHeight="1" x14ac:dyDescent="0.2">
      <c r="A351" s="4"/>
      <c r="B351" s="8"/>
      <c r="C351" s="5"/>
      <c r="D351" s="3"/>
      <c r="E351" s="15"/>
      <c r="F351" s="15"/>
      <c r="G351" s="16"/>
      <c r="H351" s="17"/>
      <c r="I351" s="16"/>
      <c r="J351" s="18"/>
      <c r="K351" s="18"/>
    </row>
    <row r="352" spans="1:11" ht="50.1" customHeight="1" x14ac:dyDescent="0.2">
      <c r="A352" s="4"/>
      <c r="B352" s="8"/>
      <c r="C352" s="5"/>
      <c r="D352" s="3"/>
      <c r="E352" s="15"/>
      <c r="F352" s="15"/>
      <c r="G352" s="16"/>
      <c r="H352" s="17"/>
      <c r="I352" s="16"/>
      <c r="J352" s="18"/>
      <c r="K352" s="18"/>
    </row>
    <row r="353" spans="1:11" ht="50.1" customHeight="1" x14ac:dyDescent="0.2">
      <c r="A353" s="4"/>
      <c r="B353" s="8"/>
      <c r="C353" s="5"/>
      <c r="D353" s="3"/>
      <c r="E353" s="15"/>
      <c r="F353" s="15"/>
      <c r="G353" s="16"/>
      <c r="H353" s="17"/>
      <c r="I353" s="16"/>
      <c r="J353" s="18"/>
      <c r="K353" s="18"/>
    </row>
    <row r="354" spans="1:11" ht="50.1" customHeight="1" x14ac:dyDescent="0.2">
      <c r="A354" s="4"/>
      <c r="B354" s="8"/>
      <c r="C354" s="5"/>
      <c r="D354" s="3"/>
      <c r="E354" s="15"/>
      <c r="F354" s="15"/>
      <c r="G354" s="16"/>
      <c r="H354" s="17"/>
      <c r="I354" s="16"/>
      <c r="J354" s="18"/>
      <c r="K354" s="18"/>
    </row>
    <row r="355" spans="1:11" ht="50.1" customHeight="1" x14ac:dyDescent="0.2">
      <c r="A355" s="4"/>
      <c r="B355" s="8"/>
      <c r="C355" s="5"/>
      <c r="D355" s="3"/>
      <c r="E355" s="15"/>
      <c r="F355" s="15"/>
      <c r="G355" s="16"/>
      <c r="H355" s="17"/>
      <c r="I355" s="16"/>
      <c r="J355" s="18"/>
      <c r="K355" s="18"/>
    </row>
    <row r="356" spans="1:11" ht="50.1" customHeight="1" x14ac:dyDescent="0.2">
      <c r="A356" s="4"/>
      <c r="B356" s="8"/>
      <c r="C356" s="5"/>
      <c r="D356" s="3"/>
      <c r="E356" s="15"/>
      <c r="F356" s="15"/>
      <c r="G356" s="16"/>
      <c r="H356" s="17"/>
      <c r="I356" s="16"/>
      <c r="J356" s="18"/>
      <c r="K356" s="18"/>
    </row>
    <row r="357" spans="1:11" ht="50.1" customHeight="1" x14ac:dyDescent="0.2">
      <c r="A357" s="4"/>
      <c r="B357" s="8"/>
      <c r="C357" s="5"/>
      <c r="D357" s="3"/>
      <c r="E357" s="15"/>
      <c r="F357" s="15"/>
      <c r="G357" s="16"/>
      <c r="H357" s="17"/>
      <c r="I357" s="16"/>
      <c r="J357" s="18"/>
      <c r="K357" s="18"/>
    </row>
    <row r="358" spans="1:11" ht="50.1" customHeight="1" x14ac:dyDescent="0.2">
      <c r="A358" s="4"/>
      <c r="B358" s="8"/>
      <c r="C358" s="5"/>
      <c r="D358" s="3"/>
      <c r="E358" s="15"/>
      <c r="F358" s="15"/>
      <c r="G358" s="16"/>
      <c r="H358" s="17"/>
      <c r="I358" s="16"/>
      <c r="J358" s="18"/>
      <c r="K358" s="18"/>
    </row>
    <row r="359" spans="1:11" ht="50.1" customHeight="1" x14ac:dyDescent="0.2">
      <c r="A359" s="4"/>
      <c r="B359" s="8"/>
      <c r="C359" s="5"/>
      <c r="D359" s="3"/>
      <c r="E359" s="15"/>
      <c r="F359" s="15"/>
      <c r="G359" s="16"/>
      <c r="H359" s="17"/>
      <c r="I359" s="16"/>
      <c r="J359" s="18"/>
      <c r="K359" s="18"/>
    </row>
    <row r="360" spans="1:11" ht="50.1" customHeight="1" x14ac:dyDescent="0.2">
      <c r="A360" s="4"/>
      <c r="B360" s="8"/>
      <c r="C360" s="5"/>
      <c r="D360" s="3"/>
      <c r="E360" s="15"/>
      <c r="F360" s="15"/>
      <c r="G360" s="16"/>
      <c r="H360" s="17"/>
      <c r="I360" s="16"/>
      <c r="J360" s="18"/>
      <c r="K360" s="18"/>
    </row>
    <row r="361" spans="1:11" ht="50.1" customHeight="1" x14ac:dyDescent="0.2">
      <c r="A361" s="4"/>
      <c r="B361" s="8"/>
      <c r="C361" s="5"/>
      <c r="D361" s="3"/>
      <c r="E361" s="15"/>
      <c r="F361" s="15"/>
      <c r="G361" s="16"/>
      <c r="H361" s="17"/>
      <c r="I361" s="16"/>
      <c r="J361" s="18"/>
      <c r="K361" s="18"/>
    </row>
    <row r="362" spans="1:11" ht="50.1" customHeight="1" x14ac:dyDescent="0.2">
      <c r="A362" s="4"/>
      <c r="B362" s="8"/>
      <c r="C362" s="5"/>
      <c r="D362" s="3"/>
      <c r="E362" s="15"/>
      <c r="F362" s="15"/>
      <c r="G362" s="16"/>
      <c r="H362" s="17"/>
      <c r="I362" s="16"/>
      <c r="J362" s="18"/>
      <c r="K362" s="18"/>
    </row>
    <row r="363" spans="1:11" ht="50.1" customHeight="1" x14ac:dyDescent="0.2">
      <c r="A363" s="4"/>
      <c r="B363" s="8"/>
      <c r="C363" s="5"/>
      <c r="D363" s="3"/>
      <c r="E363" s="15"/>
      <c r="F363" s="15"/>
      <c r="G363" s="16"/>
      <c r="H363" s="17"/>
      <c r="I363" s="16"/>
      <c r="J363" s="18"/>
      <c r="K363" s="18"/>
    </row>
    <row r="364" spans="1:11" ht="50.1" customHeight="1" x14ac:dyDescent="0.2">
      <c r="A364" s="4"/>
      <c r="B364" s="8"/>
      <c r="C364" s="5"/>
      <c r="D364" s="3"/>
      <c r="E364" s="15"/>
      <c r="F364" s="15"/>
      <c r="G364" s="16"/>
      <c r="H364" s="17"/>
      <c r="I364" s="16"/>
      <c r="J364" s="18"/>
      <c r="K364" s="18"/>
    </row>
    <row r="365" spans="1:11" ht="50.1" customHeight="1" x14ac:dyDescent="0.2">
      <c r="A365" s="4"/>
      <c r="B365" s="8"/>
      <c r="C365" s="5"/>
      <c r="D365" s="3"/>
      <c r="E365" s="15"/>
      <c r="F365" s="15"/>
      <c r="G365" s="16"/>
      <c r="H365" s="17"/>
      <c r="I365" s="16"/>
      <c r="J365" s="18"/>
      <c r="K365" s="18"/>
    </row>
    <row r="366" spans="1:11" ht="50.1" customHeight="1" x14ac:dyDescent="0.2">
      <c r="A366" s="4"/>
      <c r="B366" s="8"/>
      <c r="C366" s="5"/>
      <c r="D366" s="3"/>
      <c r="E366" s="15"/>
      <c r="F366" s="15"/>
      <c r="G366" s="16"/>
      <c r="H366" s="17"/>
      <c r="I366" s="16"/>
      <c r="J366" s="18"/>
      <c r="K366" s="18"/>
    </row>
    <row r="367" spans="1:11" ht="50.1" customHeight="1" x14ac:dyDescent="0.2">
      <c r="A367" s="4"/>
      <c r="B367" s="8"/>
      <c r="C367" s="5"/>
      <c r="D367" s="3"/>
      <c r="E367" s="15"/>
      <c r="F367" s="15"/>
      <c r="G367" s="16"/>
      <c r="H367" s="17"/>
      <c r="I367" s="16"/>
      <c r="J367" s="18"/>
      <c r="K367" s="18"/>
    </row>
    <row r="368" spans="1:11" ht="50.1" customHeight="1" x14ac:dyDescent="0.2">
      <c r="A368" s="4"/>
      <c r="B368" s="8"/>
      <c r="C368" s="5"/>
      <c r="D368" s="3"/>
      <c r="E368" s="15"/>
      <c r="F368" s="15"/>
      <c r="G368" s="16"/>
      <c r="H368" s="17"/>
      <c r="I368" s="16"/>
      <c r="J368" s="18"/>
      <c r="K368" s="18"/>
    </row>
    <row r="369" spans="1:11" ht="50.1" customHeight="1" x14ac:dyDescent="0.2">
      <c r="A369" s="4"/>
      <c r="B369" s="8"/>
      <c r="C369" s="5"/>
      <c r="D369" s="3"/>
      <c r="E369" s="15"/>
      <c r="F369" s="15"/>
      <c r="G369" s="16"/>
      <c r="H369" s="17"/>
      <c r="I369" s="16"/>
      <c r="J369" s="18"/>
      <c r="K369" s="18"/>
    </row>
    <row r="370" spans="1:11" ht="50.1" customHeight="1" x14ac:dyDescent="0.2">
      <c r="A370" s="4"/>
      <c r="B370" s="8"/>
      <c r="C370" s="5"/>
      <c r="D370" s="3"/>
      <c r="E370" s="15"/>
      <c r="F370" s="15"/>
      <c r="G370" s="16"/>
      <c r="H370" s="17"/>
      <c r="I370" s="16"/>
      <c r="J370" s="18"/>
      <c r="K370" s="18"/>
    </row>
    <row r="371" spans="1:11" ht="50.1" customHeight="1" x14ac:dyDescent="0.2">
      <c r="A371" s="4"/>
      <c r="B371" s="8"/>
      <c r="C371" s="5"/>
      <c r="D371" s="3"/>
      <c r="E371" s="15"/>
      <c r="F371" s="15"/>
      <c r="G371" s="16"/>
      <c r="H371" s="17"/>
      <c r="I371" s="16"/>
      <c r="J371" s="18"/>
      <c r="K371" s="18"/>
    </row>
    <row r="372" spans="1:11" ht="50.1" customHeight="1" x14ac:dyDescent="0.2">
      <c r="A372" s="4"/>
      <c r="B372" s="8"/>
      <c r="C372" s="5"/>
      <c r="D372" s="3"/>
      <c r="E372" s="15"/>
      <c r="F372" s="15"/>
      <c r="G372" s="16"/>
      <c r="H372" s="17"/>
      <c r="I372" s="16"/>
      <c r="J372" s="18"/>
      <c r="K372" s="18"/>
    </row>
    <row r="373" spans="1:11" ht="50.1" customHeight="1" x14ac:dyDescent="0.2">
      <c r="A373" s="4"/>
      <c r="B373" s="8"/>
      <c r="C373" s="5"/>
      <c r="D373" s="3"/>
      <c r="E373" s="15"/>
      <c r="F373" s="15"/>
      <c r="G373" s="16"/>
      <c r="H373" s="17"/>
      <c r="I373" s="16"/>
      <c r="J373" s="18"/>
      <c r="K373" s="18"/>
    </row>
    <row r="374" spans="1:11" ht="50.1" customHeight="1" x14ac:dyDescent="0.2">
      <c r="A374" s="4"/>
      <c r="B374" s="8"/>
      <c r="C374" s="5"/>
      <c r="D374" s="3"/>
      <c r="E374" s="15"/>
      <c r="F374" s="15"/>
      <c r="G374" s="16"/>
      <c r="H374" s="17"/>
      <c r="I374" s="16"/>
      <c r="J374" s="18"/>
      <c r="K374" s="18"/>
    </row>
    <row r="375" spans="1:11" ht="50.1" customHeight="1" x14ac:dyDescent="0.2">
      <c r="A375" s="4"/>
      <c r="B375" s="8"/>
      <c r="C375" s="5"/>
      <c r="D375" s="3"/>
      <c r="E375" s="15"/>
      <c r="F375" s="15"/>
      <c r="G375" s="16"/>
      <c r="H375" s="17"/>
      <c r="I375" s="16"/>
      <c r="J375" s="18"/>
      <c r="K375" s="18"/>
    </row>
    <row r="376" spans="1:11" ht="50.1" customHeight="1" x14ac:dyDescent="0.2">
      <c r="A376" s="4"/>
      <c r="B376" s="8"/>
      <c r="C376" s="5"/>
      <c r="D376" s="3"/>
      <c r="E376" s="15"/>
      <c r="F376" s="15"/>
      <c r="G376" s="16"/>
      <c r="H376" s="17"/>
      <c r="I376" s="16"/>
      <c r="J376" s="18"/>
      <c r="K376" s="18"/>
    </row>
    <row r="377" spans="1:11" ht="50.1" customHeight="1" x14ac:dyDescent="0.2">
      <c r="A377" s="4"/>
      <c r="B377" s="8"/>
      <c r="C377" s="5"/>
      <c r="D377" s="3"/>
      <c r="E377" s="15"/>
      <c r="F377" s="15"/>
      <c r="G377" s="16"/>
      <c r="H377" s="17"/>
      <c r="I377" s="16"/>
      <c r="J377" s="18"/>
      <c r="K377" s="18"/>
    </row>
    <row r="378" spans="1:11" ht="50.1" customHeight="1" x14ac:dyDescent="0.2">
      <c r="A378" s="4"/>
      <c r="B378" s="8"/>
      <c r="C378" s="5"/>
      <c r="D378" s="3"/>
      <c r="E378" s="15"/>
      <c r="F378" s="15"/>
      <c r="G378" s="16"/>
      <c r="H378" s="17"/>
      <c r="I378" s="16"/>
      <c r="J378" s="18"/>
      <c r="K378" s="18"/>
    </row>
    <row r="379" spans="1:11" ht="50.1" customHeight="1" x14ac:dyDescent="0.2">
      <c r="A379" s="4"/>
      <c r="B379" s="8"/>
      <c r="C379" s="5"/>
      <c r="D379" s="3"/>
      <c r="E379" s="15"/>
      <c r="F379" s="15"/>
      <c r="G379" s="16"/>
      <c r="H379" s="17"/>
      <c r="I379" s="16"/>
      <c r="J379" s="18"/>
      <c r="K379" s="18"/>
    </row>
    <row r="380" spans="1:11" ht="50.1" customHeight="1" x14ac:dyDescent="0.2">
      <c r="A380" s="4"/>
      <c r="B380" s="8"/>
      <c r="C380" s="5"/>
      <c r="D380" s="3"/>
      <c r="E380" s="15"/>
      <c r="F380" s="15"/>
      <c r="G380" s="16"/>
      <c r="H380" s="17"/>
      <c r="I380" s="16"/>
      <c r="J380" s="18"/>
      <c r="K380" s="18"/>
    </row>
    <row r="381" spans="1:11" ht="50.1" customHeight="1" x14ac:dyDescent="0.2">
      <c r="A381" s="4"/>
      <c r="B381" s="8"/>
      <c r="C381" s="5"/>
      <c r="D381" s="3"/>
      <c r="E381" s="15"/>
      <c r="F381" s="15"/>
      <c r="G381" s="16"/>
      <c r="H381" s="17"/>
      <c r="I381" s="16"/>
      <c r="J381" s="18"/>
      <c r="K381" s="18"/>
    </row>
    <row r="382" spans="1:11" ht="50.1" customHeight="1" x14ac:dyDescent="0.2">
      <c r="A382" s="4"/>
      <c r="B382" s="8"/>
      <c r="C382" s="5"/>
      <c r="D382" s="3"/>
      <c r="E382" s="15"/>
      <c r="F382" s="15"/>
      <c r="G382" s="16"/>
      <c r="H382" s="17"/>
      <c r="I382" s="16"/>
      <c r="J382" s="18"/>
      <c r="K382" s="18"/>
    </row>
    <row r="383" spans="1:11" ht="50.1" customHeight="1" x14ac:dyDescent="0.2">
      <c r="A383" s="4"/>
      <c r="B383" s="8"/>
      <c r="C383" s="5"/>
      <c r="D383" s="3"/>
      <c r="E383" s="15"/>
      <c r="F383" s="15"/>
      <c r="G383" s="16"/>
      <c r="H383" s="17"/>
      <c r="I383" s="16"/>
      <c r="J383" s="18"/>
      <c r="K383" s="18"/>
    </row>
    <row r="384" spans="1:11" ht="50.1" customHeight="1" x14ac:dyDescent="0.2">
      <c r="A384" s="4"/>
      <c r="B384" s="8"/>
      <c r="C384" s="5"/>
      <c r="D384" s="3"/>
      <c r="E384" s="15"/>
      <c r="F384" s="15"/>
      <c r="G384" s="16"/>
      <c r="H384" s="17"/>
      <c r="I384" s="16"/>
      <c r="J384" s="18"/>
      <c r="K384" s="18"/>
    </row>
    <row r="385" spans="1:11" ht="50.1" customHeight="1" x14ac:dyDescent="0.2">
      <c r="A385" s="4"/>
      <c r="B385" s="8"/>
      <c r="C385" s="5"/>
      <c r="D385" s="3"/>
      <c r="E385" s="15"/>
      <c r="F385" s="15"/>
      <c r="G385" s="16"/>
      <c r="H385" s="17"/>
      <c r="I385" s="16"/>
      <c r="J385" s="18"/>
      <c r="K385" s="18"/>
    </row>
    <row r="386" spans="1:11" ht="50.1" customHeight="1" x14ac:dyDescent="0.2">
      <c r="A386" s="4"/>
      <c r="B386" s="8"/>
      <c r="C386" s="5"/>
      <c r="D386" s="3"/>
      <c r="E386" s="15"/>
      <c r="F386" s="15"/>
      <c r="G386" s="16"/>
      <c r="H386" s="17"/>
      <c r="I386" s="16"/>
      <c r="J386" s="18"/>
      <c r="K386" s="18"/>
    </row>
    <row r="387" spans="1:11" ht="50.1" customHeight="1" x14ac:dyDescent="0.2">
      <c r="A387" s="4"/>
      <c r="B387" s="8"/>
      <c r="C387" s="5"/>
      <c r="D387" s="3"/>
      <c r="E387" s="15"/>
      <c r="F387" s="15"/>
      <c r="G387" s="16"/>
      <c r="H387" s="17"/>
      <c r="I387" s="16"/>
      <c r="J387" s="18"/>
      <c r="K387" s="18"/>
    </row>
    <row r="388" spans="1:11" ht="50.1" customHeight="1" x14ac:dyDescent="0.2">
      <c r="A388" s="4"/>
      <c r="B388" s="8"/>
      <c r="C388" s="5"/>
      <c r="D388" s="3"/>
      <c r="E388" s="15"/>
      <c r="F388" s="15"/>
      <c r="G388" s="16"/>
      <c r="H388" s="17"/>
      <c r="I388" s="16"/>
      <c r="J388" s="18"/>
      <c r="K388" s="18"/>
    </row>
    <row r="389" spans="1:11" ht="50.1" customHeight="1" x14ac:dyDescent="0.2">
      <c r="A389" s="4"/>
      <c r="B389" s="8"/>
      <c r="C389" s="5"/>
      <c r="D389" s="3"/>
      <c r="E389" s="15"/>
      <c r="F389" s="15"/>
      <c r="G389" s="16"/>
      <c r="H389" s="17"/>
      <c r="I389" s="16"/>
      <c r="J389" s="18"/>
      <c r="K389" s="18"/>
    </row>
    <row r="390" spans="1:11" ht="50.1" customHeight="1" x14ac:dyDescent="0.2">
      <c r="A390" s="4"/>
      <c r="B390" s="8"/>
      <c r="C390" s="5"/>
      <c r="D390" s="3"/>
      <c r="E390" s="15"/>
      <c r="F390" s="15"/>
      <c r="G390" s="16"/>
      <c r="H390" s="17"/>
      <c r="I390" s="16"/>
      <c r="J390" s="18"/>
      <c r="K390" s="18"/>
    </row>
    <row r="391" spans="1:11" ht="50.1" customHeight="1" x14ac:dyDescent="0.2">
      <c r="A391" s="4"/>
      <c r="B391" s="8"/>
      <c r="C391" s="5"/>
      <c r="D391" s="3"/>
      <c r="E391" s="15"/>
      <c r="F391" s="15"/>
      <c r="G391" s="16"/>
      <c r="H391" s="17"/>
      <c r="I391" s="16"/>
      <c r="J391" s="18"/>
      <c r="K391" s="18"/>
    </row>
    <row r="392" spans="1:11" ht="50.1" customHeight="1" x14ac:dyDescent="0.2">
      <c r="A392" s="4"/>
      <c r="B392" s="8"/>
      <c r="C392" s="5"/>
      <c r="D392" s="3"/>
      <c r="E392" s="15"/>
      <c r="F392" s="15"/>
      <c r="G392" s="16"/>
      <c r="H392" s="17"/>
      <c r="I392" s="16"/>
      <c r="J392" s="18"/>
      <c r="K392" s="18"/>
    </row>
    <row r="393" spans="1:11" ht="50.1" customHeight="1" x14ac:dyDescent="0.2">
      <c r="A393" s="4"/>
      <c r="B393" s="8"/>
      <c r="C393" s="5"/>
      <c r="D393" s="3"/>
      <c r="E393" s="15"/>
      <c r="F393" s="15"/>
      <c r="G393" s="16"/>
      <c r="H393" s="17"/>
      <c r="I393" s="16"/>
      <c r="J393" s="18"/>
      <c r="K393" s="18"/>
    </row>
    <row r="394" spans="1:11" ht="50.1" customHeight="1" x14ac:dyDescent="0.2">
      <c r="A394" s="4"/>
      <c r="B394" s="8"/>
      <c r="C394" s="5"/>
      <c r="D394" s="3"/>
      <c r="E394" s="15"/>
      <c r="F394" s="15"/>
      <c r="G394" s="16"/>
      <c r="H394" s="17"/>
      <c r="I394" s="16"/>
      <c r="J394" s="18"/>
      <c r="K394" s="18"/>
    </row>
    <row r="395" spans="1:11" ht="50.1" customHeight="1" x14ac:dyDescent="0.2">
      <c r="A395" s="4"/>
      <c r="B395" s="8"/>
      <c r="C395" s="5"/>
      <c r="D395" s="3"/>
      <c r="E395" s="15"/>
      <c r="F395" s="15"/>
      <c r="G395" s="16"/>
      <c r="H395" s="17"/>
      <c r="I395" s="16"/>
      <c r="J395" s="18"/>
      <c r="K395" s="18"/>
    </row>
    <row r="396" spans="1:11" ht="50.1" customHeight="1" x14ac:dyDescent="0.2">
      <c r="A396" s="4"/>
      <c r="B396" s="8"/>
      <c r="C396" s="5"/>
      <c r="D396" s="3"/>
      <c r="E396" s="15"/>
      <c r="F396" s="15"/>
      <c r="G396" s="16"/>
      <c r="H396" s="17"/>
      <c r="I396" s="16"/>
      <c r="J396" s="18"/>
      <c r="K396" s="18"/>
    </row>
    <row r="397" spans="1:11" ht="50.1" customHeight="1" x14ac:dyDescent="0.2">
      <c r="A397" s="4"/>
      <c r="B397" s="8"/>
      <c r="C397" s="5"/>
      <c r="D397" s="3"/>
      <c r="E397" s="15"/>
      <c r="F397" s="15"/>
      <c r="G397" s="16"/>
      <c r="H397" s="17"/>
      <c r="I397" s="16"/>
      <c r="J397" s="18"/>
      <c r="K397" s="18"/>
    </row>
    <row r="398" spans="1:11" ht="50.1" customHeight="1" x14ac:dyDescent="0.2">
      <c r="A398" s="4"/>
      <c r="B398" s="8"/>
      <c r="C398" s="5"/>
      <c r="D398" s="3"/>
      <c r="E398" s="15"/>
      <c r="F398" s="15"/>
      <c r="G398" s="16"/>
      <c r="H398" s="17"/>
      <c r="I398" s="16"/>
      <c r="J398" s="18"/>
      <c r="K398" s="18"/>
    </row>
    <row r="399" spans="1:11" ht="50.1" customHeight="1" x14ac:dyDescent="0.2">
      <c r="A399" s="4"/>
      <c r="B399" s="8"/>
      <c r="C399" s="5"/>
      <c r="D399" s="3"/>
      <c r="E399" s="15"/>
      <c r="F399" s="15"/>
      <c r="G399" s="16"/>
      <c r="H399" s="17"/>
      <c r="I399" s="16"/>
      <c r="J399" s="18"/>
      <c r="K399" s="18"/>
    </row>
    <row r="400" spans="1:11" ht="50.1" customHeight="1" x14ac:dyDescent="0.2">
      <c r="A400" s="4"/>
      <c r="B400" s="8"/>
      <c r="C400" s="5"/>
      <c r="D400" s="3"/>
      <c r="E400" s="15"/>
      <c r="F400" s="15"/>
      <c r="G400" s="16"/>
      <c r="H400" s="17"/>
      <c r="I400" s="16"/>
      <c r="J400" s="18"/>
      <c r="K400" s="18"/>
    </row>
    <row r="401" spans="1:11" ht="50.1" customHeight="1" x14ac:dyDescent="0.2">
      <c r="A401" s="4"/>
      <c r="B401" s="8"/>
      <c r="C401" s="5"/>
      <c r="D401" s="3"/>
      <c r="E401" s="15"/>
      <c r="F401" s="15"/>
      <c r="G401" s="16"/>
      <c r="H401" s="17"/>
      <c r="I401" s="16"/>
      <c r="J401" s="18"/>
      <c r="K401" s="18"/>
    </row>
    <row r="402" spans="1:11" ht="50.1" customHeight="1" x14ac:dyDescent="0.2">
      <c r="A402" s="4"/>
      <c r="B402" s="8"/>
      <c r="C402" s="5"/>
      <c r="D402" s="3"/>
      <c r="E402" s="15"/>
      <c r="F402" s="15"/>
      <c r="G402" s="16"/>
      <c r="H402" s="17"/>
      <c r="I402" s="16"/>
      <c r="J402" s="18"/>
      <c r="K402" s="18"/>
    </row>
    <row r="403" spans="1:11" ht="50.1" customHeight="1" x14ac:dyDescent="0.2">
      <c r="A403" s="4"/>
      <c r="B403" s="8"/>
      <c r="C403" s="5"/>
      <c r="D403" s="3"/>
      <c r="E403" s="15"/>
      <c r="F403" s="15"/>
      <c r="G403" s="16"/>
      <c r="H403" s="17"/>
      <c r="I403" s="16"/>
      <c r="J403" s="18"/>
      <c r="K403" s="18"/>
    </row>
    <row r="404" spans="1:11" ht="50.1" customHeight="1" x14ac:dyDescent="0.2">
      <c r="A404" s="4"/>
      <c r="B404" s="8"/>
      <c r="C404" s="5"/>
      <c r="D404" s="3"/>
      <c r="E404" s="15"/>
      <c r="F404" s="15"/>
      <c r="G404" s="16"/>
      <c r="H404" s="17"/>
      <c r="I404" s="16"/>
      <c r="J404" s="18"/>
      <c r="K404" s="18"/>
    </row>
    <row r="405" spans="1:11" ht="50.1" customHeight="1" x14ac:dyDescent="0.2">
      <c r="A405" s="4"/>
      <c r="B405" s="8"/>
      <c r="C405" s="5"/>
      <c r="D405" s="3"/>
      <c r="E405" s="15"/>
      <c r="F405" s="15"/>
      <c r="G405" s="16"/>
      <c r="H405" s="17"/>
      <c r="I405" s="16"/>
      <c r="J405" s="18"/>
      <c r="K405" s="18"/>
    </row>
    <row r="406" spans="1:11" ht="50.1" customHeight="1" x14ac:dyDescent="0.2">
      <c r="A406" s="4"/>
      <c r="B406" s="8"/>
      <c r="C406" s="5"/>
      <c r="D406" s="3"/>
      <c r="E406" s="15"/>
      <c r="F406" s="15"/>
      <c r="G406" s="16"/>
      <c r="H406" s="17"/>
      <c r="I406" s="16"/>
      <c r="J406" s="18"/>
      <c r="K406" s="18"/>
    </row>
    <row r="407" spans="1:11" ht="50.1" customHeight="1" x14ac:dyDescent="0.2">
      <c r="A407" s="4"/>
      <c r="B407" s="8"/>
      <c r="C407" s="5"/>
      <c r="D407" s="3"/>
      <c r="E407" s="15"/>
      <c r="F407" s="15"/>
      <c r="G407" s="16"/>
      <c r="H407" s="17"/>
      <c r="I407" s="16"/>
      <c r="J407" s="18"/>
      <c r="K407" s="18"/>
    </row>
    <row r="408" spans="1:11" ht="50.1" customHeight="1" x14ac:dyDescent="0.2">
      <c r="A408" s="4"/>
      <c r="B408" s="8"/>
      <c r="C408" s="5"/>
      <c r="D408" s="3"/>
      <c r="E408" s="15"/>
      <c r="F408" s="15"/>
      <c r="G408" s="16"/>
      <c r="H408" s="17"/>
      <c r="I408" s="16"/>
      <c r="J408" s="18"/>
      <c r="K408" s="18"/>
    </row>
    <row r="409" spans="1:11" ht="50.1" customHeight="1" x14ac:dyDescent="0.2">
      <c r="A409" s="4"/>
      <c r="B409" s="8"/>
      <c r="C409" s="5"/>
      <c r="D409" s="3"/>
      <c r="E409" s="15"/>
      <c r="F409" s="15"/>
      <c r="G409" s="16"/>
      <c r="H409" s="17"/>
      <c r="I409" s="16"/>
      <c r="J409" s="18"/>
      <c r="K409" s="18"/>
    </row>
    <row r="410" spans="1:11" ht="50.1" customHeight="1" x14ac:dyDescent="0.2">
      <c r="A410" s="4"/>
      <c r="B410" s="8"/>
      <c r="C410" s="5"/>
      <c r="D410" s="3"/>
      <c r="E410" s="15"/>
      <c r="F410" s="15"/>
      <c r="G410" s="16"/>
      <c r="H410" s="17"/>
      <c r="I410" s="16"/>
      <c r="J410" s="18"/>
      <c r="K410" s="18"/>
    </row>
    <row r="411" spans="1:11" ht="50.1" customHeight="1" x14ac:dyDescent="0.2">
      <c r="A411" s="4"/>
      <c r="B411" s="8"/>
      <c r="C411" s="5"/>
      <c r="D411" s="3"/>
      <c r="E411" s="15"/>
      <c r="F411" s="15"/>
      <c r="G411" s="16"/>
      <c r="H411" s="17"/>
      <c r="I411" s="16"/>
      <c r="J411" s="18"/>
      <c r="K411" s="18"/>
    </row>
    <row r="412" spans="1:11" ht="50.1" customHeight="1" x14ac:dyDescent="0.2">
      <c r="A412" s="4"/>
      <c r="B412" s="8"/>
      <c r="C412" s="5"/>
      <c r="D412" s="3"/>
      <c r="E412" s="15"/>
      <c r="F412" s="15"/>
      <c r="G412" s="16"/>
      <c r="H412" s="17"/>
      <c r="I412" s="16"/>
      <c r="J412" s="18"/>
      <c r="K412" s="18"/>
    </row>
    <row r="413" spans="1:11" ht="50.1" customHeight="1" x14ac:dyDescent="0.2">
      <c r="A413" s="4"/>
      <c r="B413" s="8"/>
      <c r="C413" s="5"/>
      <c r="D413" s="3"/>
      <c r="E413" s="15"/>
      <c r="F413" s="15"/>
      <c r="G413" s="16"/>
      <c r="H413" s="17"/>
      <c r="I413" s="16"/>
      <c r="J413" s="18"/>
      <c r="K413" s="18"/>
    </row>
    <row r="414" spans="1:11" ht="50.1" customHeight="1" x14ac:dyDescent="0.2">
      <c r="A414" s="4"/>
      <c r="B414" s="8"/>
      <c r="C414" s="5"/>
      <c r="D414" s="3"/>
      <c r="E414" s="15"/>
      <c r="F414" s="15"/>
      <c r="G414" s="16"/>
      <c r="H414" s="17"/>
      <c r="I414" s="16"/>
      <c r="J414" s="18"/>
      <c r="K414" s="18"/>
    </row>
    <row r="415" spans="1:11" ht="50.1" customHeight="1" x14ac:dyDescent="0.2">
      <c r="A415" s="4"/>
      <c r="B415" s="8"/>
      <c r="C415" s="5"/>
      <c r="D415" s="3"/>
      <c r="E415" s="15"/>
      <c r="F415" s="15"/>
      <c r="G415" s="16"/>
      <c r="H415" s="17"/>
      <c r="I415" s="16"/>
      <c r="J415" s="18"/>
      <c r="K415" s="18"/>
    </row>
    <row r="416" spans="1:11" ht="50.1" customHeight="1" x14ac:dyDescent="0.2">
      <c r="A416" s="4"/>
      <c r="B416" s="8"/>
      <c r="C416" s="5"/>
      <c r="D416" s="3"/>
      <c r="E416" s="15"/>
      <c r="F416" s="15"/>
      <c r="G416" s="16"/>
      <c r="H416" s="17"/>
      <c r="I416" s="16"/>
      <c r="J416" s="18"/>
      <c r="K416" s="18"/>
    </row>
    <row r="417" spans="1:11" ht="50.1" customHeight="1" x14ac:dyDescent="0.2">
      <c r="A417" s="4"/>
      <c r="B417" s="8"/>
      <c r="C417" s="5"/>
      <c r="D417" s="3"/>
      <c r="E417" s="15"/>
      <c r="F417" s="15"/>
      <c r="G417" s="16"/>
      <c r="H417" s="17"/>
      <c r="I417" s="16"/>
      <c r="J417" s="18"/>
      <c r="K417" s="18"/>
    </row>
    <row r="418" spans="1:11" ht="50.1" customHeight="1" x14ac:dyDescent="0.2">
      <c r="A418" s="4"/>
      <c r="B418" s="8"/>
      <c r="C418" s="5"/>
      <c r="D418" s="3"/>
      <c r="E418" s="15"/>
      <c r="F418" s="15"/>
      <c r="G418" s="16"/>
      <c r="H418" s="17"/>
      <c r="I418" s="16"/>
      <c r="J418" s="18"/>
      <c r="K418" s="18"/>
    </row>
    <row r="419" spans="1:11" ht="50.1" customHeight="1" x14ac:dyDescent="0.2">
      <c r="A419" s="4"/>
      <c r="B419" s="8"/>
      <c r="C419" s="5"/>
      <c r="D419" s="3"/>
      <c r="E419" s="15"/>
      <c r="F419" s="15"/>
      <c r="G419" s="16"/>
      <c r="H419" s="17"/>
      <c r="I419" s="16"/>
      <c r="J419" s="18"/>
      <c r="K419" s="18"/>
    </row>
    <row r="420" spans="1:11" ht="50.1" customHeight="1" x14ac:dyDescent="0.2">
      <c r="A420" s="4"/>
      <c r="B420" s="8"/>
      <c r="C420" s="5"/>
      <c r="D420" s="3"/>
      <c r="E420" s="15"/>
      <c r="F420" s="15"/>
      <c r="G420" s="16"/>
      <c r="H420" s="17"/>
      <c r="I420" s="16"/>
      <c r="J420" s="18"/>
      <c r="K420" s="18"/>
    </row>
    <row r="421" spans="1:11" ht="50.1" customHeight="1" x14ac:dyDescent="0.2">
      <c r="A421" s="4"/>
      <c r="B421" s="8"/>
      <c r="C421" s="5"/>
      <c r="D421" s="3"/>
      <c r="E421" s="15"/>
      <c r="F421" s="15"/>
      <c r="G421" s="16"/>
      <c r="H421" s="17"/>
      <c r="I421" s="16"/>
      <c r="J421" s="18"/>
      <c r="K421" s="18"/>
    </row>
    <row r="422" spans="1:11" ht="50.1" customHeight="1" x14ac:dyDescent="0.2">
      <c r="A422" s="4"/>
      <c r="B422" s="8"/>
      <c r="C422" s="5"/>
      <c r="D422" s="3"/>
      <c r="E422" s="15"/>
      <c r="F422" s="15"/>
      <c r="G422" s="16"/>
      <c r="H422" s="17"/>
      <c r="I422" s="16"/>
      <c r="J422" s="18"/>
      <c r="K422" s="18"/>
    </row>
    <row r="423" spans="1:11" ht="50.1" customHeight="1" x14ac:dyDescent="0.2">
      <c r="A423" s="4"/>
      <c r="B423" s="8"/>
      <c r="C423" s="5"/>
      <c r="D423" s="3"/>
      <c r="E423" s="15"/>
      <c r="F423" s="15"/>
      <c r="G423" s="16"/>
      <c r="H423" s="17"/>
      <c r="I423" s="16"/>
      <c r="J423" s="18"/>
      <c r="K423" s="18"/>
    </row>
    <row r="424" spans="1:11" ht="50.1" customHeight="1" x14ac:dyDescent="0.2">
      <c r="A424" s="4"/>
      <c r="B424" s="8"/>
      <c r="C424" s="5"/>
      <c r="D424" s="3"/>
      <c r="E424" s="15"/>
      <c r="F424" s="15"/>
      <c r="G424" s="16"/>
      <c r="H424" s="17"/>
      <c r="I424" s="16"/>
      <c r="J424" s="18"/>
      <c r="K424" s="18"/>
    </row>
    <row r="425" spans="1:11" ht="50.1" customHeight="1" x14ac:dyDescent="0.2">
      <c r="A425" s="4"/>
      <c r="B425" s="8"/>
      <c r="C425" s="5"/>
      <c r="D425" s="3"/>
      <c r="E425" s="15"/>
      <c r="F425" s="15"/>
      <c r="G425" s="16"/>
      <c r="H425" s="17"/>
      <c r="I425" s="16"/>
      <c r="J425" s="18"/>
      <c r="K425" s="18"/>
    </row>
    <row r="426" spans="1:11" ht="50.1" customHeight="1" x14ac:dyDescent="0.2">
      <c r="A426" s="4"/>
      <c r="B426" s="8"/>
      <c r="C426" s="5"/>
      <c r="D426" s="3"/>
      <c r="E426" s="15"/>
      <c r="F426" s="15"/>
      <c r="G426" s="16"/>
      <c r="H426" s="17"/>
      <c r="I426" s="16"/>
      <c r="J426" s="18"/>
      <c r="K426" s="18"/>
    </row>
    <row r="427" spans="1:11" ht="50.1" customHeight="1" x14ac:dyDescent="0.2">
      <c r="A427" s="4"/>
      <c r="B427" s="8"/>
      <c r="C427" s="5"/>
      <c r="D427" s="3"/>
      <c r="E427" s="15"/>
      <c r="F427" s="15"/>
      <c r="G427" s="16"/>
      <c r="H427" s="17"/>
      <c r="I427" s="16"/>
      <c r="J427" s="18"/>
      <c r="K427" s="18"/>
    </row>
    <row r="428" spans="1:11" ht="50.1" customHeight="1" x14ac:dyDescent="0.2">
      <c r="A428" s="4"/>
      <c r="B428" s="8"/>
      <c r="C428" s="5"/>
      <c r="D428" s="3"/>
      <c r="E428" s="15"/>
      <c r="F428" s="15"/>
      <c r="G428" s="16"/>
      <c r="H428" s="17"/>
      <c r="I428" s="16"/>
      <c r="J428" s="18"/>
      <c r="K428" s="18"/>
    </row>
    <row r="429" spans="1:11" ht="50.1" customHeight="1" x14ac:dyDescent="0.2">
      <c r="A429" s="4"/>
      <c r="B429" s="8"/>
      <c r="C429" s="5"/>
      <c r="D429" s="3"/>
      <c r="E429" s="15"/>
      <c r="F429" s="15"/>
      <c r="G429" s="16"/>
      <c r="H429" s="17"/>
      <c r="I429" s="16"/>
      <c r="J429" s="18"/>
      <c r="K429" s="18"/>
    </row>
    <row r="430" spans="1:11" ht="50.1" customHeight="1" x14ac:dyDescent="0.2">
      <c r="A430" s="4"/>
      <c r="B430" s="8"/>
      <c r="C430" s="5"/>
      <c r="D430" s="3"/>
      <c r="E430" s="15"/>
      <c r="F430" s="15"/>
      <c r="G430" s="16"/>
      <c r="H430" s="17"/>
      <c r="I430" s="16"/>
      <c r="J430" s="18"/>
      <c r="K430" s="18"/>
    </row>
    <row r="431" spans="1:11" ht="50.1" customHeight="1" x14ac:dyDescent="0.2">
      <c r="A431" s="4"/>
      <c r="B431" s="8"/>
      <c r="C431" s="5"/>
      <c r="D431" s="3"/>
      <c r="E431" s="15"/>
      <c r="F431" s="15"/>
      <c r="G431" s="16"/>
      <c r="H431" s="17"/>
      <c r="I431" s="16"/>
      <c r="J431" s="18"/>
      <c r="K431" s="18"/>
    </row>
    <row r="432" spans="1:11" ht="50.1" customHeight="1" x14ac:dyDescent="0.2">
      <c r="A432" s="4"/>
      <c r="B432" s="8"/>
      <c r="C432" s="5"/>
      <c r="D432" s="3"/>
      <c r="E432" s="15"/>
      <c r="F432" s="15"/>
      <c r="G432" s="16"/>
      <c r="H432" s="17"/>
      <c r="I432" s="16"/>
      <c r="J432" s="18"/>
      <c r="K432" s="18"/>
    </row>
    <row r="433" spans="1:11" ht="50.1" customHeight="1" x14ac:dyDescent="0.2">
      <c r="A433" s="4"/>
      <c r="B433" s="8"/>
      <c r="C433" s="5"/>
      <c r="D433" s="3"/>
      <c r="E433" s="15"/>
      <c r="F433" s="15"/>
      <c r="G433" s="16"/>
      <c r="H433" s="17"/>
      <c r="I433" s="16"/>
      <c r="J433" s="18"/>
      <c r="K433" s="18"/>
    </row>
    <row r="434" spans="1:11" ht="50.1" customHeight="1" x14ac:dyDescent="0.2">
      <c r="A434" s="4"/>
      <c r="B434" s="8"/>
      <c r="C434" s="5"/>
      <c r="D434" s="3"/>
      <c r="E434" s="15"/>
      <c r="F434" s="15"/>
      <c r="G434" s="16"/>
      <c r="H434" s="17"/>
      <c r="I434" s="16"/>
      <c r="J434" s="18"/>
      <c r="K434" s="18"/>
    </row>
    <row r="435" spans="1:11" ht="50.1" customHeight="1" x14ac:dyDescent="0.2">
      <c r="A435" s="4"/>
      <c r="B435" s="8"/>
      <c r="C435" s="5"/>
      <c r="D435" s="3"/>
      <c r="E435" s="15"/>
      <c r="F435" s="15"/>
      <c r="G435" s="16"/>
      <c r="H435" s="17"/>
      <c r="I435" s="16"/>
      <c r="J435" s="18"/>
      <c r="K435" s="18"/>
    </row>
    <row r="436" spans="1:11" ht="50.1" customHeight="1" x14ac:dyDescent="0.2">
      <c r="A436" s="4"/>
      <c r="B436" s="8"/>
      <c r="C436" s="5"/>
      <c r="D436" s="3"/>
      <c r="E436" s="15"/>
      <c r="F436" s="15"/>
      <c r="G436" s="16"/>
      <c r="H436" s="17"/>
      <c r="I436" s="16"/>
      <c r="J436" s="18"/>
      <c r="K436" s="18"/>
    </row>
    <row r="437" spans="1:11" ht="50.1" customHeight="1" x14ac:dyDescent="0.2">
      <c r="A437" s="4"/>
      <c r="B437" s="8"/>
      <c r="C437" s="5"/>
      <c r="D437" s="3"/>
      <c r="E437" s="15"/>
      <c r="F437" s="15"/>
      <c r="G437" s="16"/>
      <c r="H437" s="17"/>
      <c r="I437" s="16"/>
      <c r="J437" s="18"/>
      <c r="K437" s="18"/>
    </row>
    <row r="438" spans="1:11" ht="50.1" customHeight="1" x14ac:dyDescent="0.2">
      <c r="A438" s="4"/>
      <c r="B438" s="8"/>
      <c r="C438" s="5"/>
      <c r="D438" s="3"/>
      <c r="E438" s="15"/>
      <c r="F438" s="15"/>
      <c r="G438" s="16"/>
      <c r="H438" s="17"/>
      <c r="I438" s="16"/>
      <c r="J438" s="18"/>
      <c r="K438" s="18"/>
    </row>
    <row r="439" spans="1:11" ht="50.1" customHeight="1" x14ac:dyDescent="0.2">
      <c r="A439" s="4"/>
      <c r="B439" s="8"/>
      <c r="C439" s="5"/>
      <c r="D439" s="3"/>
      <c r="E439" s="15"/>
      <c r="F439" s="15"/>
      <c r="G439" s="16"/>
      <c r="H439" s="17"/>
      <c r="I439" s="16"/>
      <c r="J439" s="18"/>
      <c r="K439" s="18"/>
    </row>
    <row r="440" spans="1:11" ht="50.1" customHeight="1" x14ac:dyDescent="0.2">
      <c r="A440" s="4"/>
      <c r="B440" s="8"/>
      <c r="C440" s="5"/>
      <c r="D440" s="3"/>
      <c r="E440" s="15"/>
      <c r="F440" s="15"/>
      <c r="G440" s="16"/>
      <c r="H440" s="17"/>
      <c r="I440" s="16"/>
      <c r="J440" s="18"/>
      <c r="K440" s="18"/>
    </row>
    <row r="441" spans="1:11" ht="50.1" customHeight="1" x14ac:dyDescent="0.2">
      <c r="A441" s="4"/>
      <c r="B441" s="8"/>
      <c r="C441" s="5"/>
      <c r="D441" s="3"/>
      <c r="E441" s="15"/>
      <c r="F441" s="15"/>
      <c r="G441" s="16"/>
      <c r="H441" s="17"/>
      <c r="I441" s="16"/>
      <c r="J441" s="18"/>
      <c r="K441" s="18"/>
    </row>
    <row r="442" spans="1:11" ht="50.1" customHeight="1" x14ac:dyDescent="0.2">
      <c r="A442" s="4"/>
      <c r="B442" s="8"/>
      <c r="C442" s="5"/>
      <c r="D442" s="3"/>
      <c r="E442" s="15"/>
      <c r="F442" s="15"/>
      <c r="G442" s="16"/>
      <c r="H442" s="17"/>
      <c r="I442" s="16"/>
      <c r="J442" s="18"/>
      <c r="K442" s="18"/>
    </row>
    <row r="443" spans="1:11" ht="50.1" customHeight="1" x14ac:dyDescent="0.2">
      <c r="A443" s="4"/>
      <c r="B443" s="8"/>
      <c r="C443" s="5"/>
      <c r="D443" s="3"/>
      <c r="E443" s="15"/>
      <c r="F443" s="15"/>
      <c r="G443" s="16"/>
      <c r="H443" s="17"/>
      <c r="I443" s="16"/>
      <c r="J443" s="18"/>
      <c r="K443" s="18"/>
    </row>
    <row r="444" spans="1:11" ht="50.1" customHeight="1" x14ac:dyDescent="0.2">
      <c r="A444" s="4"/>
      <c r="B444" s="8"/>
      <c r="C444" s="5"/>
      <c r="D444" s="3"/>
      <c r="E444" s="15"/>
      <c r="F444" s="15"/>
      <c r="G444" s="16"/>
      <c r="H444" s="17"/>
      <c r="I444" s="16"/>
      <c r="J444" s="18"/>
      <c r="K444" s="18"/>
    </row>
    <row r="445" spans="1:11" ht="50.1" customHeight="1" x14ac:dyDescent="0.2">
      <c r="A445" s="4"/>
      <c r="B445" s="8"/>
      <c r="C445" s="5"/>
      <c r="D445" s="3"/>
      <c r="E445" s="15"/>
      <c r="F445" s="15"/>
      <c r="G445" s="16"/>
      <c r="H445" s="17"/>
      <c r="I445" s="16"/>
      <c r="J445" s="18"/>
      <c r="K445" s="18"/>
    </row>
    <row r="446" spans="1:11" ht="50.1" customHeight="1" x14ac:dyDescent="0.2">
      <c r="A446" s="4"/>
      <c r="B446" s="8"/>
      <c r="C446" s="5"/>
      <c r="D446" s="3"/>
      <c r="E446" s="15"/>
      <c r="F446" s="15"/>
      <c r="G446" s="16"/>
      <c r="H446" s="17"/>
      <c r="I446" s="16"/>
      <c r="J446" s="18"/>
      <c r="K446" s="18"/>
    </row>
    <row r="447" spans="1:11" ht="50.1" customHeight="1" x14ac:dyDescent="0.2">
      <c r="A447" s="4"/>
      <c r="B447" s="8"/>
      <c r="C447" s="5"/>
      <c r="D447" s="3"/>
      <c r="E447" s="15"/>
      <c r="F447" s="15"/>
      <c r="G447" s="16"/>
      <c r="H447" s="17"/>
      <c r="I447" s="16"/>
      <c r="J447" s="18"/>
      <c r="K447" s="18"/>
    </row>
    <row r="448" spans="1:11" ht="50.1" customHeight="1" x14ac:dyDescent="0.2">
      <c r="A448" s="4"/>
      <c r="B448" s="8"/>
      <c r="C448" s="5"/>
      <c r="D448" s="3"/>
      <c r="E448" s="15"/>
      <c r="F448" s="15"/>
      <c r="G448" s="16"/>
      <c r="H448" s="17"/>
      <c r="I448" s="16"/>
      <c r="J448" s="18"/>
      <c r="K448" s="18"/>
    </row>
    <row r="449" spans="1:11" ht="50.1" customHeight="1" x14ac:dyDescent="0.2">
      <c r="A449" s="4"/>
      <c r="B449" s="8"/>
      <c r="C449" s="5"/>
      <c r="D449" s="3"/>
      <c r="E449" s="15"/>
      <c r="F449" s="15"/>
      <c r="G449" s="16"/>
      <c r="H449" s="17"/>
      <c r="I449" s="16"/>
      <c r="J449" s="18"/>
      <c r="K449" s="18"/>
    </row>
    <row r="450" spans="1:11" ht="50.1" customHeight="1" x14ac:dyDescent="0.2">
      <c r="A450" s="4"/>
      <c r="B450" s="8"/>
      <c r="C450" s="5"/>
      <c r="D450" s="3"/>
      <c r="E450" s="15"/>
      <c r="F450" s="15"/>
      <c r="G450" s="16"/>
      <c r="H450" s="17"/>
      <c r="I450" s="16"/>
      <c r="J450" s="18"/>
      <c r="K450" s="18"/>
    </row>
    <row r="451" spans="1:11" ht="50.1" customHeight="1" x14ac:dyDescent="0.2">
      <c r="A451" s="4"/>
      <c r="B451" s="8"/>
      <c r="C451" s="5"/>
      <c r="D451" s="3"/>
      <c r="E451" s="15"/>
      <c r="F451" s="15"/>
      <c r="G451" s="16"/>
      <c r="H451" s="17"/>
      <c r="I451" s="16"/>
      <c r="J451" s="18"/>
      <c r="K451" s="18"/>
    </row>
    <row r="452" spans="1:11" ht="50.1" customHeight="1" x14ac:dyDescent="0.2">
      <c r="A452" s="4"/>
      <c r="B452" s="8"/>
      <c r="C452" s="5"/>
      <c r="D452" s="3"/>
      <c r="E452" s="15"/>
      <c r="F452" s="15"/>
      <c r="G452" s="16"/>
      <c r="H452" s="17"/>
      <c r="I452" s="16"/>
      <c r="J452" s="18"/>
      <c r="K452" s="18"/>
    </row>
    <row r="453" spans="1:11" ht="50.1" customHeight="1" x14ac:dyDescent="0.2">
      <c r="A453" s="4"/>
      <c r="B453" s="8"/>
      <c r="C453" s="5"/>
      <c r="D453" s="3"/>
      <c r="E453" s="15"/>
      <c r="F453" s="15"/>
      <c r="G453" s="16"/>
      <c r="H453" s="17"/>
      <c r="I453" s="16"/>
      <c r="J453" s="18"/>
      <c r="K453" s="18"/>
    </row>
    <row r="454" spans="1:11" ht="50.1" customHeight="1" x14ac:dyDescent="0.2">
      <c r="A454" s="4"/>
      <c r="B454" s="8"/>
      <c r="C454" s="5"/>
      <c r="D454" s="3"/>
      <c r="E454" s="15"/>
      <c r="F454" s="15"/>
      <c r="G454" s="16"/>
      <c r="H454" s="17"/>
      <c r="I454" s="16"/>
      <c r="J454" s="18"/>
      <c r="K454" s="18"/>
    </row>
    <row r="455" spans="1:11" ht="50.1" customHeight="1" x14ac:dyDescent="0.2">
      <c r="A455" s="4"/>
      <c r="B455" s="8"/>
      <c r="C455" s="5"/>
      <c r="D455" s="3"/>
      <c r="E455" s="15"/>
      <c r="F455" s="15"/>
      <c r="G455" s="16"/>
      <c r="H455" s="17"/>
      <c r="I455" s="16"/>
      <c r="J455" s="18"/>
      <c r="K455" s="18"/>
    </row>
    <row r="456" spans="1:11" ht="50.1" customHeight="1" x14ac:dyDescent="0.2">
      <c r="A456" s="4"/>
      <c r="B456" s="8"/>
      <c r="C456" s="5"/>
      <c r="D456" s="3"/>
      <c r="E456" s="15"/>
      <c r="F456" s="15"/>
      <c r="G456" s="16"/>
      <c r="H456" s="17"/>
      <c r="I456" s="16"/>
      <c r="J456" s="18"/>
      <c r="K456" s="18"/>
    </row>
    <row r="457" spans="1:11" ht="50.1" customHeight="1" x14ac:dyDescent="0.2">
      <c r="A457" s="4"/>
      <c r="B457" s="8"/>
      <c r="C457" s="5"/>
      <c r="D457" s="3"/>
      <c r="E457" s="15"/>
      <c r="F457" s="15"/>
      <c r="G457" s="16"/>
      <c r="H457" s="17"/>
      <c r="I457" s="16"/>
      <c r="J457" s="18"/>
      <c r="K457" s="18"/>
    </row>
    <row r="458" spans="1:11" ht="50.1" customHeight="1" x14ac:dyDescent="0.2">
      <c r="A458" s="4"/>
      <c r="B458" s="8"/>
      <c r="C458" s="5"/>
      <c r="D458" s="3"/>
      <c r="E458" s="15"/>
      <c r="F458" s="15"/>
      <c r="G458" s="16"/>
      <c r="H458" s="17"/>
      <c r="I458" s="16"/>
      <c r="J458" s="18"/>
      <c r="K458" s="18"/>
    </row>
    <row r="459" spans="1:11" ht="50.1" customHeight="1" x14ac:dyDescent="0.2">
      <c r="A459" s="4"/>
      <c r="B459" s="8"/>
      <c r="C459" s="5"/>
      <c r="D459" s="3"/>
      <c r="E459" s="15"/>
      <c r="F459" s="15"/>
      <c r="G459" s="16"/>
      <c r="H459" s="17"/>
      <c r="I459" s="16"/>
      <c r="J459" s="18"/>
      <c r="K459" s="18"/>
    </row>
    <row r="460" spans="1:11" ht="50.1" customHeight="1" x14ac:dyDescent="0.2">
      <c r="A460" s="4"/>
      <c r="B460" s="8"/>
      <c r="C460" s="5"/>
      <c r="D460" s="3"/>
      <c r="E460" s="15"/>
      <c r="F460" s="15"/>
      <c r="G460" s="16"/>
      <c r="H460" s="17"/>
      <c r="I460" s="16"/>
      <c r="J460" s="18"/>
      <c r="K460" s="18"/>
    </row>
    <row r="461" spans="1:11" ht="50.1" customHeight="1" x14ac:dyDescent="0.2">
      <c r="A461" s="4"/>
      <c r="B461" s="8"/>
      <c r="C461" s="5"/>
      <c r="D461" s="3"/>
      <c r="E461" s="15"/>
      <c r="F461" s="15"/>
      <c r="G461" s="16"/>
      <c r="H461" s="17"/>
      <c r="I461" s="16"/>
      <c r="J461" s="18"/>
      <c r="K461" s="18"/>
    </row>
    <row r="462" spans="1:11" ht="50.1" customHeight="1" x14ac:dyDescent="0.2">
      <c r="A462" s="4"/>
      <c r="B462" s="8"/>
      <c r="C462" s="5"/>
      <c r="D462" s="3"/>
      <c r="E462" s="15"/>
      <c r="F462" s="15"/>
      <c r="G462" s="16"/>
      <c r="H462" s="17"/>
      <c r="I462" s="16"/>
      <c r="J462" s="18"/>
      <c r="K462" s="18"/>
    </row>
    <row r="463" spans="1:11" ht="50.1" customHeight="1" x14ac:dyDescent="0.2">
      <c r="A463" s="4"/>
      <c r="B463" s="8"/>
      <c r="C463" s="5"/>
      <c r="D463" s="3"/>
      <c r="E463" s="15"/>
      <c r="F463" s="15"/>
      <c r="G463" s="16"/>
      <c r="H463" s="17"/>
      <c r="I463" s="16"/>
      <c r="J463" s="18"/>
      <c r="K463" s="18"/>
    </row>
    <row r="464" spans="1:11" ht="50.1" customHeight="1" x14ac:dyDescent="0.2">
      <c r="A464" s="4"/>
      <c r="B464" s="8"/>
      <c r="C464" s="5"/>
      <c r="D464" s="3"/>
      <c r="E464" s="15"/>
      <c r="F464" s="15"/>
      <c r="G464" s="16"/>
      <c r="H464" s="17"/>
      <c r="I464" s="16"/>
      <c r="J464" s="18"/>
      <c r="K464" s="18"/>
    </row>
    <row r="465" spans="1:11" ht="50.1" customHeight="1" x14ac:dyDescent="0.2">
      <c r="A465" s="4"/>
      <c r="B465" s="8"/>
      <c r="C465" s="5"/>
      <c r="D465" s="3"/>
      <c r="E465" s="15"/>
      <c r="F465" s="15"/>
      <c r="G465" s="16"/>
      <c r="H465" s="17"/>
      <c r="I465" s="16"/>
      <c r="J465" s="18"/>
      <c r="K465" s="18"/>
    </row>
    <row r="466" spans="1:11" ht="50.1" customHeight="1" x14ac:dyDescent="0.2">
      <c r="A466" s="4"/>
      <c r="B466" s="8"/>
      <c r="C466" s="5"/>
      <c r="D466" s="3"/>
      <c r="E466" s="15"/>
      <c r="F466" s="15"/>
      <c r="G466" s="16"/>
      <c r="H466" s="17"/>
      <c r="I466" s="16"/>
      <c r="J466" s="18"/>
      <c r="K466" s="18"/>
    </row>
    <row r="467" spans="1:11" ht="50.1" customHeight="1" x14ac:dyDescent="0.2">
      <c r="A467" s="4"/>
      <c r="B467" s="8"/>
      <c r="C467" s="5"/>
      <c r="D467" s="3"/>
      <c r="E467" s="15"/>
      <c r="F467" s="15"/>
      <c r="G467" s="16"/>
      <c r="H467" s="17"/>
      <c r="I467" s="16"/>
      <c r="J467" s="18"/>
      <c r="K467" s="18"/>
    </row>
    <row r="468" spans="1:11" ht="50.1" customHeight="1" x14ac:dyDescent="0.2">
      <c r="A468" s="4"/>
      <c r="B468" s="8"/>
      <c r="C468" s="5"/>
      <c r="D468" s="3"/>
      <c r="E468" s="15"/>
      <c r="F468" s="15"/>
      <c r="G468" s="16"/>
      <c r="H468" s="17"/>
      <c r="I468" s="16"/>
      <c r="J468" s="18"/>
      <c r="K468" s="18"/>
    </row>
    <row r="469" spans="1:11" ht="50.1" customHeight="1" x14ac:dyDescent="0.2">
      <c r="A469" s="4"/>
      <c r="B469" s="8"/>
      <c r="C469" s="5"/>
      <c r="D469" s="3"/>
      <c r="E469" s="15"/>
      <c r="F469" s="15"/>
      <c r="G469" s="16"/>
      <c r="H469" s="17"/>
      <c r="I469" s="16"/>
      <c r="J469" s="18"/>
      <c r="K469" s="18"/>
    </row>
    <row r="470" spans="1:11" ht="50.1" customHeight="1" x14ac:dyDescent="0.2">
      <c r="A470" s="4"/>
      <c r="B470" s="8"/>
      <c r="C470" s="5"/>
      <c r="D470" s="3"/>
      <c r="E470" s="15"/>
      <c r="F470" s="15"/>
      <c r="G470" s="16"/>
      <c r="H470" s="17"/>
      <c r="I470" s="16"/>
      <c r="J470" s="18"/>
      <c r="K470" s="18"/>
    </row>
    <row r="471" spans="1:11" ht="50.1" customHeight="1" x14ac:dyDescent="0.2">
      <c r="A471" s="4"/>
      <c r="B471" s="8"/>
      <c r="C471" s="5"/>
      <c r="D471" s="3"/>
      <c r="E471" s="15"/>
      <c r="F471" s="15"/>
      <c r="G471" s="16"/>
      <c r="H471" s="17"/>
      <c r="I471" s="16"/>
      <c r="J471" s="18"/>
      <c r="K471" s="18"/>
    </row>
    <row r="472" spans="1:11" ht="50.1" customHeight="1" x14ac:dyDescent="0.2">
      <c r="A472" s="4"/>
      <c r="B472" s="8"/>
      <c r="C472" s="5"/>
      <c r="D472" s="3"/>
      <c r="E472" s="15"/>
      <c r="F472" s="15"/>
      <c r="G472" s="16"/>
      <c r="H472" s="17"/>
      <c r="I472" s="16"/>
      <c r="J472" s="18"/>
      <c r="K472" s="18"/>
    </row>
    <row r="473" spans="1:11" ht="50.1" customHeight="1" x14ac:dyDescent="0.2">
      <c r="A473" s="4"/>
      <c r="B473" s="8"/>
      <c r="C473" s="5"/>
      <c r="D473" s="3"/>
      <c r="E473" s="15"/>
      <c r="F473" s="15"/>
      <c r="G473" s="16"/>
      <c r="H473" s="17"/>
      <c r="I473" s="16"/>
      <c r="J473" s="18"/>
      <c r="K473" s="18"/>
    </row>
    <row r="474" spans="1:11" ht="50.1" customHeight="1" x14ac:dyDescent="0.2">
      <c r="A474" s="4"/>
      <c r="B474" s="8"/>
      <c r="C474" s="5"/>
      <c r="D474" s="3"/>
      <c r="E474" s="15"/>
      <c r="F474" s="15"/>
      <c r="G474" s="16"/>
      <c r="H474" s="17"/>
      <c r="I474" s="16"/>
      <c r="J474" s="18"/>
      <c r="K474" s="18"/>
    </row>
    <row r="475" spans="1:11" ht="50.1" customHeight="1" x14ac:dyDescent="0.2">
      <c r="A475" s="4"/>
      <c r="B475" s="8"/>
      <c r="C475" s="5"/>
      <c r="D475" s="3"/>
      <c r="E475" s="15"/>
      <c r="F475" s="15"/>
      <c r="G475" s="16"/>
      <c r="H475" s="17"/>
      <c r="I475" s="16"/>
      <c r="J475" s="18"/>
      <c r="K475" s="18"/>
    </row>
    <row r="476" spans="1:11" ht="50.1" customHeight="1" x14ac:dyDescent="0.2">
      <c r="A476" s="4"/>
      <c r="B476" s="8"/>
      <c r="C476" s="5"/>
      <c r="D476" s="3"/>
      <c r="E476" s="15"/>
      <c r="F476" s="15"/>
      <c r="G476" s="16"/>
      <c r="H476" s="17"/>
      <c r="I476" s="16"/>
      <c r="J476" s="18"/>
      <c r="K476" s="18"/>
    </row>
    <row r="477" spans="1:11" ht="50.1" customHeight="1" x14ac:dyDescent="0.2">
      <c r="A477" s="4"/>
      <c r="B477" s="8"/>
      <c r="C477" s="5"/>
      <c r="D477" s="3"/>
      <c r="E477" s="15"/>
      <c r="F477" s="15"/>
      <c r="G477" s="16"/>
      <c r="H477" s="17"/>
      <c r="I477" s="16"/>
      <c r="J477" s="18"/>
      <c r="K477" s="18"/>
    </row>
    <row r="478" spans="1:11" ht="50.1" customHeight="1" x14ac:dyDescent="0.2">
      <c r="A478" s="4"/>
      <c r="B478" s="8"/>
      <c r="C478" s="5"/>
      <c r="D478" s="3"/>
      <c r="E478" s="15"/>
      <c r="F478" s="15"/>
      <c r="G478" s="16"/>
      <c r="H478" s="17"/>
      <c r="I478" s="16"/>
      <c r="J478" s="18"/>
      <c r="K478" s="18"/>
    </row>
    <row r="479" spans="1:11" ht="50.1" customHeight="1" x14ac:dyDescent="0.2">
      <c r="A479" s="4"/>
      <c r="B479" s="8"/>
      <c r="C479" s="5"/>
      <c r="D479" s="3"/>
      <c r="E479" s="15"/>
      <c r="F479" s="15"/>
      <c r="G479" s="16"/>
      <c r="H479" s="17"/>
      <c r="I479" s="16"/>
      <c r="J479" s="18"/>
      <c r="K479" s="18"/>
    </row>
    <row r="480" spans="1:11" ht="50.1" customHeight="1" x14ac:dyDescent="0.2">
      <c r="A480" s="4"/>
      <c r="B480" s="8"/>
      <c r="C480" s="5"/>
      <c r="D480" s="3"/>
      <c r="E480" s="15"/>
      <c r="F480" s="15"/>
      <c r="G480" s="16"/>
      <c r="H480" s="17"/>
      <c r="I480" s="16"/>
      <c r="J480" s="18"/>
      <c r="K480" s="18"/>
    </row>
    <row r="481" spans="1:11" ht="50.1" customHeight="1" x14ac:dyDescent="0.2">
      <c r="A481" s="4"/>
      <c r="B481" s="8"/>
      <c r="C481" s="5"/>
      <c r="D481" s="3"/>
      <c r="E481" s="15"/>
      <c r="F481" s="15"/>
      <c r="G481" s="16"/>
      <c r="H481" s="17"/>
      <c r="I481" s="16"/>
      <c r="J481" s="18"/>
      <c r="K481" s="18"/>
    </row>
    <row r="482" spans="1:11" ht="50.1" customHeight="1" x14ac:dyDescent="0.2">
      <c r="A482" s="4"/>
      <c r="B482" s="8"/>
      <c r="C482" s="5"/>
      <c r="D482" s="3"/>
      <c r="E482" s="15"/>
      <c r="F482" s="15"/>
      <c r="G482" s="16"/>
      <c r="H482" s="17"/>
      <c r="I482" s="16"/>
      <c r="J482" s="18"/>
      <c r="K482" s="18"/>
    </row>
    <row r="483" spans="1:11" ht="50.1" customHeight="1" x14ac:dyDescent="0.2">
      <c r="A483" s="4"/>
      <c r="B483" s="8"/>
      <c r="C483" s="5"/>
      <c r="D483" s="3"/>
      <c r="E483" s="15"/>
      <c r="F483" s="15"/>
      <c r="G483" s="16"/>
      <c r="H483" s="17"/>
      <c r="I483" s="16"/>
      <c r="J483" s="18"/>
      <c r="K483" s="18"/>
    </row>
    <row r="484" spans="1:11" ht="50.1" customHeight="1" x14ac:dyDescent="0.2">
      <c r="A484" s="4"/>
      <c r="B484" s="8"/>
      <c r="C484" s="5"/>
      <c r="D484" s="3"/>
      <c r="E484" s="15"/>
      <c r="F484" s="15"/>
      <c r="G484" s="16"/>
      <c r="H484" s="17"/>
      <c r="I484" s="16"/>
      <c r="J484" s="18"/>
      <c r="K484" s="18"/>
    </row>
    <row r="485" spans="1:11" ht="50.1" customHeight="1" x14ac:dyDescent="0.2">
      <c r="A485" s="4"/>
      <c r="B485" s="8"/>
      <c r="C485" s="5"/>
      <c r="D485" s="3"/>
      <c r="E485" s="15"/>
      <c r="F485" s="15"/>
      <c r="G485" s="16"/>
      <c r="H485" s="17"/>
      <c r="I485" s="16"/>
      <c r="J485" s="18"/>
      <c r="K485" s="18"/>
    </row>
    <row r="486" spans="1:11" ht="50.1" customHeight="1" x14ac:dyDescent="0.2">
      <c r="A486" s="4"/>
      <c r="B486" s="8"/>
      <c r="C486" s="5"/>
      <c r="D486" s="3"/>
      <c r="E486" s="15"/>
      <c r="F486" s="15"/>
      <c r="G486" s="16"/>
      <c r="H486" s="17"/>
      <c r="I486" s="16"/>
      <c r="J486" s="18"/>
      <c r="K486" s="18"/>
    </row>
    <row r="487" spans="1:11" ht="50.1" customHeight="1" x14ac:dyDescent="0.2">
      <c r="A487" s="4"/>
      <c r="B487" s="8"/>
      <c r="C487" s="5"/>
      <c r="D487" s="3"/>
      <c r="E487" s="15"/>
      <c r="F487" s="15"/>
      <c r="G487" s="16"/>
      <c r="H487" s="17"/>
      <c r="I487" s="16"/>
      <c r="J487" s="18"/>
      <c r="K487" s="18"/>
    </row>
    <row r="488" spans="1:11" ht="50.1" customHeight="1" x14ac:dyDescent="0.2">
      <c r="A488" s="4"/>
      <c r="B488" s="8"/>
      <c r="C488" s="5"/>
      <c r="D488" s="3"/>
      <c r="E488" s="15"/>
      <c r="F488" s="15"/>
      <c r="G488" s="16"/>
      <c r="H488" s="17"/>
      <c r="I488" s="16"/>
      <c r="J488" s="18"/>
      <c r="K488" s="18"/>
    </row>
    <row r="489" spans="1:11" ht="50.1" customHeight="1" x14ac:dyDescent="0.2">
      <c r="A489" s="4"/>
      <c r="B489" s="8"/>
      <c r="C489" s="5"/>
      <c r="D489" s="3"/>
      <c r="E489" s="15"/>
      <c r="F489" s="15"/>
      <c r="G489" s="16"/>
      <c r="H489" s="17"/>
      <c r="I489" s="16"/>
      <c r="J489" s="18"/>
      <c r="K489" s="18"/>
    </row>
    <row r="490" spans="1:11" ht="50.1" customHeight="1" x14ac:dyDescent="0.2">
      <c r="A490" s="4"/>
      <c r="B490" s="8"/>
      <c r="C490" s="5"/>
      <c r="D490" s="3"/>
      <c r="E490" s="15"/>
      <c r="F490" s="15"/>
      <c r="G490" s="16"/>
      <c r="H490" s="17"/>
      <c r="I490" s="16"/>
      <c r="J490" s="18"/>
      <c r="K490" s="18"/>
    </row>
    <row r="491" spans="1:11" ht="50.1" customHeight="1" x14ac:dyDescent="0.2">
      <c r="A491" s="4"/>
      <c r="B491" s="8"/>
      <c r="C491" s="5"/>
      <c r="D491" s="3"/>
      <c r="E491" s="15"/>
      <c r="F491" s="15"/>
      <c r="G491" s="16"/>
      <c r="H491" s="17"/>
      <c r="I491" s="16"/>
      <c r="J491" s="18"/>
      <c r="K491" s="18"/>
    </row>
    <row r="492" spans="1:11" ht="50.1" customHeight="1" x14ac:dyDescent="0.2">
      <c r="A492" s="4"/>
      <c r="B492" s="8"/>
      <c r="C492" s="5"/>
      <c r="D492" s="3"/>
      <c r="E492" s="15"/>
      <c r="F492" s="15"/>
      <c r="G492" s="16"/>
      <c r="H492" s="17"/>
      <c r="I492" s="16"/>
      <c r="J492" s="18"/>
      <c r="K492" s="18"/>
    </row>
    <row r="493" spans="1:11" ht="50.1" customHeight="1" x14ac:dyDescent="0.2">
      <c r="A493" s="4"/>
      <c r="B493" s="8"/>
      <c r="C493" s="5"/>
      <c r="D493" s="3"/>
      <c r="E493" s="15"/>
      <c r="F493" s="15"/>
      <c r="G493" s="16"/>
      <c r="H493" s="17"/>
      <c r="I493" s="16"/>
      <c r="J493" s="18"/>
      <c r="K493" s="18"/>
    </row>
    <row r="494" spans="1:11" ht="50.1" customHeight="1" x14ac:dyDescent="0.2">
      <c r="A494" s="4"/>
      <c r="B494" s="8"/>
      <c r="C494" s="5"/>
      <c r="D494" s="3"/>
      <c r="E494" s="15"/>
      <c r="F494" s="15"/>
      <c r="G494" s="16"/>
      <c r="H494" s="17"/>
      <c r="I494" s="16"/>
      <c r="J494" s="18"/>
      <c r="K494" s="18"/>
    </row>
    <row r="495" spans="1:11" ht="50.1" customHeight="1" x14ac:dyDescent="0.2">
      <c r="A495" s="4"/>
      <c r="B495" s="8"/>
      <c r="C495" s="5"/>
      <c r="D495" s="3"/>
      <c r="E495" s="15"/>
      <c r="F495" s="15"/>
      <c r="G495" s="16"/>
      <c r="H495" s="17"/>
      <c r="I495" s="16"/>
      <c r="J495" s="18"/>
      <c r="K495" s="18"/>
    </row>
    <row r="496" spans="1:11" ht="50.1" customHeight="1" x14ac:dyDescent="0.2">
      <c r="A496" s="4"/>
      <c r="B496" s="8"/>
      <c r="C496" s="5"/>
      <c r="D496" s="3"/>
      <c r="E496" s="15"/>
      <c r="F496" s="15"/>
      <c r="G496" s="16"/>
      <c r="H496" s="17"/>
      <c r="I496" s="16"/>
      <c r="J496" s="18"/>
      <c r="K496" s="18"/>
    </row>
    <row r="497" spans="1:11" ht="50.1" customHeight="1" x14ac:dyDescent="0.2">
      <c r="A497" s="4"/>
      <c r="B497" s="8"/>
      <c r="C497" s="5"/>
      <c r="D497" s="3"/>
      <c r="E497" s="15"/>
      <c r="F497" s="15"/>
      <c r="G497" s="16"/>
      <c r="H497" s="17"/>
      <c r="I497" s="16"/>
      <c r="J497" s="18"/>
      <c r="K497" s="18"/>
    </row>
    <row r="498" spans="1:11" ht="50.1" customHeight="1" x14ac:dyDescent="0.2">
      <c r="A498" s="4"/>
      <c r="B498" s="8"/>
      <c r="C498" s="5"/>
      <c r="D498" s="3"/>
      <c r="E498" s="15"/>
      <c r="F498" s="15"/>
      <c r="G498" s="16"/>
      <c r="H498" s="17"/>
      <c r="I498" s="16"/>
      <c r="J498" s="18"/>
      <c r="K498" s="18"/>
    </row>
    <row r="499" spans="1:11" ht="50.1" customHeight="1" x14ac:dyDescent="0.2">
      <c r="A499" s="4"/>
      <c r="B499" s="8"/>
      <c r="C499" s="5"/>
      <c r="D499" s="3"/>
      <c r="E499" s="15"/>
      <c r="F499" s="15"/>
      <c r="G499" s="16"/>
      <c r="H499" s="17"/>
      <c r="I499" s="16"/>
      <c r="J499" s="18"/>
      <c r="K499" s="18"/>
    </row>
    <row r="500" spans="1:11" ht="50.1" customHeight="1" x14ac:dyDescent="0.2">
      <c r="A500" s="4"/>
      <c r="B500" s="8"/>
      <c r="C500" s="5"/>
      <c r="D500" s="3"/>
      <c r="E500" s="15"/>
      <c r="F500" s="15"/>
      <c r="G500" s="16"/>
      <c r="H500" s="17"/>
      <c r="I500" s="16"/>
      <c r="J500" s="18"/>
      <c r="K500" s="18"/>
    </row>
    <row r="501" spans="1:11" ht="50.1" customHeight="1" x14ac:dyDescent="0.2">
      <c r="A501" s="4"/>
      <c r="B501" s="8"/>
      <c r="C501" s="5"/>
      <c r="D501" s="3"/>
      <c r="E501" s="15"/>
      <c r="F501" s="15"/>
      <c r="G501" s="16"/>
      <c r="H501" s="17"/>
      <c r="I501" s="16"/>
      <c r="J501" s="18"/>
      <c r="K501" s="18"/>
    </row>
    <row r="502" spans="1:11" ht="50.1" customHeight="1" x14ac:dyDescent="0.2">
      <c r="A502" s="4"/>
      <c r="B502" s="8"/>
      <c r="C502" s="5"/>
      <c r="D502" s="3"/>
      <c r="E502" s="15"/>
      <c r="F502" s="15"/>
      <c r="G502" s="16"/>
      <c r="H502" s="17"/>
      <c r="I502" s="16"/>
      <c r="J502" s="18"/>
      <c r="K502" s="18"/>
    </row>
    <row r="503" spans="1:11" ht="50.1" customHeight="1" x14ac:dyDescent="0.2">
      <c r="A503" s="4"/>
      <c r="B503" s="8"/>
      <c r="C503" s="5"/>
      <c r="D503" s="3"/>
      <c r="E503" s="15"/>
      <c r="F503" s="15"/>
      <c r="G503" s="16"/>
      <c r="H503" s="17"/>
      <c r="I503" s="16"/>
      <c r="J503" s="18"/>
      <c r="K503" s="18"/>
    </row>
    <row r="504" spans="1:11" ht="50.1" customHeight="1" x14ac:dyDescent="0.2">
      <c r="A504" s="4"/>
      <c r="B504" s="8"/>
      <c r="C504" s="5"/>
      <c r="D504" s="3"/>
      <c r="E504" s="15"/>
      <c r="F504" s="15"/>
      <c r="G504" s="16"/>
      <c r="H504" s="17"/>
      <c r="I504" s="16"/>
      <c r="J504" s="18"/>
      <c r="K504" s="18"/>
    </row>
    <row r="505" spans="1:11" ht="50.1" customHeight="1" x14ac:dyDescent="0.2">
      <c r="A505" s="4"/>
      <c r="B505" s="8"/>
      <c r="C505" s="5"/>
      <c r="D505" s="3"/>
      <c r="E505" s="15"/>
      <c r="F505" s="15"/>
      <c r="G505" s="16"/>
      <c r="H505" s="17"/>
      <c r="I505" s="16"/>
      <c r="J505" s="18"/>
      <c r="K505" s="18"/>
    </row>
    <row r="506" spans="1:11" ht="50.1" customHeight="1" x14ac:dyDescent="0.2">
      <c r="A506" s="4"/>
      <c r="B506" s="8"/>
      <c r="C506" s="5"/>
      <c r="D506" s="3"/>
      <c r="E506" s="15"/>
      <c r="F506" s="15"/>
      <c r="G506" s="16"/>
      <c r="H506" s="17"/>
      <c r="I506" s="16"/>
      <c r="J506" s="18"/>
      <c r="K506" s="18"/>
    </row>
    <row r="507" spans="1:11" ht="50.1" customHeight="1" x14ac:dyDescent="0.2">
      <c r="A507" s="4"/>
      <c r="B507" s="8"/>
      <c r="C507" s="5"/>
      <c r="D507" s="3"/>
      <c r="E507" s="15"/>
      <c r="F507" s="15"/>
      <c r="G507" s="16"/>
      <c r="H507" s="17"/>
      <c r="I507" s="16"/>
      <c r="J507" s="18"/>
      <c r="K507" s="18"/>
    </row>
    <row r="508" spans="1:11" ht="50.1" customHeight="1" x14ac:dyDescent="0.2">
      <c r="A508" s="4"/>
      <c r="B508" s="8"/>
      <c r="C508" s="5"/>
      <c r="D508" s="3"/>
      <c r="E508" s="15"/>
      <c r="F508" s="15"/>
      <c r="G508" s="16"/>
      <c r="H508" s="17"/>
      <c r="I508" s="16"/>
      <c r="J508" s="18"/>
      <c r="K508" s="18"/>
    </row>
    <row r="509" spans="1:11" ht="50.1" customHeight="1" x14ac:dyDescent="0.2">
      <c r="A509" s="4"/>
      <c r="B509" s="8"/>
      <c r="C509" s="5"/>
      <c r="D509" s="3"/>
      <c r="E509" s="15"/>
      <c r="F509" s="15"/>
      <c r="G509" s="16"/>
      <c r="H509" s="17"/>
      <c r="I509" s="16"/>
      <c r="J509" s="18"/>
      <c r="K509" s="18"/>
    </row>
    <row r="510" spans="1:11" ht="50.1" customHeight="1" x14ac:dyDescent="0.2">
      <c r="A510" s="4"/>
      <c r="B510" s="8"/>
      <c r="C510" s="5"/>
      <c r="D510" s="3"/>
      <c r="E510" s="15"/>
      <c r="F510" s="15"/>
      <c r="G510" s="16"/>
      <c r="H510" s="17"/>
      <c r="I510" s="16"/>
      <c r="J510" s="18"/>
      <c r="K510" s="18"/>
    </row>
    <row r="511" spans="1:11" ht="50.1" customHeight="1" x14ac:dyDescent="0.2">
      <c r="A511" s="4"/>
      <c r="B511" s="8"/>
      <c r="C511" s="5"/>
      <c r="D511" s="3"/>
      <c r="E511" s="15"/>
      <c r="F511" s="15"/>
      <c r="G511" s="16"/>
      <c r="H511" s="17"/>
      <c r="I511" s="16"/>
      <c r="J511" s="18"/>
      <c r="K511" s="18"/>
    </row>
    <row r="512" spans="1:11" ht="50.1" customHeight="1" x14ac:dyDescent="0.2">
      <c r="A512" s="4"/>
      <c r="B512" s="8"/>
      <c r="C512" s="5"/>
      <c r="D512" s="3"/>
      <c r="E512" s="15"/>
      <c r="F512" s="15"/>
      <c r="G512" s="16"/>
      <c r="H512" s="17"/>
      <c r="I512" s="16"/>
      <c r="J512" s="18"/>
      <c r="K512" s="18"/>
    </row>
    <row r="513" spans="1:11" ht="50.1" customHeight="1" x14ac:dyDescent="0.2">
      <c r="A513" s="4"/>
      <c r="B513" s="8"/>
      <c r="C513" s="5"/>
      <c r="D513" s="3"/>
      <c r="E513" s="15"/>
      <c r="F513" s="15"/>
      <c r="G513" s="16"/>
      <c r="H513" s="17"/>
      <c r="I513" s="16"/>
      <c r="J513" s="18"/>
      <c r="K513" s="18"/>
    </row>
    <row r="514" spans="1:11" ht="50.1" customHeight="1" x14ac:dyDescent="0.2">
      <c r="A514" s="4"/>
      <c r="B514" s="8"/>
      <c r="C514" s="5"/>
      <c r="D514" s="3"/>
      <c r="E514" s="15"/>
      <c r="F514" s="15"/>
      <c r="G514" s="16"/>
      <c r="H514" s="17"/>
      <c r="I514" s="16"/>
      <c r="J514" s="18"/>
      <c r="K514" s="18"/>
    </row>
    <row r="515" spans="1:11" ht="50.1" customHeight="1" x14ac:dyDescent="0.2">
      <c r="A515" s="4"/>
      <c r="B515" s="8"/>
      <c r="C515" s="5"/>
      <c r="D515" s="3"/>
      <c r="E515" s="15"/>
      <c r="F515" s="15"/>
      <c r="G515" s="16"/>
      <c r="H515" s="17"/>
      <c r="I515" s="16"/>
      <c r="J515" s="18"/>
      <c r="K515" s="18"/>
    </row>
    <row r="516" spans="1:11" ht="50.1" customHeight="1" x14ac:dyDescent="0.2">
      <c r="A516" s="4"/>
      <c r="B516" s="8"/>
      <c r="C516" s="5"/>
      <c r="D516" s="3"/>
      <c r="E516" s="15"/>
      <c r="F516" s="15"/>
      <c r="G516" s="16"/>
      <c r="H516" s="17"/>
      <c r="I516" s="16"/>
      <c r="J516" s="18"/>
      <c r="K516" s="18"/>
    </row>
    <row r="517" spans="1:11" ht="50.1" customHeight="1" x14ac:dyDescent="0.2">
      <c r="A517" s="4"/>
      <c r="B517" s="8"/>
      <c r="C517" s="5"/>
      <c r="D517" s="3"/>
      <c r="E517" s="15"/>
      <c r="F517" s="15"/>
      <c r="G517" s="16"/>
      <c r="H517" s="17"/>
      <c r="I517" s="16"/>
      <c r="J517" s="18"/>
      <c r="K517" s="18"/>
    </row>
    <row r="518" spans="1:11" x14ac:dyDescent="0.2">
      <c r="A518" s="4"/>
      <c r="B518" s="8"/>
      <c r="C518" s="5"/>
      <c r="D518" s="3"/>
      <c r="E518" s="15"/>
      <c r="F518" s="15"/>
      <c r="G518" s="16"/>
      <c r="H518" s="17"/>
      <c r="I518" s="16"/>
      <c r="J518" s="18"/>
      <c r="K518" s="18"/>
    </row>
    <row r="519" spans="1:11" x14ac:dyDescent="0.2">
      <c r="A519" s="4"/>
      <c r="B519" s="8"/>
      <c r="C519" s="5"/>
      <c r="D519" s="3"/>
      <c r="E519" s="15"/>
      <c r="F519" s="15"/>
      <c r="G519" s="16"/>
      <c r="H519" s="17"/>
      <c r="I519" s="16"/>
      <c r="J519" s="18"/>
      <c r="K519" s="18"/>
    </row>
    <row r="520" spans="1:11" x14ac:dyDescent="0.2">
      <c r="A520" s="4"/>
      <c r="B520" s="8"/>
      <c r="C520" s="5"/>
      <c r="D520" s="3"/>
      <c r="E520" s="15"/>
      <c r="F520" s="15"/>
      <c r="G520" s="16"/>
      <c r="H520" s="17"/>
      <c r="I520" s="16"/>
      <c r="J520" s="18"/>
      <c r="K520" s="18"/>
    </row>
    <row r="521" spans="1:11" x14ac:dyDescent="0.2">
      <c r="A521" s="4"/>
      <c r="B521" s="8"/>
      <c r="C521" s="5"/>
      <c r="D521" s="3"/>
      <c r="E521" s="15"/>
      <c r="F521" s="15"/>
      <c r="G521" s="16"/>
      <c r="H521" s="17"/>
      <c r="I521" s="16"/>
      <c r="J521" s="18"/>
      <c r="K521" s="18"/>
    </row>
    <row r="522" spans="1:11" x14ac:dyDescent="0.2">
      <c r="A522" s="4"/>
      <c r="B522" s="8"/>
      <c r="C522" s="5"/>
      <c r="D522" s="3"/>
      <c r="E522" s="15"/>
      <c r="F522" s="15"/>
      <c r="G522" s="16"/>
      <c r="H522" s="17"/>
      <c r="I522" s="16"/>
      <c r="J522" s="18"/>
      <c r="K522" s="18"/>
    </row>
    <row r="523" spans="1:11" x14ac:dyDescent="0.2">
      <c r="A523" s="4"/>
      <c r="B523" s="8"/>
      <c r="C523" s="5"/>
      <c r="D523" s="3"/>
      <c r="E523" s="15"/>
      <c r="F523" s="15"/>
      <c r="G523" s="16"/>
      <c r="H523" s="17"/>
      <c r="I523" s="16"/>
      <c r="J523" s="18"/>
      <c r="K523" s="18"/>
    </row>
    <row r="524" spans="1:11" x14ac:dyDescent="0.2">
      <c r="A524" s="4"/>
      <c r="B524" s="8"/>
      <c r="C524" s="5"/>
      <c r="D524" s="3"/>
      <c r="E524" s="15"/>
      <c r="F524" s="15"/>
      <c r="G524" s="16"/>
      <c r="H524" s="17"/>
      <c r="I524" s="16"/>
      <c r="J524" s="18"/>
      <c r="K524" s="18"/>
    </row>
    <row r="525" spans="1:11" x14ac:dyDescent="0.2">
      <c r="A525" s="4"/>
      <c r="B525" s="8"/>
      <c r="C525" s="5"/>
      <c r="D525" s="3"/>
      <c r="E525" s="15"/>
      <c r="F525" s="15"/>
      <c r="G525" s="16"/>
      <c r="H525" s="17"/>
      <c r="I525" s="16"/>
      <c r="J525" s="18"/>
      <c r="K525" s="18"/>
    </row>
    <row r="526" spans="1:11" x14ac:dyDescent="0.2">
      <c r="A526" s="4"/>
      <c r="B526" s="8"/>
      <c r="C526" s="5"/>
      <c r="D526" s="3"/>
      <c r="E526" s="15"/>
      <c r="F526" s="15"/>
      <c r="G526" s="16"/>
      <c r="H526" s="17"/>
      <c r="I526" s="16"/>
      <c r="J526" s="18"/>
      <c r="K526" s="18"/>
    </row>
    <row r="527" spans="1:11" x14ac:dyDescent="0.2">
      <c r="A527" s="4"/>
      <c r="B527" s="8"/>
      <c r="C527" s="5"/>
      <c r="D527" s="3"/>
      <c r="E527" s="15"/>
      <c r="F527" s="15"/>
      <c r="G527" s="16"/>
      <c r="H527" s="17"/>
      <c r="I527" s="16"/>
      <c r="J527" s="18"/>
      <c r="K527" s="18"/>
    </row>
    <row r="528" spans="1:11" x14ac:dyDescent="0.2">
      <c r="A528" s="4"/>
      <c r="B528" s="8"/>
      <c r="C528" s="5"/>
      <c r="D528" s="3"/>
      <c r="E528" s="15"/>
      <c r="F528" s="15"/>
      <c r="G528" s="16"/>
      <c r="H528" s="17"/>
      <c r="I528" s="16"/>
      <c r="J528" s="18"/>
      <c r="K528" s="18"/>
    </row>
    <row r="529" spans="1:11" x14ac:dyDescent="0.2">
      <c r="A529" s="4"/>
      <c r="B529" s="8"/>
      <c r="C529" s="5"/>
      <c r="D529" s="3"/>
      <c r="E529" s="15"/>
      <c r="F529" s="15"/>
      <c r="G529" s="16"/>
      <c r="H529" s="17"/>
      <c r="I529" s="16"/>
      <c r="J529" s="18"/>
      <c r="K529" s="18"/>
    </row>
    <row r="530" spans="1:11" x14ac:dyDescent="0.2">
      <c r="A530" s="4"/>
      <c r="B530" s="8"/>
      <c r="C530" s="5"/>
      <c r="D530" s="3"/>
      <c r="E530" s="15"/>
      <c r="F530" s="15"/>
      <c r="G530" s="16"/>
      <c r="H530" s="17"/>
      <c r="I530" s="16"/>
      <c r="J530" s="18"/>
      <c r="K530" s="18"/>
    </row>
    <row r="531" spans="1:11" x14ac:dyDescent="0.2">
      <c r="A531" s="4"/>
      <c r="B531" s="8"/>
      <c r="C531" s="5"/>
      <c r="D531" s="3"/>
      <c r="E531" s="15"/>
      <c r="F531" s="15"/>
      <c r="G531" s="16"/>
      <c r="H531" s="17"/>
      <c r="I531" s="16"/>
      <c r="J531" s="18"/>
      <c r="K531" s="18"/>
    </row>
    <row r="532" spans="1:11" x14ac:dyDescent="0.2">
      <c r="A532" s="4"/>
      <c r="B532" s="8"/>
      <c r="C532" s="5"/>
      <c r="D532" s="3"/>
      <c r="E532" s="15"/>
      <c r="F532" s="15"/>
      <c r="G532" s="16"/>
      <c r="H532" s="17"/>
      <c r="I532" s="16"/>
      <c r="J532" s="18"/>
      <c r="K532" s="18"/>
    </row>
    <row r="533" spans="1:11" x14ac:dyDescent="0.2">
      <c r="A533" s="4"/>
      <c r="B533" s="8"/>
      <c r="C533" s="5"/>
      <c r="D533" s="3"/>
      <c r="E533" s="15"/>
      <c r="F533" s="15"/>
      <c r="G533" s="16"/>
      <c r="H533" s="17"/>
      <c r="I533" s="16"/>
      <c r="J533" s="18"/>
      <c r="K533" s="18"/>
    </row>
    <row r="534" spans="1:11" x14ac:dyDescent="0.2">
      <c r="A534" s="4"/>
      <c r="B534" s="8"/>
      <c r="C534" s="5"/>
      <c r="D534" s="3"/>
      <c r="E534" s="15"/>
      <c r="F534" s="15"/>
      <c r="G534" s="16"/>
      <c r="H534" s="17"/>
      <c r="I534" s="16"/>
      <c r="J534" s="18"/>
      <c r="K534" s="18"/>
    </row>
    <row r="535" spans="1:11" x14ac:dyDescent="0.2">
      <c r="A535" s="4"/>
      <c r="B535" s="8"/>
      <c r="C535" s="5"/>
      <c r="D535" s="3"/>
      <c r="E535" s="15"/>
      <c r="F535" s="15"/>
      <c r="G535" s="16"/>
      <c r="H535" s="17"/>
      <c r="I535" s="16"/>
      <c r="J535" s="18"/>
      <c r="K535" s="18"/>
    </row>
    <row r="536" spans="1:11" x14ac:dyDescent="0.2">
      <c r="A536" s="4"/>
      <c r="B536" s="8"/>
      <c r="C536" s="5"/>
      <c r="D536" s="3"/>
      <c r="E536" s="15"/>
      <c r="F536" s="15"/>
      <c r="G536" s="16"/>
      <c r="H536" s="17"/>
      <c r="I536" s="16"/>
      <c r="J536" s="18"/>
      <c r="K536" s="18"/>
    </row>
    <row r="537" spans="1:11" x14ac:dyDescent="0.2">
      <c r="A537" s="4"/>
      <c r="B537" s="8"/>
      <c r="C537" s="5"/>
      <c r="D537" s="3"/>
      <c r="E537" s="15"/>
      <c r="F537" s="15"/>
      <c r="G537" s="16"/>
      <c r="H537" s="17"/>
      <c r="I537" s="16"/>
      <c r="J537" s="18"/>
      <c r="K537" s="18"/>
    </row>
    <row r="538" spans="1:11" x14ac:dyDescent="0.2">
      <c r="A538" s="4"/>
      <c r="B538" s="8"/>
      <c r="C538" s="5"/>
      <c r="D538" s="3"/>
      <c r="E538" s="15"/>
      <c r="F538" s="15"/>
      <c r="G538" s="16"/>
      <c r="H538" s="17"/>
      <c r="I538" s="16"/>
      <c r="J538" s="18"/>
      <c r="K538" s="18"/>
    </row>
    <row r="539" spans="1:11" x14ac:dyDescent="0.2">
      <c r="A539" s="4"/>
      <c r="B539" s="8"/>
      <c r="C539" s="5"/>
      <c r="D539" s="3"/>
      <c r="E539" s="15"/>
      <c r="F539" s="15"/>
      <c r="G539" s="16"/>
      <c r="H539" s="17"/>
      <c r="I539" s="16"/>
      <c r="J539" s="18"/>
      <c r="K539" s="18"/>
    </row>
    <row r="540" spans="1:11" x14ac:dyDescent="0.2">
      <c r="A540" s="4"/>
      <c r="B540" s="8"/>
      <c r="C540" s="5"/>
      <c r="D540" s="3"/>
      <c r="E540" s="15"/>
      <c r="F540" s="15"/>
      <c r="G540" s="16"/>
      <c r="H540" s="17"/>
      <c r="I540" s="16"/>
      <c r="J540" s="18"/>
      <c r="K540" s="18"/>
    </row>
    <row r="541" spans="1:11" x14ac:dyDescent="0.2">
      <c r="A541" s="4"/>
      <c r="B541" s="8"/>
      <c r="C541" s="5"/>
      <c r="D541" s="3"/>
      <c r="E541" s="15"/>
      <c r="F541" s="15"/>
      <c r="G541" s="16"/>
      <c r="H541" s="17"/>
      <c r="I541" s="16"/>
      <c r="J541" s="18"/>
      <c r="K541" s="18"/>
    </row>
    <row r="542" spans="1:11" x14ac:dyDescent="0.2">
      <c r="A542" s="4"/>
      <c r="B542" s="8"/>
      <c r="C542" s="5"/>
      <c r="D542" s="3"/>
      <c r="E542" s="15"/>
      <c r="F542" s="15"/>
      <c r="G542" s="16"/>
      <c r="H542" s="17"/>
      <c r="I542" s="16"/>
      <c r="J542" s="18"/>
      <c r="K542" s="18"/>
    </row>
    <row r="543" spans="1:11" x14ac:dyDescent="0.2">
      <c r="A543" s="4"/>
      <c r="B543" s="8"/>
      <c r="C543" s="5"/>
      <c r="D543" s="3"/>
      <c r="E543" s="15"/>
      <c r="F543" s="15"/>
      <c r="G543" s="16"/>
      <c r="H543" s="17"/>
      <c r="I543" s="16"/>
      <c r="J543" s="18"/>
      <c r="K543" s="18"/>
    </row>
    <row r="544" spans="1:11" x14ac:dyDescent="0.2">
      <c r="A544" s="4"/>
      <c r="B544" s="8"/>
      <c r="C544" s="5"/>
      <c r="D544" s="3"/>
      <c r="E544" s="15"/>
      <c r="F544" s="15"/>
      <c r="G544" s="16"/>
      <c r="H544" s="17"/>
      <c r="I544" s="16"/>
      <c r="J544" s="18"/>
      <c r="K544" s="18"/>
    </row>
    <row r="545" spans="1:11" x14ac:dyDescent="0.2">
      <c r="A545" s="4"/>
      <c r="B545" s="8"/>
      <c r="C545" s="5"/>
      <c r="D545" s="3"/>
      <c r="E545" s="15"/>
      <c r="F545" s="15"/>
      <c r="G545" s="16"/>
      <c r="H545" s="17"/>
      <c r="I545" s="16"/>
      <c r="J545" s="18"/>
      <c r="K545" s="18"/>
    </row>
    <row r="546" spans="1:11" x14ac:dyDescent="0.2">
      <c r="A546" s="4"/>
      <c r="B546" s="8"/>
      <c r="C546" s="5"/>
      <c r="D546" s="3"/>
      <c r="E546" s="15"/>
      <c r="F546" s="15"/>
      <c r="G546" s="16"/>
      <c r="H546" s="17"/>
      <c r="I546" s="16"/>
      <c r="J546" s="18"/>
      <c r="K546" s="18"/>
    </row>
    <row r="547" spans="1:11" x14ac:dyDescent="0.2">
      <c r="A547" s="4"/>
      <c r="B547" s="8"/>
      <c r="C547" s="5"/>
      <c r="D547" s="3"/>
      <c r="E547" s="15"/>
      <c r="F547" s="15"/>
      <c r="G547" s="16"/>
      <c r="H547" s="17"/>
      <c r="I547" s="16"/>
      <c r="J547" s="18"/>
      <c r="K547" s="18"/>
    </row>
    <row r="548" spans="1:11" x14ac:dyDescent="0.2">
      <c r="A548" s="4"/>
      <c r="B548" s="8"/>
      <c r="C548" s="5"/>
      <c r="D548" s="3"/>
      <c r="E548" s="15"/>
      <c r="F548" s="15"/>
      <c r="G548" s="16"/>
      <c r="H548" s="17"/>
      <c r="I548" s="16"/>
      <c r="J548" s="18"/>
      <c r="K548" s="18"/>
    </row>
    <row r="549" spans="1:11" x14ac:dyDescent="0.2">
      <c r="A549" s="4"/>
      <c r="B549" s="8"/>
      <c r="C549" s="5"/>
      <c r="D549" s="3"/>
      <c r="E549" s="15"/>
      <c r="F549" s="15"/>
      <c r="G549" s="16"/>
      <c r="H549" s="17"/>
      <c r="I549" s="16"/>
      <c r="J549" s="18"/>
      <c r="K549" s="18"/>
    </row>
    <row r="550" spans="1:11" x14ac:dyDescent="0.2">
      <c r="A550" s="4"/>
      <c r="B550" s="8"/>
      <c r="C550" s="5"/>
      <c r="D550" s="3"/>
      <c r="E550" s="15"/>
      <c r="F550" s="15"/>
      <c r="G550" s="16"/>
      <c r="H550" s="17"/>
      <c r="I550" s="16"/>
      <c r="J550" s="18"/>
      <c r="K550" s="18"/>
    </row>
    <row r="551" spans="1:11" x14ac:dyDescent="0.2">
      <c r="A551" s="4"/>
      <c r="B551" s="8"/>
      <c r="C551" s="5"/>
      <c r="D551" s="3"/>
      <c r="E551" s="15"/>
      <c r="F551" s="15"/>
      <c r="G551" s="16"/>
      <c r="H551" s="17"/>
      <c r="I551" s="16"/>
      <c r="J551" s="18"/>
      <c r="K551" s="18"/>
    </row>
    <row r="552" spans="1:11" x14ac:dyDescent="0.2">
      <c r="A552" s="4"/>
      <c r="B552" s="8"/>
      <c r="C552" s="5"/>
      <c r="D552" s="3"/>
      <c r="E552" s="15"/>
      <c r="F552" s="15"/>
      <c r="G552" s="16"/>
      <c r="H552" s="17"/>
      <c r="I552" s="16"/>
      <c r="J552" s="18"/>
      <c r="K552" s="18"/>
    </row>
    <row r="553" spans="1:11" x14ac:dyDescent="0.2">
      <c r="A553" s="4"/>
      <c r="B553" s="8"/>
      <c r="C553" s="5"/>
      <c r="D553" s="3"/>
      <c r="E553" s="15"/>
      <c r="F553" s="15"/>
      <c r="G553" s="16"/>
      <c r="H553" s="17"/>
      <c r="I553" s="16"/>
      <c r="J553" s="18"/>
      <c r="K553" s="18"/>
    </row>
    <row r="554" spans="1:11" x14ac:dyDescent="0.2">
      <c r="A554" s="4"/>
      <c r="B554" s="8"/>
      <c r="C554" s="5"/>
      <c r="D554" s="3"/>
      <c r="E554" s="15"/>
      <c r="F554" s="15"/>
      <c r="G554" s="16"/>
      <c r="H554" s="17"/>
      <c r="I554" s="16"/>
      <c r="J554" s="18"/>
      <c r="K554" s="18"/>
    </row>
    <row r="555" spans="1:11" x14ac:dyDescent="0.2">
      <c r="A555" s="4"/>
      <c r="B555" s="8"/>
      <c r="C555" s="5"/>
      <c r="D555" s="3"/>
      <c r="E555" s="15"/>
      <c r="F555" s="15"/>
      <c r="G555" s="16"/>
      <c r="H555" s="17"/>
      <c r="I555" s="16"/>
      <c r="J555" s="18"/>
      <c r="K555" s="18"/>
    </row>
    <row r="556" spans="1:11" x14ac:dyDescent="0.2">
      <c r="A556" s="4"/>
      <c r="B556" s="8"/>
      <c r="C556" s="5"/>
      <c r="D556" s="3"/>
      <c r="E556" s="15"/>
      <c r="F556" s="15"/>
      <c r="G556" s="16"/>
      <c r="H556" s="17"/>
      <c r="I556" s="16"/>
      <c r="J556" s="18"/>
      <c r="K556" s="18"/>
    </row>
    <row r="557" spans="1:11" x14ac:dyDescent="0.2">
      <c r="A557" s="4"/>
      <c r="B557" s="8"/>
      <c r="C557" s="5"/>
      <c r="D557" s="3"/>
      <c r="E557" s="15"/>
      <c r="F557" s="15"/>
      <c r="G557" s="16"/>
      <c r="H557" s="17"/>
      <c r="I557" s="16"/>
      <c r="J557" s="18"/>
      <c r="K557" s="18"/>
    </row>
    <row r="558" spans="1:11" x14ac:dyDescent="0.2">
      <c r="A558" s="4"/>
      <c r="B558" s="8"/>
      <c r="C558" s="5"/>
      <c r="D558" s="3"/>
      <c r="E558" s="15"/>
      <c r="F558" s="15"/>
      <c r="G558" s="16"/>
      <c r="H558" s="17"/>
      <c r="I558" s="16"/>
      <c r="J558" s="18"/>
      <c r="K558" s="18"/>
    </row>
    <row r="559" spans="1:11" x14ac:dyDescent="0.2">
      <c r="A559" s="4"/>
      <c r="B559" s="8"/>
      <c r="C559" s="5"/>
      <c r="D559" s="3"/>
      <c r="E559" s="15"/>
      <c r="F559" s="15"/>
      <c r="G559" s="16"/>
      <c r="H559" s="17"/>
      <c r="I559" s="16"/>
      <c r="J559" s="18"/>
      <c r="K559" s="18"/>
    </row>
    <row r="560" spans="1:11" x14ac:dyDescent="0.2">
      <c r="A560" s="4"/>
      <c r="B560" s="8"/>
      <c r="C560" s="5"/>
      <c r="D560" s="3"/>
      <c r="E560" s="15"/>
      <c r="F560" s="15"/>
      <c r="G560" s="16"/>
      <c r="H560" s="17"/>
      <c r="I560" s="16"/>
      <c r="J560" s="18"/>
      <c r="K560" s="18"/>
    </row>
    <row r="561" spans="1:11" x14ac:dyDescent="0.2">
      <c r="A561" s="4"/>
      <c r="B561" s="8"/>
      <c r="C561" s="5"/>
      <c r="D561" s="3"/>
      <c r="E561" s="15"/>
      <c r="F561" s="15"/>
      <c r="G561" s="16"/>
      <c r="H561" s="17"/>
      <c r="I561" s="16"/>
      <c r="J561" s="18"/>
      <c r="K561" s="18"/>
    </row>
    <row r="562" spans="1:11" x14ac:dyDescent="0.2">
      <c r="A562" s="4"/>
      <c r="B562" s="8"/>
      <c r="C562" s="5"/>
      <c r="D562" s="3"/>
      <c r="E562" s="15"/>
      <c r="F562" s="15"/>
      <c r="G562" s="16"/>
      <c r="H562" s="17"/>
      <c r="I562" s="16"/>
      <c r="J562" s="18"/>
      <c r="K562" s="18"/>
    </row>
    <row r="563" spans="1:11" x14ac:dyDescent="0.2">
      <c r="A563" s="4"/>
      <c r="B563" s="8"/>
      <c r="C563" s="5"/>
      <c r="D563" s="3"/>
      <c r="E563" s="15"/>
      <c r="F563" s="15"/>
      <c r="G563" s="16"/>
      <c r="H563" s="17"/>
      <c r="I563" s="16"/>
      <c r="J563" s="18"/>
      <c r="K563" s="18"/>
    </row>
    <row r="564" spans="1:11" x14ac:dyDescent="0.2">
      <c r="A564" s="4"/>
      <c r="B564" s="8"/>
      <c r="C564" s="5"/>
      <c r="D564" s="3"/>
      <c r="E564" s="15"/>
      <c r="F564" s="15"/>
      <c r="G564" s="16"/>
      <c r="H564" s="17"/>
      <c r="I564" s="16"/>
      <c r="J564" s="18"/>
      <c r="K564" s="18"/>
    </row>
    <row r="565" spans="1:11" x14ac:dyDescent="0.2">
      <c r="A565" s="4"/>
      <c r="B565" s="8"/>
      <c r="C565" s="5"/>
      <c r="D565" s="3"/>
      <c r="E565" s="15"/>
      <c r="F565" s="15"/>
      <c r="G565" s="16"/>
      <c r="H565" s="17"/>
      <c r="I565" s="16"/>
      <c r="J565" s="18"/>
      <c r="K565" s="18"/>
    </row>
    <row r="566" spans="1:11" x14ac:dyDescent="0.2">
      <c r="A566" s="4"/>
      <c r="B566" s="8"/>
      <c r="C566" s="5"/>
      <c r="D566" s="3"/>
      <c r="E566" s="15"/>
      <c r="F566" s="15"/>
      <c r="G566" s="16"/>
      <c r="H566" s="17"/>
      <c r="I566" s="16"/>
      <c r="J566" s="18"/>
      <c r="K566" s="18"/>
    </row>
    <row r="567" spans="1:11" x14ac:dyDescent="0.2">
      <c r="A567" s="4"/>
      <c r="B567" s="8"/>
      <c r="C567" s="5"/>
      <c r="D567" s="3"/>
      <c r="E567" s="15"/>
      <c r="F567" s="15"/>
      <c r="G567" s="16"/>
      <c r="H567" s="17"/>
      <c r="I567" s="16"/>
      <c r="J567" s="18"/>
      <c r="K567" s="18"/>
    </row>
    <row r="568" spans="1:11" x14ac:dyDescent="0.2">
      <c r="A568" s="4"/>
      <c r="B568" s="8"/>
      <c r="C568" s="5"/>
      <c r="D568" s="3"/>
      <c r="E568" s="15"/>
      <c r="F568" s="15"/>
      <c r="G568" s="16"/>
      <c r="H568" s="17"/>
      <c r="I568" s="16"/>
      <c r="J568" s="18"/>
      <c r="K568" s="18"/>
    </row>
    <row r="569" spans="1:11" x14ac:dyDescent="0.2">
      <c r="A569" s="4"/>
      <c r="B569" s="8"/>
      <c r="C569" s="5"/>
      <c r="D569" s="3"/>
      <c r="E569" s="15"/>
      <c r="F569" s="15"/>
      <c r="G569" s="16"/>
      <c r="H569" s="17"/>
      <c r="I569" s="16"/>
      <c r="J569" s="18"/>
      <c r="K569" s="18"/>
    </row>
    <row r="570" spans="1:11" x14ac:dyDescent="0.2">
      <c r="A570" s="4"/>
      <c r="B570" s="8"/>
      <c r="C570" s="5"/>
      <c r="D570" s="3"/>
      <c r="E570" s="15"/>
      <c r="F570" s="15"/>
      <c r="G570" s="16"/>
      <c r="H570" s="17"/>
      <c r="I570" s="16"/>
      <c r="J570" s="18"/>
      <c r="K570" s="18"/>
    </row>
    <row r="571" spans="1:11" x14ac:dyDescent="0.2">
      <c r="A571" s="4"/>
      <c r="B571" s="8"/>
      <c r="C571" s="5"/>
      <c r="D571" s="3"/>
      <c r="E571" s="15"/>
      <c r="F571" s="15"/>
      <c r="G571" s="16"/>
      <c r="H571" s="17"/>
      <c r="I571" s="16"/>
      <c r="J571" s="18"/>
      <c r="K571" s="18"/>
    </row>
    <row r="572" spans="1:11" x14ac:dyDescent="0.2">
      <c r="A572" s="4"/>
      <c r="B572" s="8"/>
      <c r="C572" s="5"/>
      <c r="D572" s="3"/>
      <c r="E572" s="15"/>
      <c r="F572" s="15"/>
      <c r="G572" s="16"/>
      <c r="H572" s="17"/>
      <c r="I572" s="16"/>
      <c r="J572" s="18"/>
      <c r="K572" s="18"/>
    </row>
    <row r="573" spans="1:11" x14ac:dyDescent="0.2">
      <c r="A573" s="4"/>
      <c r="B573" s="8"/>
      <c r="C573" s="5"/>
      <c r="D573" s="3"/>
      <c r="E573" s="15"/>
      <c r="F573" s="15"/>
      <c r="G573" s="16"/>
      <c r="H573" s="17"/>
      <c r="I573" s="16"/>
      <c r="J573" s="18"/>
      <c r="K573" s="18"/>
    </row>
    <row r="574" spans="1:11" x14ac:dyDescent="0.2">
      <c r="A574" s="4"/>
      <c r="B574" s="8"/>
      <c r="C574" s="5"/>
      <c r="D574" s="3"/>
      <c r="E574" s="15"/>
      <c r="F574" s="15"/>
      <c r="G574" s="16"/>
      <c r="H574" s="17"/>
      <c r="I574" s="16"/>
      <c r="J574" s="18"/>
      <c r="K574" s="18"/>
    </row>
    <row r="575" spans="1:11" x14ac:dyDescent="0.2">
      <c r="A575" s="4"/>
      <c r="B575" s="8"/>
      <c r="C575" s="5"/>
      <c r="D575" s="3"/>
      <c r="E575" s="15"/>
      <c r="F575" s="15"/>
      <c r="G575" s="16"/>
      <c r="H575" s="17"/>
      <c r="I575" s="16"/>
      <c r="J575" s="18"/>
      <c r="K575" s="18"/>
    </row>
    <row r="576" spans="1:11" x14ac:dyDescent="0.2">
      <c r="A576" s="4"/>
      <c r="B576" s="8"/>
      <c r="C576" s="5"/>
      <c r="D576" s="3"/>
      <c r="E576" s="15"/>
      <c r="F576" s="15"/>
      <c r="G576" s="16"/>
      <c r="H576" s="17"/>
      <c r="I576" s="16"/>
      <c r="J576" s="18"/>
      <c r="K576" s="18"/>
    </row>
    <row r="577" spans="1:11" x14ac:dyDescent="0.2">
      <c r="A577" s="4"/>
      <c r="B577" s="8"/>
      <c r="C577" s="5"/>
      <c r="D577" s="3"/>
      <c r="E577" s="15"/>
      <c r="F577" s="15"/>
      <c r="G577" s="16"/>
      <c r="H577" s="17"/>
      <c r="I577" s="16"/>
      <c r="J577" s="18"/>
      <c r="K577" s="18"/>
    </row>
    <row r="578" spans="1:11" x14ac:dyDescent="0.2">
      <c r="A578" s="4"/>
      <c r="B578" s="8"/>
      <c r="C578" s="5"/>
      <c r="D578" s="3"/>
      <c r="E578" s="15"/>
      <c r="F578" s="15"/>
      <c r="G578" s="16"/>
      <c r="H578" s="17"/>
      <c r="I578" s="16"/>
      <c r="J578" s="18"/>
      <c r="K578" s="18"/>
    </row>
    <row r="579" spans="1:11" x14ac:dyDescent="0.2">
      <c r="A579" s="4"/>
      <c r="B579" s="8"/>
      <c r="C579" s="5"/>
      <c r="D579" s="3"/>
      <c r="E579" s="15"/>
      <c r="F579" s="15"/>
      <c r="G579" s="16"/>
      <c r="H579" s="17"/>
      <c r="I579" s="16"/>
      <c r="J579" s="18"/>
      <c r="K579" s="18"/>
    </row>
    <row r="580" spans="1:11" x14ac:dyDescent="0.2">
      <c r="A580" s="4"/>
      <c r="B580" s="8"/>
      <c r="C580" s="5"/>
      <c r="D580" s="3"/>
      <c r="E580" s="15"/>
      <c r="F580" s="15"/>
      <c r="G580" s="16"/>
      <c r="H580" s="17"/>
      <c r="I580" s="16"/>
      <c r="J580" s="18"/>
      <c r="K580" s="18"/>
    </row>
    <row r="581" spans="1:11" x14ac:dyDescent="0.2">
      <c r="A581" s="4"/>
      <c r="B581" s="8"/>
      <c r="C581" s="5"/>
      <c r="D581" s="3"/>
      <c r="E581" s="15"/>
      <c r="F581" s="15"/>
      <c r="G581" s="16"/>
      <c r="H581" s="17"/>
      <c r="I581" s="16"/>
      <c r="J581" s="18"/>
      <c r="K581" s="18"/>
    </row>
    <row r="582" spans="1:11" x14ac:dyDescent="0.2">
      <c r="A582" s="4"/>
      <c r="B582" s="8"/>
      <c r="C582" s="5"/>
      <c r="D582" s="3"/>
      <c r="E582" s="15"/>
      <c r="F582" s="15"/>
      <c r="G582" s="16"/>
      <c r="H582" s="17"/>
      <c r="I582" s="16"/>
      <c r="J582" s="18"/>
      <c r="K582" s="18"/>
    </row>
    <row r="583" spans="1:11" x14ac:dyDescent="0.2">
      <c r="A583" s="4"/>
      <c r="B583" s="8"/>
      <c r="C583" s="5"/>
      <c r="D583" s="3"/>
      <c r="E583" s="15"/>
      <c r="F583" s="15"/>
      <c r="G583" s="16"/>
      <c r="H583" s="17"/>
      <c r="I583" s="16"/>
      <c r="J583" s="18"/>
      <c r="K583" s="18"/>
    </row>
    <row r="584" spans="1:11" x14ac:dyDescent="0.2">
      <c r="A584" s="4"/>
      <c r="B584" s="8"/>
      <c r="C584" s="5"/>
      <c r="D584" s="3"/>
      <c r="E584" s="15"/>
      <c r="F584" s="15"/>
      <c r="G584" s="16"/>
      <c r="H584" s="17"/>
      <c r="I584" s="16"/>
      <c r="J584" s="18"/>
      <c r="K584" s="18"/>
    </row>
    <row r="585" spans="1:11" x14ac:dyDescent="0.2">
      <c r="A585" s="4"/>
      <c r="B585" s="8"/>
      <c r="C585" s="5"/>
      <c r="D585" s="3"/>
      <c r="E585" s="15"/>
      <c r="F585" s="15"/>
      <c r="G585" s="16"/>
      <c r="H585" s="17"/>
      <c r="I585" s="16"/>
      <c r="J585" s="18"/>
      <c r="K585" s="18"/>
    </row>
    <row r="586" spans="1:11" x14ac:dyDescent="0.2">
      <c r="A586" s="4"/>
      <c r="B586" s="8"/>
      <c r="C586" s="5"/>
      <c r="D586" s="3"/>
      <c r="E586" s="15"/>
      <c r="F586" s="15"/>
      <c r="G586" s="16"/>
      <c r="H586" s="17"/>
      <c r="I586" s="16"/>
      <c r="J586" s="18"/>
      <c r="K586" s="18"/>
    </row>
    <row r="587" spans="1:11" x14ac:dyDescent="0.2">
      <c r="A587" s="4"/>
      <c r="B587" s="8"/>
      <c r="C587" s="5"/>
      <c r="D587" s="3"/>
      <c r="E587" s="15"/>
      <c r="F587" s="15"/>
      <c r="G587" s="16"/>
      <c r="H587" s="17"/>
      <c r="I587" s="16"/>
      <c r="J587" s="18"/>
      <c r="K587" s="18"/>
    </row>
    <row r="588" spans="1:11" x14ac:dyDescent="0.2">
      <c r="A588" s="4"/>
      <c r="B588" s="8"/>
      <c r="C588" s="5"/>
      <c r="D588" s="3"/>
      <c r="E588" s="15"/>
      <c r="F588" s="15"/>
      <c r="G588" s="16"/>
      <c r="H588" s="17"/>
      <c r="I588" s="16"/>
      <c r="J588" s="18"/>
      <c r="K588" s="18"/>
    </row>
    <row r="589" spans="1:11" x14ac:dyDescent="0.2">
      <c r="A589" s="4"/>
      <c r="B589" s="8"/>
      <c r="C589" s="5"/>
      <c r="D589" s="3"/>
      <c r="E589" s="15"/>
      <c r="F589" s="15"/>
      <c r="G589" s="16"/>
      <c r="H589" s="17"/>
      <c r="I589" s="16"/>
      <c r="J589" s="18"/>
      <c r="K589" s="18"/>
    </row>
    <row r="590" spans="1:11" x14ac:dyDescent="0.2">
      <c r="A590" s="4"/>
      <c r="B590" s="8"/>
      <c r="C590" s="5"/>
      <c r="D590" s="3"/>
      <c r="E590" s="15"/>
      <c r="F590" s="15"/>
      <c r="G590" s="16"/>
      <c r="H590" s="17"/>
      <c r="I590" s="16"/>
      <c r="J590" s="18"/>
      <c r="K590" s="18"/>
    </row>
    <row r="591" spans="1:11" x14ac:dyDescent="0.2">
      <c r="A591" s="4"/>
      <c r="B591" s="8"/>
      <c r="C591" s="5"/>
      <c r="D591" s="3"/>
      <c r="E591" s="15"/>
      <c r="F591" s="15"/>
      <c r="G591" s="16"/>
      <c r="H591" s="17"/>
      <c r="I591" s="16"/>
      <c r="J591" s="18"/>
      <c r="K591" s="18"/>
    </row>
    <row r="592" spans="1:11" x14ac:dyDescent="0.2">
      <c r="A592" s="4"/>
      <c r="B592" s="8"/>
      <c r="C592" s="5"/>
      <c r="D592" s="3"/>
      <c r="E592" s="15"/>
      <c r="F592" s="15"/>
      <c r="G592" s="16"/>
      <c r="H592" s="17"/>
      <c r="I592" s="16"/>
      <c r="J592" s="18"/>
      <c r="K592" s="18"/>
    </row>
    <row r="593" spans="1:11" x14ac:dyDescent="0.2">
      <c r="A593" s="4"/>
      <c r="B593" s="8"/>
      <c r="C593" s="5"/>
      <c r="D593" s="3"/>
      <c r="E593" s="15"/>
      <c r="F593" s="15"/>
      <c r="G593" s="16"/>
      <c r="H593" s="17"/>
      <c r="I593" s="16"/>
      <c r="J593" s="18"/>
      <c r="K593" s="18"/>
    </row>
    <row r="594" spans="1:11" x14ac:dyDescent="0.2">
      <c r="A594" s="4"/>
      <c r="B594" s="8"/>
      <c r="C594" s="5"/>
      <c r="D594" s="3"/>
      <c r="E594" s="15"/>
      <c r="F594" s="15"/>
      <c r="G594" s="16"/>
      <c r="H594" s="17"/>
      <c r="I594" s="16"/>
      <c r="J594" s="18"/>
      <c r="K594" s="18"/>
    </row>
    <row r="595" spans="1:11" x14ac:dyDescent="0.2">
      <c r="A595" s="4"/>
      <c r="B595" s="8"/>
      <c r="C595" s="5"/>
      <c r="D595" s="3"/>
      <c r="E595" s="15"/>
      <c r="F595" s="15"/>
      <c r="G595" s="16"/>
      <c r="H595" s="17"/>
      <c r="I595" s="16"/>
      <c r="J595" s="18"/>
      <c r="K595" s="18"/>
    </row>
    <row r="596" spans="1:11" x14ac:dyDescent="0.2">
      <c r="A596" s="4"/>
      <c r="B596" s="8"/>
      <c r="C596" s="5"/>
      <c r="D596" s="3"/>
      <c r="E596" s="15"/>
      <c r="F596" s="15"/>
      <c r="G596" s="16"/>
      <c r="H596" s="17"/>
      <c r="I596" s="16"/>
      <c r="J596" s="18"/>
      <c r="K596" s="18"/>
    </row>
    <row r="597" spans="1:11" x14ac:dyDescent="0.2">
      <c r="A597" s="4"/>
      <c r="B597" s="8"/>
      <c r="C597" s="5"/>
      <c r="D597" s="3"/>
      <c r="E597" s="15"/>
      <c r="F597" s="15"/>
      <c r="G597" s="16"/>
      <c r="H597" s="17"/>
      <c r="I597" s="16"/>
      <c r="J597" s="18"/>
      <c r="K597" s="18"/>
    </row>
    <row r="598" spans="1:11" x14ac:dyDescent="0.2">
      <c r="A598" s="4"/>
      <c r="B598" s="8"/>
      <c r="C598" s="5"/>
      <c r="D598" s="3"/>
      <c r="E598" s="15"/>
      <c r="F598" s="15"/>
      <c r="G598" s="16"/>
      <c r="H598" s="17"/>
      <c r="I598" s="16"/>
      <c r="J598" s="18"/>
      <c r="K598" s="18"/>
    </row>
    <row r="599" spans="1:11" x14ac:dyDescent="0.2">
      <c r="A599" s="4"/>
      <c r="B599" s="8"/>
      <c r="C599" s="5"/>
      <c r="D599" s="3"/>
      <c r="E599" s="15"/>
      <c r="F599" s="15"/>
      <c r="G599" s="16"/>
      <c r="H599" s="17"/>
      <c r="I599" s="16"/>
      <c r="J599" s="18"/>
      <c r="K599" s="18"/>
    </row>
    <row r="600" spans="1:11" x14ac:dyDescent="0.2">
      <c r="A600" s="4"/>
      <c r="B600" s="8"/>
      <c r="C600" s="5"/>
      <c r="D600" s="3"/>
      <c r="E600" s="15"/>
      <c r="F600" s="15"/>
      <c r="G600" s="16"/>
      <c r="H600" s="17"/>
      <c r="I600" s="16"/>
      <c r="J600" s="18"/>
      <c r="K600" s="18"/>
    </row>
    <row r="601" spans="1:11" x14ac:dyDescent="0.2">
      <c r="A601" s="4"/>
      <c r="B601" s="8"/>
      <c r="C601" s="5"/>
      <c r="D601" s="3"/>
      <c r="E601" s="15"/>
      <c r="F601" s="15"/>
      <c r="G601" s="16"/>
      <c r="H601" s="17"/>
      <c r="I601" s="16"/>
      <c r="J601" s="18"/>
      <c r="K601" s="18"/>
    </row>
    <row r="602" spans="1:11" x14ac:dyDescent="0.2">
      <c r="A602" s="4"/>
      <c r="B602" s="8"/>
      <c r="C602" s="5"/>
      <c r="D602" s="3"/>
      <c r="E602" s="15"/>
      <c r="F602" s="15"/>
      <c r="G602" s="16"/>
      <c r="H602" s="17"/>
      <c r="I602" s="16"/>
      <c r="J602" s="18"/>
      <c r="K602" s="18"/>
    </row>
    <row r="603" spans="1:11" x14ac:dyDescent="0.2">
      <c r="A603" s="4"/>
      <c r="B603" s="8"/>
      <c r="C603" s="5"/>
      <c r="D603" s="3"/>
      <c r="E603" s="15"/>
      <c r="F603" s="15"/>
      <c r="G603" s="16"/>
      <c r="H603" s="17"/>
      <c r="I603" s="16"/>
      <c r="J603" s="18"/>
      <c r="K603" s="18"/>
    </row>
    <row r="604" spans="1:11" x14ac:dyDescent="0.2">
      <c r="A604" s="4"/>
      <c r="B604" s="8"/>
      <c r="C604" s="5"/>
      <c r="D604" s="3"/>
      <c r="E604" s="15"/>
      <c r="F604" s="15"/>
      <c r="G604" s="16"/>
      <c r="H604" s="17"/>
      <c r="I604" s="16"/>
      <c r="J604" s="18"/>
      <c r="K604" s="18"/>
    </row>
    <row r="605" spans="1:11" x14ac:dyDescent="0.2">
      <c r="A605" s="4"/>
      <c r="B605" s="8"/>
      <c r="C605" s="5"/>
      <c r="D605" s="3"/>
      <c r="E605" s="15"/>
      <c r="F605" s="15"/>
      <c r="G605" s="16"/>
      <c r="H605" s="17"/>
      <c r="I605" s="16"/>
      <c r="J605" s="18"/>
      <c r="K605" s="18"/>
    </row>
    <row r="606" spans="1:11" x14ac:dyDescent="0.2">
      <c r="A606" s="4"/>
      <c r="B606" s="8"/>
      <c r="C606" s="5"/>
      <c r="D606" s="3"/>
      <c r="E606" s="15"/>
      <c r="F606" s="15"/>
      <c r="G606" s="16"/>
      <c r="H606" s="17"/>
      <c r="I606" s="16"/>
      <c r="J606" s="18"/>
      <c r="K606" s="18"/>
    </row>
    <row r="607" spans="1:11" x14ac:dyDescent="0.2">
      <c r="A607" s="4"/>
      <c r="B607" s="8"/>
      <c r="C607" s="5"/>
      <c r="D607" s="3"/>
      <c r="E607" s="15"/>
      <c r="F607" s="15"/>
      <c r="G607" s="16"/>
      <c r="H607" s="17"/>
      <c r="I607" s="16"/>
      <c r="J607" s="18"/>
      <c r="K607" s="18"/>
    </row>
    <row r="608" spans="1:11" x14ac:dyDescent="0.2">
      <c r="A608" s="4"/>
      <c r="B608" s="8"/>
      <c r="C608" s="5"/>
      <c r="D608" s="3"/>
      <c r="E608" s="15"/>
      <c r="F608" s="15"/>
      <c r="G608" s="16"/>
      <c r="H608" s="17"/>
      <c r="I608" s="16"/>
      <c r="J608" s="18"/>
      <c r="K608" s="18"/>
    </row>
    <row r="609" spans="1:11" x14ac:dyDescent="0.2">
      <c r="A609" s="4"/>
      <c r="B609" s="8"/>
      <c r="C609" s="5"/>
      <c r="D609" s="3"/>
      <c r="E609" s="15"/>
      <c r="F609" s="15"/>
      <c r="G609" s="16"/>
      <c r="H609" s="17"/>
      <c r="I609" s="16"/>
      <c r="J609" s="18"/>
      <c r="K609" s="18"/>
    </row>
    <row r="610" spans="1:11" x14ac:dyDescent="0.2">
      <c r="A610" s="4"/>
      <c r="B610" s="8"/>
      <c r="C610" s="5"/>
      <c r="D610" s="3"/>
      <c r="E610" s="15"/>
      <c r="F610" s="15"/>
      <c r="G610" s="16"/>
      <c r="H610" s="17"/>
      <c r="I610" s="16"/>
      <c r="J610" s="18"/>
      <c r="K610" s="18"/>
    </row>
    <row r="611" spans="1:11" x14ac:dyDescent="0.2">
      <c r="A611" s="4"/>
      <c r="B611" s="8"/>
      <c r="C611" s="5"/>
      <c r="D611" s="3"/>
      <c r="E611" s="15"/>
      <c r="F611" s="15"/>
      <c r="G611" s="16"/>
      <c r="H611" s="17"/>
      <c r="I611" s="16"/>
      <c r="J611" s="18"/>
      <c r="K611" s="18"/>
    </row>
    <row r="612" spans="1:11" x14ac:dyDescent="0.2">
      <c r="A612" s="4"/>
      <c r="B612" s="8"/>
      <c r="C612" s="5"/>
      <c r="D612" s="3"/>
      <c r="E612" s="15"/>
      <c r="F612" s="15"/>
      <c r="G612" s="16"/>
      <c r="H612" s="17"/>
      <c r="I612" s="16"/>
      <c r="J612" s="18"/>
      <c r="K612" s="18"/>
    </row>
    <row r="613" spans="1:11" x14ac:dyDescent="0.2">
      <c r="A613" s="4"/>
      <c r="B613" s="8"/>
      <c r="C613" s="5"/>
      <c r="D613" s="3"/>
      <c r="E613" s="15"/>
      <c r="F613" s="15"/>
      <c r="G613" s="16"/>
      <c r="H613" s="17"/>
      <c r="I613" s="16"/>
      <c r="J613" s="18"/>
      <c r="K613" s="18"/>
    </row>
    <row r="614" spans="1:11" x14ac:dyDescent="0.2">
      <c r="A614" s="4"/>
      <c r="B614" s="8"/>
      <c r="C614" s="5"/>
      <c r="D614" s="3"/>
      <c r="E614" s="15"/>
      <c r="F614" s="15"/>
      <c r="G614" s="16"/>
      <c r="H614" s="17"/>
      <c r="I614" s="16"/>
      <c r="J614" s="18"/>
      <c r="K614" s="18"/>
    </row>
    <row r="615" spans="1:11" x14ac:dyDescent="0.2">
      <c r="A615" s="4"/>
      <c r="B615" s="8"/>
      <c r="C615" s="5"/>
      <c r="D615" s="3"/>
      <c r="E615" s="15"/>
      <c r="F615" s="15"/>
      <c r="G615" s="16"/>
      <c r="H615" s="17"/>
      <c r="I615" s="16"/>
      <c r="J615" s="18"/>
      <c r="K615" s="18"/>
    </row>
    <row r="616" spans="1:11" x14ac:dyDescent="0.2">
      <c r="A616" s="4"/>
      <c r="B616" s="8"/>
      <c r="C616" s="5"/>
      <c r="D616" s="3"/>
      <c r="E616" s="15"/>
      <c r="F616" s="15"/>
      <c r="G616" s="16"/>
      <c r="H616" s="17"/>
      <c r="I616" s="16"/>
      <c r="J616" s="18"/>
      <c r="K616" s="18"/>
    </row>
    <row r="617" spans="1:11" x14ac:dyDescent="0.2">
      <c r="A617" s="4"/>
      <c r="B617" s="8"/>
      <c r="C617" s="5"/>
      <c r="D617" s="3"/>
      <c r="E617" s="15"/>
      <c r="F617" s="15"/>
      <c r="G617" s="16"/>
      <c r="H617" s="17"/>
      <c r="I617" s="16"/>
      <c r="J617" s="18"/>
      <c r="K617" s="18"/>
    </row>
    <row r="618" spans="1:11" x14ac:dyDescent="0.2">
      <c r="A618" s="4"/>
      <c r="B618" s="8"/>
      <c r="C618" s="5"/>
      <c r="D618" s="3"/>
      <c r="E618" s="15"/>
      <c r="F618" s="15"/>
      <c r="G618" s="16"/>
      <c r="H618" s="17"/>
      <c r="I618" s="16"/>
      <c r="J618" s="18"/>
      <c r="K618" s="18"/>
    </row>
    <row r="619" spans="1:11" x14ac:dyDescent="0.2">
      <c r="A619" s="4"/>
      <c r="B619" s="8"/>
      <c r="C619" s="5"/>
      <c r="D619" s="3"/>
      <c r="E619" s="15"/>
      <c r="F619" s="15"/>
      <c r="G619" s="16"/>
      <c r="H619" s="17"/>
      <c r="I619" s="16"/>
      <c r="J619" s="18"/>
      <c r="K619" s="18"/>
    </row>
    <row r="620" spans="1:11" x14ac:dyDescent="0.2">
      <c r="A620" s="4"/>
      <c r="B620" s="8"/>
      <c r="C620" s="5"/>
      <c r="D620" s="3"/>
      <c r="E620" s="15"/>
      <c r="F620" s="15"/>
      <c r="G620" s="16"/>
      <c r="H620" s="17"/>
      <c r="I620" s="16"/>
      <c r="J620" s="18"/>
      <c r="K620" s="18"/>
    </row>
    <row r="621" spans="1:11" x14ac:dyDescent="0.2">
      <c r="A621" s="4"/>
      <c r="B621" s="8"/>
      <c r="C621" s="5"/>
      <c r="D621" s="3"/>
      <c r="E621" s="15"/>
      <c r="F621" s="15"/>
      <c r="G621" s="16"/>
      <c r="H621" s="17"/>
      <c r="I621" s="16"/>
      <c r="J621" s="18"/>
      <c r="K621" s="18"/>
    </row>
    <row r="622" spans="1:11" x14ac:dyDescent="0.2">
      <c r="A622" s="4"/>
      <c r="B622" s="8"/>
      <c r="C622" s="5"/>
      <c r="D622" s="3"/>
      <c r="E622" s="15"/>
      <c r="F622" s="15"/>
      <c r="G622" s="16"/>
      <c r="H622" s="17"/>
      <c r="I622" s="16"/>
      <c r="J622" s="18"/>
      <c r="K622" s="18"/>
    </row>
    <row r="623" spans="1:11" x14ac:dyDescent="0.2">
      <c r="A623" s="4"/>
      <c r="B623" s="8"/>
      <c r="C623" s="5"/>
      <c r="D623" s="3"/>
      <c r="E623" s="15"/>
      <c r="F623" s="15"/>
      <c r="G623" s="16"/>
      <c r="H623" s="17"/>
      <c r="I623" s="16"/>
      <c r="J623" s="18"/>
      <c r="K623" s="18"/>
    </row>
    <row r="624" spans="1:11" x14ac:dyDescent="0.2">
      <c r="A624" s="4"/>
      <c r="B624" s="8"/>
      <c r="C624" s="5"/>
      <c r="D624" s="3"/>
      <c r="E624" s="15"/>
      <c r="F624" s="15"/>
      <c r="G624" s="16"/>
      <c r="H624" s="17"/>
      <c r="I624" s="16"/>
      <c r="J624" s="18"/>
      <c r="K624" s="18"/>
    </row>
    <row r="625" spans="1:11" x14ac:dyDescent="0.2">
      <c r="A625" s="4"/>
      <c r="B625" s="8"/>
      <c r="C625" s="5"/>
      <c r="D625" s="3"/>
      <c r="E625" s="15"/>
      <c r="F625" s="15"/>
      <c r="G625" s="16"/>
      <c r="H625" s="17"/>
      <c r="I625" s="16"/>
      <c r="J625" s="18"/>
      <c r="K625" s="18"/>
    </row>
    <row r="626" spans="1:11" x14ac:dyDescent="0.2">
      <c r="A626" s="4"/>
      <c r="B626" s="8"/>
      <c r="C626" s="5"/>
      <c r="D626" s="3"/>
      <c r="E626" s="15"/>
      <c r="F626" s="15"/>
      <c r="G626" s="16"/>
      <c r="H626" s="17"/>
      <c r="I626" s="16"/>
      <c r="J626" s="18"/>
      <c r="K626" s="18"/>
    </row>
    <row r="627" spans="1:11" x14ac:dyDescent="0.2">
      <c r="A627" s="4"/>
      <c r="B627" s="8"/>
      <c r="C627" s="5"/>
      <c r="D627" s="3"/>
      <c r="E627" s="15"/>
      <c r="F627" s="15"/>
      <c r="G627" s="16"/>
      <c r="H627" s="17"/>
      <c r="I627" s="16"/>
      <c r="J627" s="18"/>
      <c r="K627" s="18"/>
    </row>
    <row r="628" spans="1:11" x14ac:dyDescent="0.2">
      <c r="A628" s="4"/>
      <c r="B628" s="8"/>
      <c r="C628" s="5"/>
      <c r="D628" s="3"/>
      <c r="E628" s="15"/>
      <c r="F628" s="15"/>
      <c r="G628" s="16"/>
      <c r="H628" s="17"/>
      <c r="I628" s="16"/>
      <c r="J628" s="18"/>
      <c r="K628" s="18"/>
    </row>
    <row r="629" spans="1:11" x14ac:dyDescent="0.2">
      <c r="A629" s="4"/>
      <c r="B629" s="8"/>
      <c r="C629" s="5"/>
      <c r="D629" s="3"/>
      <c r="E629" s="15"/>
      <c r="F629" s="15"/>
      <c r="G629" s="16"/>
      <c r="H629" s="17"/>
      <c r="I629" s="16"/>
      <c r="J629" s="18"/>
      <c r="K629" s="18"/>
    </row>
    <row r="630" spans="1:11" x14ac:dyDescent="0.2">
      <c r="A630" s="4"/>
      <c r="B630" s="8"/>
      <c r="C630" s="5"/>
      <c r="D630" s="3"/>
      <c r="E630" s="15"/>
      <c r="F630" s="15"/>
      <c r="G630" s="16"/>
      <c r="H630" s="17"/>
      <c r="I630" s="16"/>
      <c r="J630" s="18"/>
      <c r="K630" s="18"/>
    </row>
    <row r="631" spans="1:11" x14ac:dyDescent="0.2">
      <c r="A631" s="4"/>
      <c r="B631" s="8"/>
      <c r="C631" s="5"/>
      <c r="D631" s="3"/>
      <c r="E631" s="15"/>
      <c r="F631" s="15"/>
      <c r="G631" s="16"/>
      <c r="H631" s="17"/>
      <c r="I631" s="16"/>
      <c r="J631" s="18"/>
      <c r="K631" s="18"/>
    </row>
    <row r="632" spans="1:11" x14ac:dyDescent="0.2">
      <c r="A632" s="4"/>
      <c r="B632" s="8"/>
      <c r="C632" s="5"/>
      <c r="D632" s="3"/>
      <c r="E632" s="15"/>
      <c r="F632" s="15"/>
      <c r="G632" s="16"/>
      <c r="H632" s="17"/>
      <c r="I632" s="16"/>
      <c r="J632" s="18"/>
      <c r="K632" s="18"/>
    </row>
    <row r="633" spans="1:11" x14ac:dyDescent="0.2">
      <c r="A633" s="4"/>
      <c r="B633" s="8"/>
      <c r="C633" s="5"/>
      <c r="D633" s="3"/>
      <c r="E633" s="15"/>
      <c r="F633" s="15"/>
      <c r="G633" s="16"/>
      <c r="H633" s="17"/>
      <c r="I633" s="16"/>
      <c r="J633" s="18"/>
      <c r="K633" s="18"/>
    </row>
    <row r="634" spans="1:11" x14ac:dyDescent="0.2">
      <c r="A634" s="4"/>
      <c r="B634" s="8"/>
      <c r="C634" s="5"/>
      <c r="D634" s="3"/>
      <c r="E634" s="15"/>
      <c r="F634" s="15"/>
      <c r="G634" s="16"/>
      <c r="H634" s="17"/>
      <c r="I634" s="16"/>
      <c r="J634" s="18"/>
      <c r="K634" s="18"/>
    </row>
    <row r="635" spans="1:11" x14ac:dyDescent="0.2">
      <c r="A635" s="4"/>
      <c r="B635" s="8"/>
      <c r="C635" s="5"/>
      <c r="D635" s="3"/>
      <c r="E635" s="15"/>
      <c r="F635" s="15"/>
      <c r="G635" s="16"/>
      <c r="H635" s="17"/>
      <c r="I635" s="16"/>
      <c r="J635" s="18"/>
      <c r="K635" s="18"/>
    </row>
    <row r="636" spans="1:11" x14ac:dyDescent="0.2">
      <c r="A636" s="4"/>
      <c r="B636" s="8"/>
      <c r="C636" s="5"/>
      <c r="D636" s="3"/>
      <c r="E636" s="15"/>
      <c r="F636" s="15"/>
      <c r="G636" s="16"/>
      <c r="H636" s="17"/>
      <c r="I636" s="16"/>
      <c r="J636" s="18"/>
      <c r="K636" s="18"/>
    </row>
    <row r="637" spans="1:11" x14ac:dyDescent="0.2">
      <c r="A637" s="4"/>
      <c r="B637" s="8"/>
      <c r="C637" s="5"/>
      <c r="D637" s="3"/>
      <c r="E637" s="15"/>
      <c r="F637" s="15"/>
      <c r="G637" s="16"/>
      <c r="H637" s="17"/>
      <c r="I637" s="16"/>
      <c r="J637" s="18"/>
      <c r="K637" s="18"/>
    </row>
    <row r="638" spans="1:11" x14ac:dyDescent="0.2">
      <c r="A638" s="4"/>
      <c r="B638" s="8"/>
      <c r="C638" s="5"/>
      <c r="D638" s="3"/>
      <c r="E638" s="15"/>
      <c r="F638" s="15"/>
      <c r="G638" s="16"/>
      <c r="H638" s="17"/>
      <c r="I638" s="16"/>
      <c r="J638" s="18"/>
      <c r="K638" s="18"/>
    </row>
    <row r="639" spans="1:11" x14ac:dyDescent="0.2">
      <c r="A639" s="4"/>
      <c r="B639" s="8"/>
      <c r="C639" s="5"/>
      <c r="D639" s="3"/>
      <c r="E639" s="15"/>
      <c r="F639" s="15"/>
      <c r="G639" s="16"/>
      <c r="H639" s="17"/>
      <c r="I639" s="16"/>
      <c r="J639" s="18"/>
      <c r="K639" s="18"/>
    </row>
    <row r="640" spans="1:11" x14ac:dyDescent="0.2">
      <c r="A640" s="4"/>
      <c r="B640" s="8"/>
      <c r="C640" s="5"/>
      <c r="D640" s="3"/>
      <c r="E640" s="15"/>
      <c r="F640" s="15"/>
      <c r="G640" s="16"/>
      <c r="H640" s="17"/>
      <c r="I640" s="16"/>
      <c r="J640" s="18"/>
      <c r="K640" s="18"/>
    </row>
    <row r="641" spans="1:11" x14ac:dyDescent="0.2">
      <c r="A641" s="4"/>
      <c r="B641" s="8"/>
      <c r="C641" s="5"/>
      <c r="D641" s="3"/>
      <c r="E641" s="15"/>
      <c r="F641" s="15"/>
      <c r="G641" s="16"/>
      <c r="H641" s="17"/>
      <c r="I641" s="16"/>
      <c r="J641" s="18"/>
      <c r="K641" s="18"/>
    </row>
    <row r="642" spans="1:11" x14ac:dyDescent="0.2">
      <c r="A642" s="4"/>
      <c r="B642" s="8"/>
      <c r="C642" s="5"/>
      <c r="D642" s="3"/>
      <c r="E642" s="15"/>
      <c r="F642" s="15"/>
      <c r="G642" s="16"/>
      <c r="H642" s="17"/>
      <c r="I642" s="16"/>
      <c r="J642" s="18"/>
      <c r="K642" s="18"/>
    </row>
    <row r="643" spans="1:11" x14ac:dyDescent="0.2">
      <c r="A643" s="4"/>
      <c r="B643" s="8"/>
      <c r="C643" s="5"/>
      <c r="D643" s="3"/>
      <c r="E643" s="15"/>
      <c r="F643" s="15"/>
      <c r="G643" s="16"/>
      <c r="H643" s="17"/>
      <c r="I643" s="16"/>
      <c r="J643" s="18"/>
      <c r="K643" s="18"/>
    </row>
    <row r="644" spans="1:11" x14ac:dyDescent="0.2">
      <c r="A644" s="4"/>
      <c r="B644" s="8"/>
      <c r="C644" s="5"/>
      <c r="D644" s="3"/>
      <c r="E644" s="15"/>
      <c r="F644" s="15"/>
      <c r="G644" s="16"/>
      <c r="H644" s="17"/>
      <c r="I644" s="16"/>
      <c r="J644" s="18"/>
      <c r="K644" s="18"/>
    </row>
    <row r="645" spans="1:11" x14ac:dyDescent="0.2">
      <c r="A645" s="4"/>
      <c r="B645" s="8"/>
      <c r="C645" s="5"/>
      <c r="D645" s="3"/>
      <c r="E645" s="15"/>
      <c r="F645" s="15"/>
      <c r="G645" s="16"/>
      <c r="H645" s="17"/>
      <c r="I645" s="16"/>
      <c r="J645" s="18"/>
      <c r="K645" s="18"/>
    </row>
    <row r="646" spans="1:11" x14ac:dyDescent="0.2">
      <c r="A646" s="4"/>
      <c r="B646" s="8"/>
      <c r="C646" s="5"/>
      <c r="D646" s="3"/>
      <c r="E646" s="15"/>
      <c r="F646" s="15"/>
      <c r="G646" s="16"/>
      <c r="H646" s="17"/>
      <c r="I646" s="16"/>
      <c r="J646" s="18"/>
      <c r="K646" s="18"/>
    </row>
    <row r="647" spans="1:11" x14ac:dyDescent="0.2">
      <c r="A647" s="4"/>
      <c r="B647" s="8"/>
      <c r="C647" s="5"/>
      <c r="D647" s="3"/>
      <c r="E647" s="15"/>
      <c r="F647" s="15"/>
      <c r="G647" s="16"/>
      <c r="H647" s="17"/>
      <c r="I647" s="16"/>
      <c r="J647" s="18"/>
      <c r="K647" s="18"/>
    </row>
    <row r="648" spans="1:11" x14ac:dyDescent="0.2">
      <c r="A648" s="4"/>
      <c r="B648" s="8"/>
      <c r="C648" s="5"/>
      <c r="D648" s="3"/>
      <c r="E648" s="15"/>
      <c r="F648" s="15"/>
      <c r="G648" s="16"/>
      <c r="H648" s="17"/>
      <c r="I648" s="16"/>
      <c r="J648" s="18"/>
      <c r="K648" s="18"/>
    </row>
    <row r="649" spans="1:11" x14ac:dyDescent="0.2">
      <c r="A649" s="4"/>
      <c r="B649" s="8"/>
      <c r="C649" s="5"/>
      <c r="D649" s="3"/>
      <c r="E649" s="15"/>
      <c r="F649" s="15"/>
      <c r="G649" s="16"/>
      <c r="H649" s="17"/>
      <c r="I649" s="16"/>
      <c r="J649" s="18"/>
      <c r="K649" s="18"/>
    </row>
    <row r="650" spans="1:11" x14ac:dyDescent="0.2">
      <c r="A650" s="4"/>
      <c r="B650" s="8"/>
      <c r="C650" s="5"/>
      <c r="D650" s="3"/>
      <c r="E650" s="15"/>
      <c r="F650" s="15"/>
      <c r="G650" s="16"/>
      <c r="H650" s="17"/>
      <c r="I650" s="16"/>
      <c r="J650" s="18"/>
      <c r="K650" s="18"/>
    </row>
    <row r="651" spans="1:11" x14ac:dyDescent="0.2">
      <c r="A651" s="4"/>
      <c r="B651" s="8"/>
      <c r="C651" s="5"/>
      <c r="D651" s="3"/>
      <c r="E651" s="15"/>
      <c r="F651" s="15"/>
      <c r="G651" s="16"/>
      <c r="H651" s="17"/>
      <c r="I651" s="16"/>
      <c r="J651" s="18"/>
      <c r="K651" s="18"/>
    </row>
    <row r="652" spans="1:11" x14ac:dyDescent="0.2">
      <c r="A652" s="4"/>
      <c r="B652" s="8"/>
      <c r="C652" s="5"/>
      <c r="D652" s="3"/>
      <c r="E652" s="15"/>
      <c r="F652" s="15"/>
      <c r="G652" s="16"/>
      <c r="H652" s="17"/>
      <c r="I652" s="16"/>
      <c r="J652" s="18"/>
      <c r="K652" s="18"/>
    </row>
    <row r="653" spans="1:11" x14ac:dyDescent="0.2">
      <c r="A653" s="4"/>
      <c r="B653" s="8"/>
      <c r="C653" s="5"/>
      <c r="D653" s="3"/>
      <c r="E653" s="15"/>
      <c r="F653" s="15"/>
      <c r="G653" s="16"/>
      <c r="H653" s="17"/>
      <c r="I653" s="16"/>
      <c r="J653" s="18"/>
      <c r="K653" s="18"/>
    </row>
    <row r="654" spans="1:11" x14ac:dyDescent="0.2">
      <c r="A654" s="4"/>
      <c r="B654" s="8"/>
      <c r="C654" s="5"/>
      <c r="D654" s="3"/>
      <c r="E654" s="15"/>
      <c r="F654" s="15"/>
      <c r="G654" s="16"/>
      <c r="H654" s="17"/>
      <c r="I654" s="16"/>
      <c r="J654" s="18"/>
      <c r="K654" s="18"/>
    </row>
    <row r="655" spans="1:11" x14ac:dyDescent="0.2">
      <c r="A655" s="4"/>
      <c r="B655" s="8"/>
      <c r="C655" s="5"/>
      <c r="D655" s="3"/>
      <c r="E655" s="15"/>
      <c r="F655" s="15"/>
      <c r="G655" s="16"/>
      <c r="H655" s="17"/>
      <c r="I655" s="16"/>
      <c r="J655" s="18"/>
      <c r="K655" s="18"/>
    </row>
    <row r="656" spans="1:11" x14ac:dyDescent="0.2">
      <c r="A656" s="4"/>
      <c r="B656" s="8"/>
      <c r="C656" s="5"/>
      <c r="D656" s="3"/>
      <c r="E656" s="15"/>
      <c r="F656" s="15"/>
      <c r="G656" s="16"/>
      <c r="H656" s="17"/>
      <c r="I656" s="16"/>
      <c r="J656" s="18"/>
      <c r="K656" s="18"/>
    </row>
    <row r="657" spans="1:11" x14ac:dyDescent="0.2">
      <c r="A657" s="4"/>
      <c r="B657" s="8"/>
      <c r="C657" s="5"/>
      <c r="D657" s="3"/>
      <c r="E657" s="15"/>
      <c r="F657" s="15"/>
      <c r="G657" s="16"/>
      <c r="H657" s="17"/>
      <c r="I657" s="16"/>
      <c r="J657" s="18"/>
      <c r="K657" s="18"/>
    </row>
    <row r="658" spans="1:11" x14ac:dyDescent="0.2">
      <c r="A658" s="4"/>
      <c r="B658" s="8"/>
      <c r="C658" s="5"/>
      <c r="D658" s="3"/>
      <c r="E658" s="15"/>
      <c r="F658" s="15"/>
      <c r="G658" s="16"/>
      <c r="H658" s="17"/>
      <c r="I658" s="16"/>
      <c r="J658" s="18"/>
      <c r="K658" s="18"/>
    </row>
    <row r="659" spans="1:11" x14ac:dyDescent="0.2">
      <c r="A659" s="4"/>
      <c r="B659" s="8"/>
      <c r="C659" s="5"/>
      <c r="D659" s="3"/>
      <c r="E659" s="15"/>
      <c r="F659" s="15"/>
      <c r="G659" s="16"/>
      <c r="H659" s="17"/>
      <c r="I659" s="16"/>
      <c r="J659" s="18"/>
      <c r="K659" s="18"/>
    </row>
    <row r="660" spans="1:11" x14ac:dyDescent="0.2">
      <c r="A660" s="4"/>
      <c r="B660" s="8"/>
      <c r="C660" s="5"/>
      <c r="D660" s="3"/>
      <c r="E660" s="15"/>
      <c r="F660" s="15"/>
      <c r="G660" s="16"/>
      <c r="H660" s="17"/>
      <c r="I660" s="16"/>
      <c r="J660" s="18"/>
      <c r="K660" s="18"/>
    </row>
    <row r="661" spans="1:11" x14ac:dyDescent="0.2">
      <c r="A661" s="4"/>
      <c r="B661" s="8"/>
      <c r="C661" s="5"/>
      <c r="D661" s="3"/>
      <c r="E661" s="15"/>
      <c r="F661" s="15"/>
      <c r="G661" s="16"/>
      <c r="H661" s="17"/>
      <c r="I661" s="16"/>
      <c r="J661" s="18"/>
      <c r="K661" s="18"/>
    </row>
    <row r="662" spans="1:11" x14ac:dyDescent="0.2">
      <c r="A662" s="4"/>
      <c r="B662" s="8"/>
      <c r="C662" s="5"/>
      <c r="D662" s="3"/>
      <c r="E662" s="15"/>
      <c r="F662" s="15"/>
      <c r="G662" s="16"/>
      <c r="H662" s="17"/>
      <c r="I662" s="16"/>
      <c r="J662" s="18"/>
      <c r="K662" s="18"/>
    </row>
    <row r="663" spans="1:11" x14ac:dyDescent="0.2">
      <c r="A663" s="4"/>
      <c r="B663" s="8"/>
      <c r="C663" s="5"/>
      <c r="D663" s="3"/>
      <c r="E663" s="15"/>
      <c r="F663" s="15"/>
      <c r="G663" s="16"/>
      <c r="H663" s="17"/>
      <c r="I663" s="16"/>
      <c r="J663" s="18"/>
      <c r="K663" s="18"/>
    </row>
    <row r="664" spans="1:11" x14ac:dyDescent="0.2">
      <c r="A664" s="4"/>
      <c r="B664" s="8"/>
      <c r="C664" s="5"/>
      <c r="D664" s="3"/>
      <c r="E664" s="15"/>
      <c r="F664" s="15"/>
      <c r="G664" s="16"/>
      <c r="H664" s="17"/>
      <c r="I664" s="16"/>
      <c r="J664" s="18"/>
      <c r="K664" s="18"/>
    </row>
    <row r="665" spans="1:11" x14ac:dyDescent="0.2">
      <c r="A665" s="4"/>
      <c r="B665" s="8"/>
      <c r="C665" s="5"/>
      <c r="D665" s="3"/>
      <c r="E665" s="15"/>
      <c r="F665" s="15"/>
      <c r="G665" s="16"/>
      <c r="H665" s="17"/>
      <c r="I665" s="16"/>
      <c r="J665" s="18"/>
      <c r="K665" s="18"/>
    </row>
    <row r="666" spans="1:11" x14ac:dyDescent="0.2">
      <c r="A666" s="4"/>
      <c r="B666" s="8"/>
      <c r="C666" s="5"/>
      <c r="D666" s="3"/>
      <c r="E666" s="15"/>
      <c r="F666" s="15"/>
      <c r="G666" s="16"/>
      <c r="H666" s="17"/>
      <c r="I666" s="16"/>
      <c r="J666" s="18"/>
      <c r="K666" s="18"/>
    </row>
    <row r="667" spans="1:11" x14ac:dyDescent="0.2">
      <c r="A667" s="4"/>
      <c r="B667" s="8"/>
      <c r="C667" s="5"/>
      <c r="D667" s="3"/>
      <c r="E667" s="15"/>
      <c r="F667" s="15"/>
      <c r="G667" s="16"/>
      <c r="H667" s="17"/>
      <c r="I667" s="16"/>
      <c r="J667" s="18"/>
      <c r="K667" s="18"/>
    </row>
    <row r="668" spans="1:11" x14ac:dyDescent="0.2">
      <c r="A668" s="4"/>
      <c r="B668" s="8"/>
      <c r="C668" s="5"/>
      <c r="D668" s="3"/>
      <c r="E668" s="15"/>
      <c r="F668" s="15"/>
      <c r="G668" s="16"/>
      <c r="H668" s="17"/>
      <c r="I668" s="16"/>
      <c r="J668" s="18"/>
      <c r="K668" s="18"/>
    </row>
    <row r="669" spans="1:11" x14ac:dyDescent="0.2">
      <c r="A669" s="4"/>
      <c r="B669" s="8"/>
      <c r="C669" s="5"/>
      <c r="D669" s="3"/>
      <c r="E669" s="15"/>
      <c r="F669" s="15"/>
      <c r="G669" s="16"/>
      <c r="H669" s="17"/>
      <c r="I669" s="16"/>
      <c r="J669" s="18"/>
      <c r="K669" s="18"/>
    </row>
    <row r="670" spans="1:11" x14ac:dyDescent="0.2">
      <c r="A670" s="4"/>
      <c r="B670" s="8"/>
      <c r="C670" s="5"/>
      <c r="D670" s="3"/>
      <c r="E670" s="15"/>
      <c r="F670" s="15"/>
      <c r="G670" s="16"/>
      <c r="H670" s="17"/>
      <c r="I670" s="16"/>
      <c r="J670" s="18"/>
      <c r="K670" s="18"/>
    </row>
    <row r="671" spans="1:11" x14ac:dyDescent="0.2">
      <c r="A671" s="4"/>
      <c r="B671" s="8"/>
      <c r="C671" s="5"/>
      <c r="D671" s="3"/>
      <c r="E671" s="15"/>
      <c r="F671" s="15"/>
      <c r="G671" s="16"/>
      <c r="H671" s="17"/>
      <c r="I671" s="16"/>
      <c r="J671" s="18"/>
      <c r="K671" s="18"/>
    </row>
    <row r="672" spans="1:11" x14ac:dyDescent="0.2">
      <c r="A672" s="4"/>
      <c r="B672" s="8"/>
      <c r="C672" s="5"/>
      <c r="D672" s="3"/>
      <c r="E672" s="15"/>
      <c r="F672" s="15"/>
      <c r="G672" s="16"/>
      <c r="H672" s="17"/>
      <c r="I672" s="16"/>
      <c r="J672" s="18"/>
      <c r="K672" s="18"/>
    </row>
    <row r="673" spans="1:11" x14ac:dyDescent="0.2">
      <c r="A673" s="4"/>
      <c r="B673" s="8"/>
      <c r="C673" s="5"/>
      <c r="D673" s="3"/>
      <c r="E673" s="15"/>
      <c r="F673" s="15"/>
      <c r="G673" s="16"/>
      <c r="H673" s="17"/>
      <c r="I673" s="16"/>
      <c r="J673" s="18"/>
      <c r="K673" s="18"/>
    </row>
    <row r="674" spans="1:11" x14ac:dyDescent="0.2">
      <c r="A674" s="4"/>
      <c r="B674" s="8"/>
      <c r="C674" s="5"/>
      <c r="D674" s="3"/>
      <c r="E674" s="15"/>
      <c r="F674" s="15"/>
      <c r="G674" s="16"/>
      <c r="H674" s="17"/>
      <c r="I674" s="16"/>
      <c r="J674" s="18"/>
      <c r="K674" s="18"/>
    </row>
    <row r="675" spans="1:11" x14ac:dyDescent="0.2">
      <c r="A675" s="4"/>
      <c r="B675" s="8"/>
      <c r="C675" s="5"/>
      <c r="D675" s="3"/>
      <c r="E675" s="15"/>
      <c r="F675" s="15"/>
      <c r="G675" s="16"/>
      <c r="H675" s="17"/>
      <c r="I675" s="16"/>
      <c r="J675" s="18"/>
      <c r="K675" s="18"/>
    </row>
    <row r="676" spans="1:11" x14ac:dyDescent="0.2">
      <c r="A676" s="4"/>
      <c r="B676" s="8"/>
      <c r="C676" s="5"/>
      <c r="D676" s="3"/>
      <c r="E676" s="15"/>
      <c r="F676" s="15"/>
      <c r="G676" s="16"/>
      <c r="H676" s="17"/>
      <c r="I676" s="16"/>
      <c r="J676" s="18"/>
      <c r="K676" s="18"/>
    </row>
    <row r="677" spans="1:11" x14ac:dyDescent="0.2">
      <c r="A677" s="4"/>
      <c r="B677" s="8"/>
      <c r="C677" s="5"/>
      <c r="D677" s="3"/>
      <c r="E677" s="15"/>
      <c r="F677" s="15"/>
      <c r="G677" s="16"/>
      <c r="H677" s="17"/>
      <c r="I677" s="16"/>
      <c r="J677" s="18"/>
      <c r="K677" s="18"/>
    </row>
    <row r="678" spans="1:11" x14ac:dyDescent="0.2">
      <c r="A678" s="4"/>
      <c r="B678" s="8"/>
      <c r="C678" s="5"/>
      <c r="D678" s="3"/>
      <c r="E678" s="15"/>
      <c r="F678" s="15"/>
      <c r="G678" s="16"/>
      <c r="H678" s="17"/>
      <c r="I678" s="16"/>
      <c r="J678" s="18"/>
      <c r="K678" s="18"/>
    </row>
    <row r="679" spans="1:11" x14ac:dyDescent="0.2">
      <c r="A679" s="4"/>
      <c r="B679" s="8"/>
      <c r="C679" s="5"/>
      <c r="D679" s="3"/>
      <c r="E679" s="15"/>
      <c r="F679" s="15"/>
      <c r="G679" s="16"/>
      <c r="H679" s="17"/>
      <c r="I679" s="16"/>
      <c r="J679" s="18"/>
      <c r="K679" s="18"/>
    </row>
    <row r="680" spans="1:11" x14ac:dyDescent="0.2">
      <c r="A680" s="4"/>
      <c r="B680" s="8"/>
      <c r="C680" s="5"/>
      <c r="D680" s="3"/>
      <c r="E680" s="15"/>
      <c r="F680" s="15"/>
      <c r="G680" s="16"/>
      <c r="H680" s="17"/>
      <c r="I680" s="16"/>
      <c r="J680" s="18"/>
      <c r="K680" s="18"/>
    </row>
    <row r="681" spans="1:11" x14ac:dyDescent="0.2">
      <c r="A681" s="4"/>
      <c r="B681" s="8"/>
      <c r="C681" s="5"/>
      <c r="D681" s="3"/>
      <c r="E681" s="15"/>
      <c r="F681" s="15"/>
      <c r="G681" s="16"/>
      <c r="H681" s="17"/>
      <c r="I681" s="16"/>
      <c r="J681" s="18"/>
      <c r="K681" s="18"/>
    </row>
    <row r="682" spans="1:11" x14ac:dyDescent="0.2">
      <c r="A682" s="4"/>
      <c r="B682" s="8"/>
      <c r="C682" s="5"/>
      <c r="D682" s="3"/>
      <c r="E682" s="15"/>
      <c r="F682" s="15"/>
      <c r="G682" s="16"/>
      <c r="H682" s="17"/>
      <c r="I682" s="16"/>
      <c r="J682" s="18"/>
      <c r="K682" s="18"/>
    </row>
    <row r="683" spans="1:11" x14ac:dyDescent="0.2">
      <c r="A683" s="4"/>
      <c r="B683" s="8"/>
      <c r="C683" s="5"/>
      <c r="D683" s="3"/>
      <c r="E683" s="15"/>
      <c r="F683" s="15"/>
      <c r="G683" s="16"/>
      <c r="H683" s="17"/>
      <c r="I683" s="16"/>
      <c r="J683" s="18"/>
      <c r="K683" s="18"/>
    </row>
    <row r="684" spans="1:11" x14ac:dyDescent="0.2">
      <c r="A684" s="4"/>
      <c r="B684" s="8"/>
      <c r="C684" s="5"/>
      <c r="D684" s="3"/>
      <c r="E684" s="15"/>
      <c r="F684" s="15"/>
      <c r="G684" s="16"/>
      <c r="H684" s="17"/>
      <c r="I684" s="16"/>
      <c r="J684" s="18"/>
      <c r="K684" s="18"/>
    </row>
    <row r="685" spans="1:11" x14ac:dyDescent="0.2">
      <c r="A685" s="4"/>
      <c r="B685" s="8"/>
      <c r="C685" s="5"/>
      <c r="D685" s="3"/>
      <c r="E685" s="15"/>
      <c r="F685" s="15"/>
      <c r="G685" s="16"/>
      <c r="H685" s="17"/>
      <c r="I685" s="16"/>
      <c r="J685" s="18"/>
      <c r="K685" s="18"/>
    </row>
    <row r="686" spans="1:11" x14ac:dyDescent="0.2">
      <c r="A686" s="4"/>
      <c r="B686" s="8"/>
      <c r="C686" s="5"/>
      <c r="D686" s="3"/>
      <c r="E686" s="15"/>
      <c r="F686" s="15"/>
      <c r="G686" s="16"/>
      <c r="H686" s="17"/>
      <c r="I686" s="16"/>
      <c r="J686" s="18"/>
      <c r="K686" s="18"/>
    </row>
    <row r="687" spans="1:11" x14ac:dyDescent="0.2">
      <c r="A687" s="4"/>
      <c r="B687" s="8"/>
      <c r="C687" s="5"/>
      <c r="D687" s="3"/>
      <c r="E687" s="15"/>
      <c r="F687" s="15"/>
      <c r="G687" s="16"/>
      <c r="H687" s="17"/>
      <c r="I687" s="16"/>
      <c r="J687" s="18"/>
      <c r="K687" s="18"/>
    </row>
    <row r="688" spans="1:11" x14ac:dyDescent="0.2">
      <c r="A688" s="4"/>
      <c r="B688" s="8"/>
      <c r="C688" s="5"/>
      <c r="D688" s="3"/>
      <c r="E688" s="15"/>
      <c r="F688" s="15"/>
      <c r="G688" s="16"/>
      <c r="H688" s="17"/>
      <c r="I688" s="16"/>
      <c r="J688" s="18"/>
      <c r="K688" s="18"/>
    </row>
    <row r="689" spans="1:11" x14ac:dyDescent="0.2">
      <c r="A689" s="4"/>
      <c r="B689" s="8"/>
      <c r="C689" s="5"/>
      <c r="D689" s="3"/>
      <c r="E689" s="15"/>
      <c r="F689" s="15"/>
      <c r="G689" s="16"/>
      <c r="H689" s="17"/>
      <c r="I689" s="16"/>
      <c r="J689" s="18"/>
      <c r="K689" s="18"/>
    </row>
    <row r="690" spans="1:11" x14ac:dyDescent="0.2">
      <c r="A690" s="4"/>
      <c r="B690" s="8"/>
      <c r="C690" s="5"/>
      <c r="D690" s="3"/>
      <c r="E690" s="15"/>
      <c r="F690" s="15"/>
      <c r="G690" s="16"/>
      <c r="H690" s="17"/>
      <c r="I690" s="16"/>
      <c r="J690" s="18"/>
      <c r="K690" s="18"/>
    </row>
    <row r="691" spans="1:11" x14ac:dyDescent="0.2">
      <c r="A691" s="4"/>
      <c r="B691" s="8"/>
      <c r="C691" s="5"/>
      <c r="D691" s="3"/>
      <c r="E691" s="15"/>
      <c r="F691" s="15"/>
      <c r="G691" s="16"/>
      <c r="H691" s="17"/>
      <c r="I691" s="16"/>
      <c r="J691" s="18"/>
      <c r="K691" s="18"/>
    </row>
    <row r="692" spans="1:11" x14ac:dyDescent="0.2">
      <c r="A692" s="4"/>
      <c r="B692" s="8"/>
      <c r="C692" s="5"/>
      <c r="D692" s="3"/>
      <c r="E692" s="15"/>
      <c r="F692" s="15"/>
      <c r="G692" s="16"/>
      <c r="H692" s="17"/>
      <c r="I692" s="16"/>
      <c r="J692" s="18"/>
      <c r="K692" s="18"/>
    </row>
    <row r="693" spans="1:11" x14ac:dyDescent="0.2">
      <c r="A693" s="4"/>
      <c r="B693" s="8"/>
      <c r="C693" s="5"/>
      <c r="D693" s="3"/>
      <c r="E693" s="15"/>
      <c r="F693" s="15"/>
      <c r="G693" s="16"/>
      <c r="H693" s="17"/>
      <c r="I693" s="16"/>
      <c r="J693" s="18"/>
      <c r="K693" s="18"/>
    </row>
    <row r="694" spans="1:11" x14ac:dyDescent="0.2">
      <c r="A694" s="4"/>
      <c r="B694" s="8"/>
      <c r="C694" s="5"/>
      <c r="D694" s="3"/>
      <c r="E694" s="15"/>
      <c r="F694" s="15"/>
      <c r="G694" s="16"/>
      <c r="H694" s="17"/>
      <c r="I694" s="16"/>
      <c r="J694" s="18"/>
      <c r="K694" s="18"/>
    </row>
    <row r="695" spans="1:11" x14ac:dyDescent="0.2">
      <c r="A695" s="4"/>
      <c r="B695" s="8"/>
      <c r="C695" s="5"/>
      <c r="D695" s="3"/>
      <c r="E695" s="15"/>
      <c r="F695" s="15"/>
      <c r="G695" s="16"/>
      <c r="H695" s="17"/>
      <c r="I695" s="16"/>
      <c r="J695" s="18"/>
      <c r="K695" s="18"/>
    </row>
    <row r="696" spans="1:11" x14ac:dyDescent="0.2">
      <c r="A696" s="4"/>
      <c r="B696" s="8"/>
      <c r="C696" s="5"/>
      <c r="D696" s="3"/>
      <c r="E696" s="15"/>
      <c r="F696" s="15"/>
      <c r="G696" s="16"/>
      <c r="H696" s="17"/>
      <c r="I696" s="16"/>
      <c r="J696" s="18"/>
      <c r="K696" s="18"/>
    </row>
    <row r="697" spans="1:11" x14ac:dyDescent="0.2">
      <c r="A697" s="4"/>
      <c r="B697" s="8"/>
      <c r="C697" s="5"/>
      <c r="D697" s="3"/>
      <c r="E697" s="15"/>
      <c r="F697" s="15"/>
      <c r="G697" s="16"/>
      <c r="H697" s="17"/>
      <c r="I697" s="16"/>
      <c r="J697" s="18"/>
      <c r="K697" s="18"/>
    </row>
    <row r="698" spans="1:11" x14ac:dyDescent="0.2">
      <c r="A698" s="4"/>
      <c r="B698" s="8"/>
      <c r="C698" s="5"/>
      <c r="D698" s="3"/>
      <c r="E698" s="15"/>
      <c r="F698" s="15"/>
      <c r="G698" s="16"/>
      <c r="H698" s="17"/>
      <c r="I698" s="16"/>
      <c r="J698" s="18"/>
      <c r="K698" s="18"/>
    </row>
    <row r="699" spans="1:11" x14ac:dyDescent="0.2">
      <c r="A699" s="4"/>
      <c r="B699" s="8"/>
      <c r="C699" s="5"/>
      <c r="D699" s="3"/>
      <c r="E699" s="15"/>
      <c r="F699" s="15"/>
      <c r="G699" s="16"/>
      <c r="H699" s="17"/>
      <c r="I699" s="16"/>
      <c r="J699" s="18"/>
      <c r="K699" s="18"/>
    </row>
    <row r="700" spans="1:11" x14ac:dyDescent="0.2">
      <c r="A700" s="4"/>
      <c r="B700" s="8"/>
      <c r="C700" s="5"/>
      <c r="D700" s="3"/>
      <c r="E700" s="15"/>
      <c r="F700" s="15"/>
      <c r="G700" s="16"/>
      <c r="H700" s="17"/>
      <c r="I700" s="16"/>
      <c r="J700" s="18"/>
      <c r="K700" s="18"/>
    </row>
    <row r="701" spans="1:11" x14ac:dyDescent="0.2">
      <c r="A701" s="4"/>
      <c r="B701" s="8"/>
      <c r="C701" s="5"/>
      <c r="D701" s="3"/>
      <c r="E701" s="15"/>
      <c r="F701" s="15"/>
      <c r="G701" s="16"/>
      <c r="H701" s="17"/>
      <c r="I701" s="16"/>
      <c r="J701" s="18"/>
      <c r="K701" s="18"/>
    </row>
    <row r="702" spans="1:11" x14ac:dyDescent="0.2">
      <c r="A702" s="4"/>
      <c r="B702" s="8"/>
      <c r="C702" s="5"/>
      <c r="D702" s="3"/>
      <c r="E702" s="15"/>
      <c r="F702" s="15"/>
      <c r="G702" s="16"/>
      <c r="H702" s="17"/>
      <c r="I702" s="16"/>
      <c r="J702" s="18"/>
      <c r="K702" s="18"/>
    </row>
    <row r="703" spans="1:11" x14ac:dyDescent="0.2">
      <c r="A703" s="4"/>
      <c r="B703" s="8"/>
      <c r="C703" s="5"/>
      <c r="D703" s="3"/>
      <c r="E703" s="15"/>
      <c r="F703" s="15"/>
      <c r="G703" s="16"/>
      <c r="H703" s="17"/>
      <c r="I703" s="16"/>
      <c r="J703" s="18"/>
      <c r="K703" s="18"/>
    </row>
    <row r="704" spans="1:11" x14ac:dyDescent="0.2">
      <c r="A704" s="4"/>
      <c r="B704" s="8"/>
      <c r="C704" s="5"/>
      <c r="D704" s="3"/>
      <c r="E704" s="15"/>
      <c r="F704" s="15"/>
      <c r="G704" s="16"/>
      <c r="H704" s="17"/>
      <c r="I704" s="16"/>
      <c r="J704" s="18"/>
      <c r="K704" s="18"/>
    </row>
    <row r="705" spans="1:11" x14ac:dyDescent="0.2">
      <c r="A705" s="4"/>
      <c r="B705" s="8"/>
      <c r="C705" s="5"/>
      <c r="D705" s="3"/>
      <c r="E705" s="15"/>
      <c r="F705" s="15"/>
      <c r="G705" s="16"/>
      <c r="H705" s="17"/>
      <c r="I705" s="16"/>
      <c r="J705" s="18"/>
      <c r="K705" s="18"/>
    </row>
    <row r="706" spans="1:11" x14ac:dyDescent="0.2">
      <c r="A706" s="4"/>
      <c r="B706" s="8"/>
      <c r="C706" s="5"/>
      <c r="D706" s="3"/>
      <c r="E706" s="15"/>
      <c r="F706" s="15"/>
      <c r="G706" s="16"/>
      <c r="H706" s="17"/>
      <c r="I706" s="16"/>
      <c r="J706" s="18"/>
      <c r="K706" s="18"/>
    </row>
    <row r="707" spans="1:11" x14ac:dyDescent="0.2">
      <c r="A707" s="4"/>
      <c r="B707" s="8"/>
      <c r="C707" s="5"/>
      <c r="D707" s="3"/>
      <c r="E707" s="15"/>
      <c r="F707" s="15"/>
      <c r="G707" s="16"/>
      <c r="H707" s="17"/>
      <c r="I707" s="16"/>
      <c r="J707" s="18"/>
      <c r="K707" s="18"/>
    </row>
    <row r="708" spans="1:11" x14ac:dyDescent="0.2">
      <c r="A708" s="4"/>
      <c r="B708" s="8"/>
      <c r="C708" s="5"/>
      <c r="D708" s="3"/>
      <c r="E708" s="15"/>
      <c r="F708" s="15"/>
      <c r="G708" s="16"/>
      <c r="H708" s="17"/>
      <c r="I708" s="16"/>
      <c r="J708" s="18"/>
      <c r="K708" s="18"/>
    </row>
    <row r="709" spans="1:11" x14ac:dyDescent="0.2">
      <c r="A709" s="4"/>
      <c r="B709" s="8"/>
      <c r="C709" s="5"/>
      <c r="D709" s="3"/>
      <c r="E709" s="15"/>
      <c r="F709" s="15"/>
      <c r="G709" s="16"/>
      <c r="H709" s="17"/>
      <c r="I709" s="16"/>
      <c r="J709" s="18"/>
      <c r="K709" s="18"/>
    </row>
    <row r="710" spans="1:11" x14ac:dyDescent="0.2">
      <c r="A710" s="4"/>
      <c r="B710" s="8"/>
      <c r="C710" s="5"/>
      <c r="D710" s="3"/>
      <c r="E710" s="15"/>
      <c r="F710" s="15"/>
      <c r="G710" s="16"/>
      <c r="H710" s="17"/>
      <c r="I710" s="16"/>
      <c r="J710" s="18"/>
      <c r="K710" s="18"/>
    </row>
    <row r="711" spans="1:11" x14ac:dyDescent="0.2">
      <c r="A711" s="4"/>
      <c r="B711" s="8"/>
      <c r="C711" s="5"/>
      <c r="D711" s="3"/>
      <c r="E711" s="15"/>
      <c r="F711" s="15"/>
      <c r="G711" s="16"/>
      <c r="H711" s="17"/>
      <c r="I711" s="16"/>
      <c r="J711" s="18"/>
      <c r="K711" s="18"/>
    </row>
    <row r="712" spans="1:11" x14ac:dyDescent="0.2">
      <c r="A712" s="4"/>
      <c r="B712" s="8"/>
      <c r="C712" s="5"/>
      <c r="D712" s="3"/>
      <c r="E712" s="15"/>
      <c r="F712" s="15"/>
      <c r="G712" s="16"/>
      <c r="H712" s="17"/>
      <c r="I712" s="16"/>
      <c r="J712" s="18"/>
      <c r="K712" s="18"/>
    </row>
    <row r="713" spans="1:11" x14ac:dyDescent="0.2">
      <c r="A713" s="4"/>
      <c r="B713" s="8"/>
      <c r="C713" s="5"/>
      <c r="D713" s="3"/>
      <c r="E713" s="15"/>
      <c r="F713" s="15"/>
      <c r="G713" s="16"/>
      <c r="H713" s="17"/>
      <c r="I713" s="16"/>
      <c r="J713" s="18"/>
      <c r="K713" s="18"/>
    </row>
    <row r="714" spans="1:11" x14ac:dyDescent="0.2">
      <c r="A714" s="4"/>
      <c r="B714" s="8"/>
      <c r="C714" s="5"/>
      <c r="D714" s="3"/>
      <c r="E714" s="15"/>
      <c r="F714" s="15"/>
      <c r="G714" s="16"/>
      <c r="H714" s="17"/>
      <c r="I714" s="16"/>
      <c r="J714" s="18"/>
      <c r="K714" s="18"/>
    </row>
    <row r="715" spans="1:11" x14ac:dyDescent="0.2">
      <c r="A715" s="4"/>
      <c r="B715" s="8"/>
      <c r="C715" s="5"/>
      <c r="D715" s="3"/>
      <c r="E715" s="15"/>
      <c r="F715" s="15"/>
      <c r="G715" s="16"/>
      <c r="H715" s="17"/>
      <c r="I715" s="16"/>
      <c r="J715" s="18"/>
      <c r="K715" s="18"/>
    </row>
    <row r="716" spans="1:11" x14ac:dyDescent="0.2">
      <c r="A716" s="4"/>
      <c r="B716" s="8"/>
      <c r="C716" s="5"/>
      <c r="D716" s="3"/>
      <c r="E716" s="15"/>
      <c r="F716" s="15"/>
      <c r="G716" s="16"/>
      <c r="H716" s="17"/>
      <c r="I716" s="16"/>
      <c r="J716" s="18"/>
      <c r="K716" s="18"/>
    </row>
    <row r="717" spans="1:11" x14ac:dyDescent="0.2">
      <c r="A717" s="4"/>
      <c r="B717" s="8"/>
      <c r="C717" s="5"/>
      <c r="D717" s="3"/>
      <c r="E717" s="15"/>
      <c r="F717" s="15"/>
      <c r="G717" s="16"/>
      <c r="H717" s="17"/>
      <c r="I717" s="16"/>
      <c r="J717" s="18"/>
      <c r="K717" s="18"/>
    </row>
    <row r="718" spans="1:11" x14ac:dyDescent="0.2">
      <c r="A718" s="4"/>
      <c r="B718" s="8"/>
      <c r="C718" s="5"/>
      <c r="D718" s="3"/>
      <c r="E718" s="15"/>
      <c r="F718" s="15"/>
      <c r="G718" s="16"/>
      <c r="H718" s="17"/>
      <c r="I718" s="16"/>
      <c r="J718" s="18"/>
      <c r="K718" s="18"/>
    </row>
    <row r="719" spans="1:11" x14ac:dyDescent="0.2">
      <c r="A719" s="4"/>
      <c r="B719" s="8"/>
      <c r="C719" s="5"/>
      <c r="D719" s="3"/>
      <c r="E719" s="15"/>
      <c r="F719" s="15"/>
      <c r="G719" s="16"/>
      <c r="H719" s="17"/>
      <c r="I719" s="16"/>
      <c r="J719" s="18"/>
      <c r="K719" s="18"/>
    </row>
    <row r="720" spans="1:11" x14ac:dyDescent="0.2">
      <c r="A720" s="4"/>
      <c r="B720" s="8"/>
      <c r="C720" s="5"/>
      <c r="D720" s="3"/>
      <c r="E720" s="15"/>
      <c r="F720" s="15"/>
      <c r="G720" s="16"/>
      <c r="H720" s="17"/>
      <c r="I720" s="16"/>
      <c r="J720" s="18"/>
      <c r="K720" s="18"/>
    </row>
    <row r="721" spans="1:11" x14ac:dyDescent="0.2">
      <c r="A721" s="4"/>
      <c r="B721" s="8"/>
      <c r="C721" s="5"/>
      <c r="D721" s="3"/>
      <c r="E721" s="15"/>
      <c r="F721" s="15"/>
      <c r="G721" s="16"/>
      <c r="H721" s="17"/>
      <c r="I721" s="16"/>
      <c r="J721" s="18"/>
      <c r="K721" s="18"/>
    </row>
    <row r="722" spans="1:11" x14ac:dyDescent="0.2">
      <c r="A722" s="4"/>
      <c r="B722" s="8"/>
      <c r="C722" s="5"/>
      <c r="D722" s="3"/>
      <c r="E722" s="15"/>
      <c r="F722" s="15"/>
      <c r="G722" s="16"/>
      <c r="H722" s="17"/>
      <c r="I722" s="16"/>
      <c r="J722" s="18"/>
      <c r="K722" s="18"/>
    </row>
    <row r="723" spans="1:11" x14ac:dyDescent="0.2">
      <c r="A723" s="4"/>
      <c r="B723" s="8"/>
      <c r="C723" s="5"/>
      <c r="D723" s="3"/>
      <c r="E723" s="15"/>
      <c r="F723" s="15"/>
      <c r="G723" s="16"/>
      <c r="H723" s="17"/>
      <c r="I723" s="16"/>
      <c r="J723" s="18"/>
      <c r="K723" s="18"/>
    </row>
    <row r="724" spans="1:11" x14ac:dyDescent="0.2">
      <c r="A724" s="4"/>
      <c r="B724" s="8"/>
      <c r="C724" s="5"/>
      <c r="D724" s="3"/>
      <c r="E724" s="15"/>
      <c r="F724" s="15"/>
      <c r="G724" s="16"/>
      <c r="H724" s="17"/>
      <c r="I724" s="16"/>
      <c r="J724" s="18"/>
      <c r="K724" s="18"/>
    </row>
    <row r="725" spans="1:11" x14ac:dyDescent="0.2">
      <c r="A725" s="4"/>
      <c r="B725" s="8"/>
      <c r="C725" s="5"/>
      <c r="D725" s="3"/>
      <c r="E725" s="15"/>
      <c r="F725" s="15"/>
      <c r="G725" s="16"/>
      <c r="H725" s="17"/>
      <c r="I725" s="16"/>
      <c r="J725" s="18"/>
      <c r="K725" s="18"/>
    </row>
    <row r="726" spans="1:11" x14ac:dyDescent="0.2">
      <c r="A726" s="4"/>
      <c r="B726" s="8"/>
      <c r="C726" s="5"/>
      <c r="D726" s="3"/>
      <c r="E726" s="15"/>
      <c r="F726" s="15"/>
      <c r="G726" s="16"/>
      <c r="H726" s="17"/>
      <c r="I726" s="16"/>
      <c r="J726" s="18"/>
      <c r="K726" s="18"/>
    </row>
    <row r="727" spans="1:11" x14ac:dyDescent="0.2">
      <c r="A727" s="4"/>
      <c r="B727" s="8"/>
      <c r="C727" s="5"/>
      <c r="D727" s="3"/>
      <c r="E727" s="15"/>
      <c r="F727" s="15"/>
      <c r="G727" s="16"/>
      <c r="H727" s="17"/>
      <c r="I727" s="16"/>
      <c r="J727" s="18"/>
      <c r="K727" s="18"/>
    </row>
    <row r="728" spans="1:11" x14ac:dyDescent="0.2">
      <c r="A728" s="4"/>
      <c r="B728" s="8"/>
      <c r="C728" s="5"/>
      <c r="D728" s="3"/>
      <c r="E728" s="15"/>
      <c r="F728" s="15"/>
      <c r="G728" s="16"/>
      <c r="H728" s="17"/>
      <c r="I728" s="16"/>
      <c r="J728" s="18"/>
      <c r="K728" s="18"/>
    </row>
    <row r="729" spans="1:11" x14ac:dyDescent="0.2">
      <c r="A729" s="4"/>
      <c r="B729" s="8"/>
      <c r="C729" s="5"/>
      <c r="D729" s="3"/>
      <c r="E729" s="15"/>
      <c r="F729" s="15"/>
      <c r="G729" s="16"/>
      <c r="H729" s="17"/>
      <c r="I729" s="16"/>
      <c r="J729" s="18"/>
      <c r="K729" s="18"/>
    </row>
    <row r="730" spans="1:11" x14ac:dyDescent="0.2">
      <c r="A730" s="4"/>
      <c r="B730" s="8"/>
      <c r="C730" s="5"/>
      <c r="D730" s="3"/>
      <c r="E730" s="15"/>
      <c r="F730" s="15"/>
      <c r="G730" s="16"/>
      <c r="H730" s="17"/>
      <c r="I730" s="16"/>
      <c r="J730" s="18"/>
      <c r="K730" s="18"/>
    </row>
    <row r="731" spans="1:11" x14ac:dyDescent="0.2">
      <c r="A731" s="4"/>
      <c r="B731" s="8"/>
      <c r="C731" s="5"/>
      <c r="D731" s="3"/>
      <c r="E731" s="15"/>
      <c r="F731" s="15"/>
      <c r="G731" s="16"/>
      <c r="H731" s="17"/>
      <c r="I731" s="16"/>
      <c r="J731" s="18"/>
      <c r="K731" s="18"/>
    </row>
    <row r="732" spans="1:11" x14ac:dyDescent="0.2">
      <c r="A732" s="4"/>
      <c r="B732" s="8"/>
      <c r="C732" s="5"/>
      <c r="D732" s="3"/>
      <c r="E732" s="15"/>
      <c r="F732" s="15"/>
      <c r="G732" s="16"/>
      <c r="H732" s="17"/>
      <c r="I732" s="16"/>
      <c r="J732" s="18"/>
      <c r="K732" s="18"/>
    </row>
    <row r="733" spans="1:11" x14ac:dyDescent="0.2">
      <c r="A733" s="4"/>
      <c r="B733" s="8"/>
      <c r="C733" s="5"/>
      <c r="D733" s="3"/>
      <c r="E733" s="15"/>
      <c r="F733" s="15"/>
      <c r="G733" s="16"/>
      <c r="H733" s="17"/>
      <c r="I733" s="16"/>
      <c r="J733" s="18"/>
      <c r="K733" s="18"/>
    </row>
    <row r="734" spans="1:11" x14ac:dyDescent="0.2">
      <c r="A734" s="4"/>
      <c r="B734" s="8"/>
      <c r="C734" s="5"/>
      <c r="D734" s="3"/>
      <c r="E734" s="15"/>
      <c r="F734" s="15"/>
      <c r="G734" s="16"/>
      <c r="H734" s="17"/>
      <c r="I734" s="16"/>
      <c r="J734" s="18"/>
      <c r="K734" s="18"/>
    </row>
    <row r="735" spans="1:11" x14ac:dyDescent="0.2">
      <c r="A735" s="4"/>
      <c r="B735" s="8"/>
      <c r="C735" s="5"/>
      <c r="D735" s="3"/>
      <c r="E735" s="15"/>
      <c r="F735" s="15"/>
      <c r="G735" s="16"/>
      <c r="H735" s="17"/>
      <c r="I735" s="16"/>
      <c r="J735" s="18"/>
      <c r="K735" s="18"/>
    </row>
    <row r="736" spans="1:11" x14ac:dyDescent="0.2">
      <c r="A736" s="4"/>
      <c r="B736" s="8"/>
      <c r="C736" s="5"/>
      <c r="D736" s="3"/>
      <c r="E736" s="15"/>
      <c r="F736" s="15"/>
      <c r="G736" s="16"/>
      <c r="H736" s="17"/>
      <c r="I736" s="16"/>
      <c r="J736" s="18"/>
      <c r="K736" s="18"/>
    </row>
    <row r="737" spans="1:11" x14ac:dyDescent="0.2">
      <c r="A737" s="4"/>
      <c r="B737" s="8"/>
      <c r="C737" s="5"/>
      <c r="D737" s="3"/>
      <c r="E737" s="15"/>
      <c r="F737" s="15"/>
      <c r="G737" s="16"/>
      <c r="H737" s="17"/>
      <c r="I737" s="16"/>
      <c r="J737" s="18"/>
      <c r="K737" s="18"/>
    </row>
    <row r="738" spans="1:11" x14ac:dyDescent="0.2">
      <c r="A738" s="4"/>
      <c r="B738" s="8"/>
      <c r="C738" s="5"/>
      <c r="D738" s="3"/>
      <c r="E738" s="15"/>
      <c r="F738" s="15"/>
      <c r="G738" s="16"/>
      <c r="H738" s="17"/>
      <c r="I738" s="16"/>
      <c r="J738" s="18"/>
      <c r="K738" s="18"/>
    </row>
    <row r="739" spans="1:11" x14ac:dyDescent="0.2">
      <c r="A739" s="4"/>
      <c r="B739" s="8"/>
      <c r="C739" s="5"/>
      <c r="D739" s="3"/>
      <c r="E739" s="15"/>
      <c r="F739" s="15"/>
      <c r="G739" s="16"/>
      <c r="H739" s="17"/>
      <c r="I739" s="16"/>
      <c r="J739" s="18"/>
      <c r="K739" s="18"/>
    </row>
    <row r="740" spans="1:11" x14ac:dyDescent="0.2">
      <c r="A740" s="4"/>
      <c r="B740" s="8"/>
      <c r="C740" s="5"/>
      <c r="D740" s="3"/>
      <c r="E740" s="15"/>
      <c r="F740" s="15"/>
      <c r="G740" s="16"/>
      <c r="H740" s="17"/>
      <c r="I740" s="16"/>
      <c r="J740" s="18"/>
      <c r="K740" s="18"/>
    </row>
    <row r="741" spans="1:11" x14ac:dyDescent="0.2">
      <c r="A741" s="4"/>
      <c r="B741" s="8"/>
      <c r="C741" s="5"/>
      <c r="D741" s="3"/>
      <c r="E741" s="15"/>
      <c r="F741" s="15"/>
      <c r="G741" s="16"/>
      <c r="H741" s="17"/>
      <c r="I741" s="16"/>
      <c r="J741" s="18"/>
      <c r="K741" s="18"/>
    </row>
    <row r="742" spans="1:11" x14ac:dyDescent="0.2">
      <c r="A742" s="4"/>
      <c r="B742" s="8"/>
      <c r="C742" s="5"/>
      <c r="D742" s="3"/>
      <c r="E742" s="15"/>
      <c r="F742" s="15"/>
      <c r="G742" s="16"/>
      <c r="H742" s="17"/>
      <c r="I742" s="16"/>
      <c r="J742" s="18"/>
      <c r="K742" s="18"/>
    </row>
    <row r="743" spans="1:11" x14ac:dyDescent="0.2">
      <c r="A743" s="4"/>
      <c r="B743" s="8"/>
      <c r="C743" s="5"/>
      <c r="D743" s="3"/>
      <c r="E743" s="15"/>
      <c r="F743" s="15"/>
      <c r="G743" s="16"/>
      <c r="H743" s="17"/>
      <c r="I743" s="16"/>
      <c r="J743" s="18"/>
      <c r="K743" s="18"/>
    </row>
    <row r="744" spans="1:11" x14ac:dyDescent="0.2">
      <c r="A744" s="4"/>
      <c r="B744" s="8"/>
      <c r="C744" s="5"/>
      <c r="D744" s="3"/>
      <c r="E744" s="15"/>
      <c r="F744" s="15"/>
      <c r="G744" s="16"/>
      <c r="H744" s="17"/>
      <c r="I744" s="16"/>
      <c r="J744" s="18"/>
      <c r="K744" s="18"/>
    </row>
    <row r="745" spans="1:11" x14ac:dyDescent="0.2">
      <c r="A745" s="4"/>
      <c r="B745" s="8"/>
      <c r="C745" s="5"/>
      <c r="D745" s="3"/>
      <c r="E745" s="15"/>
      <c r="F745" s="15"/>
      <c r="G745" s="16"/>
      <c r="H745" s="17"/>
      <c r="I745" s="16"/>
      <c r="J745" s="18"/>
      <c r="K745" s="18"/>
    </row>
    <row r="746" spans="1:11" x14ac:dyDescent="0.2">
      <c r="A746" s="4"/>
      <c r="B746" s="8"/>
      <c r="C746" s="5"/>
      <c r="D746" s="3"/>
      <c r="E746" s="15"/>
      <c r="F746" s="15"/>
      <c r="G746" s="16"/>
      <c r="H746" s="17"/>
      <c r="I746" s="16"/>
      <c r="J746" s="18"/>
      <c r="K746" s="18"/>
    </row>
    <row r="747" spans="1:11" x14ac:dyDescent="0.2">
      <c r="A747" s="4"/>
      <c r="B747" s="8"/>
      <c r="C747" s="5"/>
      <c r="D747" s="3"/>
      <c r="E747" s="15"/>
      <c r="F747" s="15"/>
      <c r="G747" s="16"/>
      <c r="H747" s="17"/>
      <c r="I747" s="16"/>
      <c r="J747" s="18"/>
      <c r="K747" s="18"/>
    </row>
    <row r="748" spans="1:11" x14ac:dyDescent="0.2">
      <c r="A748" s="4"/>
      <c r="B748" s="8"/>
      <c r="C748" s="5"/>
      <c r="D748" s="3"/>
      <c r="E748" s="15"/>
      <c r="F748" s="15"/>
      <c r="G748" s="16"/>
      <c r="H748" s="17"/>
      <c r="I748" s="16"/>
      <c r="J748" s="18"/>
      <c r="K748" s="18"/>
    </row>
    <row r="749" spans="1:11" x14ac:dyDescent="0.2">
      <c r="A749" s="4"/>
      <c r="B749" s="8"/>
      <c r="C749" s="5"/>
      <c r="D749" s="3"/>
      <c r="E749" s="15"/>
      <c r="F749" s="15"/>
      <c r="G749" s="16"/>
      <c r="H749" s="17"/>
      <c r="I749" s="16"/>
      <c r="J749" s="18"/>
      <c r="K749" s="18"/>
    </row>
    <row r="750" spans="1:11" x14ac:dyDescent="0.2">
      <c r="A750" s="4"/>
      <c r="B750" s="8"/>
      <c r="C750" s="5"/>
      <c r="D750" s="3"/>
      <c r="E750" s="15"/>
      <c r="F750" s="15"/>
      <c r="G750" s="16"/>
      <c r="H750" s="17"/>
      <c r="I750" s="16"/>
      <c r="J750" s="18"/>
      <c r="K750" s="18"/>
    </row>
    <row r="751" spans="1:11" x14ac:dyDescent="0.2">
      <c r="A751" s="4"/>
      <c r="B751" s="8"/>
      <c r="C751" s="5"/>
      <c r="D751" s="3"/>
      <c r="E751" s="15"/>
      <c r="F751" s="15"/>
      <c r="G751" s="16"/>
      <c r="H751" s="17"/>
      <c r="I751" s="16"/>
      <c r="J751" s="18"/>
      <c r="K751" s="18"/>
    </row>
    <row r="752" spans="1:11" x14ac:dyDescent="0.2">
      <c r="A752" s="4"/>
      <c r="B752" s="8"/>
      <c r="C752" s="5"/>
      <c r="D752" s="3"/>
      <c r="E752" s="15"/>
      <c r="F752" s="15"/>
      <c r="G752" s="16"/>
      <c r="H752" s="17"/>
      <c r="I752" s="16"/>
      <c r="J752" s="18"/>
      <c r="K752" s="18"/>
    </row>
    <row r="753" spans="1:11" x14ac:dyDescent="0.2">
      <c r="A753" s="4"/>
      <c r="B753" s="8"/>
      <c r="C753" s="5"/>
      <c r="D753" s="3"/>
      <c r="E753" s="15"/>
      <c r="F753" s="15"/>
      <c r="G753" s="16"/>
      <c r="H753" s="17"/>
      <c r="I753" s="16"/>
      <c r="J753" s="18"/>
      <c r="K753" s="18"/>
    </row>
    <row r="754" spans="1:11" x14ac:dyDescent="0.2">
      <c r="A754" s="4"/>
      <c r="B754" s="8"/>
      <c r="C754" s="5"/>
      <c r="D754" s="3"/>
      <c r="E754" s="15"/>
      <c r="F754" s="15"/>
      <c r="G754" s="16"/>
      <c r="H754" s="17"/>
      <c r="I754" s="16"/>
      <c r="J754" s="18"/>
      <c r="K754" s="18"/>
    </row>
    <row r="755" spans="1:11" x14ac:dyDescent="0.2">
      <c r="A755" s="4"/>
      <c r="B755" s="8"/>
      <c r="C755" s="5"/>
      <c r="D755" s="3"/>
      <c r="E755" s="15"/>
      <c r="F755" s="15"/>
      <c r="G755" s="16"/>
      <c r="H755" s="17"/>
      <c r="I755" s="16"/>
      <c r="J755" s="18"/>
      <c r="K755" s="18"/>
    </row>
    <row r="756" spans="1:11" x14ac:dyDescent="0.2">
      <c r="A756" s="4"/>
      <c r="B756" s="8"/>
      <c r="C756" s="5"/>
      <c r="D756" s="3"/>
      <c r="E756" s="15"/>
      <c r="F756" s="15"/>
      <c r="G756" s="16"/>
      <c r="H756" s="17"/>
      <c r="I756" s="16"/>
      <c r="J756" s="18"/>
      <c r="K756" s="18"/>
    </row>
    <row r="757" spans="1:11" x14ac:dyDescent="0.2">
      <c r="A757" s="4"/>
      <c r="B757" s="8"/>
      <c r="C757" s="5"/>
      <c r="D757" s="3"/>
      <c r="E757" s="15"/>
      <c r="F757" s="15"/>
      <c r="G757" s="16"/>
      <c r="H757" s="17"/>
      <c r="I757" s="16"/>
      <c r="J757" s="18"/>
      <c r="K757" s="18"/>
    </row>
  </sheetData>
  <conditionalFormatting sqref="A2:A279">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52633-34EE-488E-87CC-D07228FEE42E}">
  <dimension ref="B2:F11"/>
  <sheetViews>
    <sheetView workbookViewId="0">
      <selection activeCell="C14" sqref="C14"/>
    </sheetView>
  </sheetViews>
  <sheetFormatPr baseColWidth="10" defaultRowHeight="12.75" x14ac:dyDescent="0.2"/>
  <sheetData>
    <row r="2" spans="2:6" x14ac:dyDescent="0.2">
      <c r="B2" s="24" t="s">
        <v>553</v>
      </c>
      <c r="C2" s="24" t="s">
        <v>564</v>
      </c>
      <c r="D2" s="24" t="s">
        <v>558</v>
      </c>
      <c r="E2" s="24" t="s">
        <v>557</v>
      </c>
      <c r="F2" s="24" t="s">
        <v>559</v>
      </c>
    </row>
    <row r="3" spans="2:6" x14ac:dyDescent="0.2">
      <c r="B3" s="24" t="s">
        <v>554</v>
      </c>
      <c r="C3" s="24"/>
      <c r="D3" s="24" t="s">
        <v>555</v>
      </c>
      <c r="E3" s="24" t="s">
        <v>556</v>
      </c>
      <c r="F3" s="24" t="s">
        <v>560</v>
      </c>
    </row>
    <row r="11" spans="2:6" x14ac:dyDescent="0.2">
      <c r="B11" s="24" t="s">
        <v>561</v>
      </c>
      <c r="C11" s="24"/>
      <c r="D11" s="24" t="s">
        <v>555</v>
      </c>
      <c r="E11" s="24" t="s">
        <v>562</v>
      </c>
      <c r="F11" s="24" t="s">
        <v>563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88E06-2232-4938-B58D-ACF3AE2B3978}">
  <dimension ref="C4:D8"/>
  <sheetViews>
    <sheetView workbookViewId="0">
      <selection activeCell="I8" sqref="I8"/>
    </sheetView>
  </sheetViews>
  <sheetFormatPr baseColWidth="10" defaultRowHeight="12.75" x14ac:dyDescent="0.2"/>
  <sheetData>
    <row r="4" spans="3:4" x14ac:dyDescent="0.2">
      <c r="C4" s="24" t="s">
        <v>936</v>
      </c>
      <c r="D4" s="24" t="s">
        <v>937</v>
      </c>
    </row>
    <row r="5" spans="3:4" x14ac:dyDescent="0.2">
      <c r="C5" s="24" t="s">
        <v>938</v>
      </c>
      <c r="D5" s="24" t="s">
        <v>939</v>
      </c>
    </row>
    <row r="6" spans="3:4" x14ac:dyDescent="0.2">
      <c r="C6" s="24" t="s">
        <v>940</v>
      </c>
      <c r="D6" s="24" t="s">
        <v>941</v>
      </c>
    </row>
    <row r="7" spans="3:4" x14ac:dyDescent="0.2">
      <c r="C7" s="24" t="s">
        <v>943</v>
      </c>
      <c r="D7" s="24" t="s">
        <v>942</v>
      </c>
    </row>
    <row r="8" spans="3:4" x14ac:dyDescent="0.2">
      <c r="C8" s="24" t="s">
        <v>944</v>
      </c>
      <c r="D8" s="24" t="s">
        <v>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Publicaciones</vt:lpstr>
      <vt:lpstr>Precio minimo og</vt:lpstr>
      <vt:lpstr>Hoja1</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Mohandas</dc:creator>
  <cp:lastModifiedBy>Akshay Mohandas</cp:lastModifiedBy>
  <dcterms:created xsi:type="dcterms:W3CDTF">2025-06-10T23:38:25Z</dcterms:created>
  <dcterms:modified xsi:type="dcterms:W3CDTF">2025-12-12T16:46:45Z</dcterms:modified>
</cp:coreProperties>
</file>